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PRICING &amp; PRICE UPDATES\VENDOR PRICE LISTS\"/>
    </mc:Choice>
  </mc:AlternateContent>
  <xr:revisionPtr revIDLastSave="0" documentId="8_{A90D8143-EB82-49FB-B53C-13CB1AE6B28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ustomer Price List" sheetId="1" r:id="rId1"/>
  </sheets>
  <definedNames>
    <definedName name="_xlnm.Print_Titles" localSheetId="0">'Customer Price List'!$1:$6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" i="1" l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8" i="1"/>
</calcChain>
</file>

<file path=xl/sharedStrings.xml><?xml version="1.0" encoding="utf-8"?>
<sst xmlns="http://schemas.openxmlformats.org/spreadsheetml/2006/main" count="1374" uniqueCount="1352">
  <si>
    <t>B.E.A., Inc - Product Pricing</t>
  </si>
  <si>
    <t>Account: C017674 - Automatics &amp; More</t>
  </si>
  <si>
    <t>Product</t>
  </si>
  <si>
    <t>Description</t>
  </si>
  <si>
    <t>Net Price</t>
  </si>
  <si>
    <t>MSRP</t>
  </si>
  <si>
    <t>10.1279</t>
  </si>
  <si>
    <t>VIDIO / Camera Cover ONLY for IXIO with PS Cable</t>
  </si>
  <si>
    <t xml:space="preserve">ADAPTER BRACKET KIT, LZRWIDESCAN - TURNKEY
</t>
  </si>
  <si>
    <t>1012VAC</t>
  </si>
  <si>
    <t xml:space="preserve">Transformer,12 Volt AC
</t>
  </si>
  <si>
    <t>1024VAC</t>
  </si>
  <si>
    <t>Transformer,24 Volt AC,with
Mounting Feet, 40va rating</t>
  </si>
  <si>
    <t>10ACP12</t>
  </si>
  <si>
    <t>Access Control Package 1 (10ACP12)</t>
  </si>
  <si>
    <t>10ACP12DS</t>
  </si>
  <si>
    <t>Access Control Package 5 (10ACP12DS)</t>
  </si>
  <si>
    <t>10ACP12F</t>
  </si>
  <si>
    <t>Access Control Package 2 (10ACP12F)</t>
  </si>
  <si>
    <t>10ACP12FDS</t>
  </si>
  <si>
    <t>Access Control Package 6 (10ACP12FDS)</t>
  </si>
  <si>
    <t>10ACP6</t>
  </si>
  <si>
    <t>Access Control Package 3 (10ACP6)</t>
  </si>
  <si>
    <t>10ACP6DS</t>
  </si>
  <si>
    <t>Access Control Package 7 (10ACP6DS)</t>
  </si>
  <si>
    <t>10ACP6F</t>
  </si>
  <si>
    <t>Access Control Package 4 (10ACP6F)</t>
  </si>
  <si>
    <t>10ACP6FDS</t>
  </si>
  <si>
    <t>Access Control Package 8 (10ACP6FDS)</t>
  </si>
  <si>
    <t>10ACPBDA1</t>
  </si>
  <si>
    <t>10ACPBDA1 -- Switch, Delayed Action RED PTE 2" Jamb</t>
  </si>
  <si>
    <t>10ACPBDA10</t>
  </si>
  <si>
    <t>10ACPBDA10 -- Switch, Delayed Action GREEN PTE 2" SG</t>
  </si>
  <si>
    <t>10ACPBDA11</t>
  </si>
  <si>
    <t>10ACPBDA11 -- Switch, Delayed Action GREEN PTE 1 5/8" Jamb</t>
  </si>
  <si>
    <t>10ACPBDA12</t>
  </si>
  <si>
    <t>10ACPBDA12 -- Switch, Delayed Action GREEN PTE 1 5/8" SG</t>
  </si>
  <si>
    <t>10ACPBDA2</t>
  </si>
  <si>
    <t>Switch, Delayed Action RED PTE 2" SINGLE GANG</t>
  </si>
  <si>
    <t>10ACPBDA3</t>
  </si>
  <si>
    <t>10ACPBDA3 -- Switch, Delayed Action RED PTE 1 5/8" Jamb</t>
  </si>
  <si>
    <t>10ACPBDA4</t>
  </si>
  <si>
    <t>10ACPBDA4 -- Switch, Delayed Action RED PTE 1 5/8" SG</t>
  </si>
  <si>
    <t>10ACPBDA5</t>
  </si>
  <si>
    <t>10ACPBDA5 -- Switch, Delayed Action BLUE HC 2" Jamb</t>
  </si>
  <si>
    <t>10ACPBDA6</t>
  </si>
  <si>
    <t>Switch, Delayed Action BLUE HC 2" SINGLE GANG</t>
  </si>
  <si>
    <t>10ACPBDA7</t>
  </si>
  <si>
    <t>10ACPBDA7 -- Switch, Delayed Action BLUE HC 1 5/8" Jamb</t>
  </si>
  <si>
    <t>10ACPBDA8</t>
  </si>
  <si>
    <t>Switch, Delayed Action BLUE HC 1 5/8" SINGLE GANG</t>
  </si>
  <si>
    <t>10ACPBDA9</t>
  </si>
  <si>
    <t>10ACPBDA9 -- Switch, Delayed Action GREEN PTE 2" Jamb</t>
  </si>
  <si>
    <t>10ACPBSS1</t>
  </si>
  <si>
    <t xml:space="preserve">10ACPBSS1... ACCESS CONTROL
</t>
  </si>
  <si>
    <t>10ARS</t>
  </si>
  <si>
    <t>10ARS, Indicator, "Assistance Required" with Signal</t>
  </si>
  <si>
    <t>10BEAMBOX</t>
  </si>
  <si>
    <t xml:space="preserve">BEAMBOX Sensor with Cable
</t>
  </si>
  <si>
    <t>10BELTCLIP</t>
  </si>
  <si>
    <t>Belt Clip for Industrial Wireless Transmitters</t>
  </si>
  <si>
    <t>10BGQD</t>
  </si>
  <si>
    <t>Quick Disconnect, Bodyguard
78"" Harness with QD for BGIII</t>
  </si>
  <si>
    <t>10BODYGUARDT</t>
  </si>
  <si>
    <t xml:space="preserve">BodyguardT Presence Sensor
</t>
  </si>
  <si>
    <t>10BODYMNT</t>
  </si>
  <si>
    <t xml:space="preserve">Bodyguard Mounting Kit
</t>
  </si>
  <si>
    <t>10BOLLARDBLK</t>
  </si>
  <si>
    <t>Post,Black,S/S Push Plate,4.5""
Round or 4.75"" Square</t>
  </si>
  <si>
    <t>10BOLLARDBLKWOH</t>
  </si>
  <si>
    <t>Post, Black Bollard w/o Hole
6"" Round or 4.75"" Square</t>
  </si>
  <si>
    <t>10BOLLARDBRZ</t>
  </si>
  <si>
    <t>Post Bronze,S/S Push Plate,4.5
Round or 4.75"" Square</t>
  </si>
  <si>
    <t>10BOLLARDBRZWOH</t>
  </si>
  <si>
    <t>Post, Bronze Bollard w/o Hole
6"" Round or 4.75"" Square</t>
  </si>
  <si>
    <t>10BOLLARDSLV</t>
  </si>
  <si>
    <t>Post Silver,S/S Push Plate,4.5
Round or 4.75"" Square</t>
  </si>
  <si>
    <t>10BOLLARDSLVWOH</t>
  </si>
  <si>
    <t>Post, Silver Bollard w/o Hole
6"" Round or 4.75"" Square</t>
  </si>
  <si>
    <t>10BOX24SGSM</t>
  </si>
  <si>
    <t>Box, Single Gang Surface Mount
Black Plastic</t>
  </si>
  <si>
    <t>10BOX45RNDFM</t>
  </si>
  <si>
    <t>4 .5"" Round Flush Mount Box</t>
  </si>
  <si>
    <t>10BOX45RNDSM</t>
  </si>
  <si>
    <t>4.5"" Round Surface Mount Box</t>
  </si>
  <si>
    <t>10BOX45SQFM</t>
  </si>
  <si>
    <t>Box, 4.5"" Sq.,Flush Mount Box
for PBS45's</t>
  </si>
  <si>
    <t>10BOX45SQSM</t>
  </si>
  <si>
    <t>Box,4.5"" Sq.,Surface Mount Box
for PBS45's</t>
  </si>
  <si>
    <t>10BOX475SQFM</t>
  </si>
  <si>
    <t xml:space="preserve">Box,4.75"" Sq,FLUSH Mount Box
</t>
  </si>
  <si>
    <t>10BOX475SQSM</t>
  </si>
  <si>
    <t xml:space="preserve">Box,4.75"" Sq.Surface Mount Box
</t>
  </si>
  <si>
    <t>10BOX475SQSMEBA</t>
  </si>
  <si>
    <t>4.75" Mounting Box, 2 piece Design, Easy Battery Access</t>
  </si>
  <si>
    <t>10BOX6RNDFM</t>
  </si>
  <si>
    <t>6"" Round Flush Mount Box</t>
  </si>
  <si>
    <t>10BOX6RNDSM</t>
  </si>
  <si>
    <t>6"" Round Surface Mount Box</t>
  </si>
  <si>
    <t>10BOX6SQFM</t>
  </si>
  <si>
    <t>Box, 6"" Square, Flush Mount
Assembled With 2 Brass Inserts</t>
  </si>
  <si>
    <t>10BOX6SQSM</t>
  </si>
  <si>
    <t>Box, 6"" Square, Surface Mount,
Assembled With 2 Brass Inserts</t>
  </si>
  <si>
    <t>10BOXDG4H</t>
  </si>
  <si>
    <t xml:space="preserve">Box,Double Gang,Non-Metallic
</t>
  </si>
  <si>
    <t>10BOXDGSM</t>
  </si>
  <si>
    <t>Box, Double Gang Surface Mount
Black Plastic</t>
  </si>
  <si>
    <t>10BOXJAMBFM</t>
  </si>
  <si>
    <t>Box, Jamb FLUSH mount
Flush Mount Box</t>
  </si>
  <si>
    <t>10BOXJAMBSM</t>
  </si>
  <si>
    <t>Box,Jamb SM,S/S Plates
Surface Mount Box</t>
  </si>
  <si>
    <t>10BOXJAMBST</t>
  </si>
  <si>
    <t>Box,Jamb 4.5"" X 1.75""
Push plate</t>
  </si>
  <si>
    <t>10BR2-900</t>
  </si>
  <si>
    <t>10BR2-900, Wireless Logic Module, 900mhz</t>
  </si>
  <si>
    <t>10BR3X</t>
  </si>
  <si>
    <t>10BR3X Module, 3 relays, Washroom Functions</t>
  </si>
  <si>
    <t>10BRINGC</t>
  </si>
  <si>
    <t xml:space="preserve">Universal Backplate,S/S Modify
</t>
  </si>
  <si>
    <t>10CAPKIT</t>
  </si>
  <si>
    <t xml:space="preserve">SuperScan End Cap Kit
</t>
  </si>
  <si>
    <t>10CAPKITQUAD</t>
  </si>
  <si>
    <t>Quadscan Endcap Kit
left &amp; right endcaps + screws</t>
  </si>
  <si>
    <t>10CDA</t>
  </si>
  <si>
    <t>10CDA Curved Door Accessory for IXIODT1 / IXIOST</t>
  </si>
  <si>
    <t>10COLIBRI1</t>
  </si>
  <si>
    <t>10COLIBRI1 Motion Sensor</t>
  </si>
  <si>
    <t>10COMBOPLATE</t>
  </si>
  <si>
    <t>Combo Plate Assy on/off Switch
Maintained Switch Option</t>
  </si>
  <si>
    <t>10COMBOPLATEMOM</t>
  </si>
  <si>
    <t>Combo Plate Ass</t>
  </si>
  <si>
    <t>10CYLINDERKA</t>
  </si>
  <si>
    <t xml:space="preserve">Cylinder, Keyswitch, KA
KEYED ALIKE
</t>
  </si>
  <si>
    <t>10CYLINDERKD</t>
  </si>
  <si>
    <t>Cylinder, Keyswitch, KD
Keyed Differently</t>
  </si>
  <si>
    <t>10DOORSWITCH</t>
  </si>
  <si>
    <t xml:space="preserve">On -Off Hold Switch Assembly
</t>
  </si>
  <si>
    <t>10DPG50</t>
  </si>
  <si>
    <t xml:space="preserve">Door Pressure Gauge,50 lb.
</t>
  </si>
  <si>
    <t>10EABA</t>
  </si>
  <si>
    <t>Eagle Artek Bracket Accessory</t>
  </si>
  <si>
    <t>10EACA</t>
  </si>
  <si>
    <t>EAGLE ARTEK CEILING ACCESSORY - WHITE</t>
  </si>
  <si>
    <t>10EACA-BLK</t>
  </si>
  <si>
    <t>EAGLE ARTEK CEILING ACCESSORY -BLACK</t>
  </si>
  <si>
    <t>10EAGLEARTEK</t>
  </si>
  <si>
    <t>Eagle Artek Motion Sensor</t>
  </si>
  <si>
    <t>10EAGLESPACER</t>
  </si>
  <si>
    <t xml:space="preserve">Eagle Mounting Spacer
</t>
  </si>
  <si>
    <t>10EAGLESPACERV</t>
  </si>
  <si>
    <t>Eagle Mounting Spacer
 WITH CAMERA</t>
  </si>
  <si>
    <t>10EARA</t>
  </si>
  <si>
    <t>Eagle Artek Rain Accessory</t>
  </si>
  <si>
    <t>10EARETROFIT</t>
  </si>
  <si>
    <t>EAGLE ARTEK RETROFIT</t>
  </si>
  <si>
    <t>10EBUTTONCOMBO</t>
  </si>
  <si>
    <t>10EBUTTONCOMBO, "Push for Emergency Assistance" Combo Switch</t>
  </si>
  <si>
    <t>10EMERGENCYKIT</t>
  </si>
  <si>
    <t>BEA Emergency Kit</t>
  </si>
  <si>
    <t>10EMR475</t>
  </si>
  <si>
    <t>4.75"" Round Panther Plate assy
With Text</t>
  </si>
  <si>
    <t>10EMR4751</t>
  </si>
  <si>
    <t>4.75"" Round Panther Plate assy
with text and logo</t>
  </si>
  <si>
    <t>10EMR4751-900</t>
  </si>
  <si>
    <t>Panther, 900mhz, 4.75" Round, TEXT &amp; LOGO</t>
  </si>
  <si>
    <t>10EMR475-900</t>
  </si>
  <si>
    <t>Panther, 900mhz, 4.75" Round, TEXT ONLY</t>
  </si>
  <si>
    <t>10EMR475L</t>
  </si>
  <si>
    <t>4.75"" Round Panther Plate assy
With Logo</t>
  </si>
  <si>
    <t>10EMR475L-900</t>
  </si>
  <si>
    <t>Panther, 900mhz, 4.75" Round, LOGO ONLY</t>
  </si>
  <si>
    <t>10EMR6</t>
  </si>
  <si>
    <t>6"" Round Panther plate assy.
with Text Only</t>
  </si>
  <si>
    <t>10EMR61</t>
  </si>
  <si>
    <t>6"" Round Panther plate assy.
with text and logo</t>
  </si>
  <si>
    <t>10EMR61-900</t>
  </si>
  <si>
    <t>Panther, 900mhz, 6" Round, TEXT &amp; LOGO</t>
  </si>
  <si>
    <t>10EMR6-900</t>
  </si>
  <si>
    <t>Panther, 900mhz, 6" Round, TEXT ONLY</t>
  </si>
  <si>
    <t>10EMR6L</t>
  </si>
  <si>
    <t>6"" Round Panther plate assy.
with logo only</t>
  </si>
  <si>
    <t>10EMR6L-900</t>
  </si>
  <si>
    <t>Panther, 900mhz, 6" Round, LOGO ONLY</t>
  </si>
  <si>
    <t>10EMS475</t>
  </si>
  <si>
    <t>4.75"" Sq Panther plate assy.
with text only</t>
  </si>
  <si>
    <t>10EMS4751</t>
  </si>
  <si>
    <t>4.75"" Sq Panther plate assy.
With text and logo</t>
  </si>
  <si>
    <t>10EMS4751-900</t>
  </si>
  <si>
    <t>Panther, 900mhz, 4.75" Square, TEXT &amp; LOGO</t>
  </si>
  <si>
    <t>10EMS475-900</t>
  </si>
  <si>
    <t>Panther, 900mhz, 4.75" Square, TEXT ONLY</t>
  </si>
  <si>
    <t>10EMS475L</t>
  </si>
  <si>
    <t>4.75"" Sq Panther plate assy.
with logo only</t>
  </si>
  <si>
    <t>10EMS475L-900</t>
  </si>
  <si>
    <t>Panther, 900mhz, 4.75" Square, LOGO ONLY</t>
  </si>
  <si>
    <t>10EQD</t>
  </si>
  <si>
    <t>Quick Disconnect, Eagle
48"" harn. w/ quick disconnect</t>
  </si>
  <si>
    <t>10ERA</t>
  </si>
  <si>
    <t xml:space="preserve">Eagle Weather Protection Hood
</t>
  </si>
  <si>
    <t>10ESCUTCHEON</t>
  </si>
  <si>
    <t>Stainless Steel mounting
bracket</t>
  </si>
  <si>
    <t>10ESCUTCHEON45</t>
  </si>
  <si>
    <t>Escutcheon Bracket, 4.5""
Escutcheon for 4.5"" plate</t>
  </si>
  <si>
    <t>10FALCON</t>
  </si>
  <si>
    <t>Falcon Industrial Motion
Sensor</t>
  </si>
  <si>
    <t>10FALCONEX100</t>
  </si>
  <si>
    <t>Falcon Ind. Sensor with Explosion Proof Housing + 100ft cable</t>
  </si>
  <si>
    <t>10FALCONEXW100</t>
  </si>
  <si>
    <t>FALCON WIDE, Explosion Proof HSG, 100ft cable</t>
  </si>
  <si>
    <t>10FALCONEXXL100</t>
  </si>
  <si>
    <t>Falcon XL Industrial EX-PROOF Motion Sensor - 100ft cable</t>
  </si>
  <si>
    <t>10FALCONW</t>
  </si>
  <si>
    <t>FALCON W-02</t>
  </si>
  <si>
    <t>10FALCONXL</t>
  </si>
  <si>
    <t>Falcon XL Industrial Motion
Sensor - Wide Pattern</t>
  </si>
  <si>
    <t>10FILLER12UL</t>
  </si>
  <si>
    <t>Filler Bar For UL Maglocks
10.5""L x 0.75""W x 0.50""H</t>
  </si>
  <si>
    <t>10FILLER14UL</t>
  </si>
  <si>
    <t>Filler Bar For UL Maglocks
1/4 INCH
 0.25”H x 0.75”W x 9.84”L</t>
  </si>
  <si>
    <t>10FILLER34UL</t>
  </si>
  <si>
    <t>Filler Bar For UL Maglocks
10.5""L x 0.75""W x 0.75""H</t>
  </si>
  <si>
    <t>10FILLER58UL</t>
  </si>
  <si>
    <t>Filler Bar For UL Maglocks 5/8
10.5""L x 0.75""W x 0.625""H</t>
  </si>
  <si>
    <t>10FLYKITB</t>
  </si>
  <si>
    <t>Fly Kit, IR Sensor PKG, Black
FSA housing + FCA Ceiling adap</t>
  </si>
  <si>
    <t>10FLYKITBERT</t>
  </si>
  <si>
    <t>Fly Kit, IR Sensor ERT, Black
FSA +FCA, Extended Relay Time</t>
  </si>
  <si>
    <t>10FOCUS</t>
  </si>
  <si>
    <t xml:space="preserve">Focus Safety Sensor
</t>
  </si>
  <si>
    <t>10FOCUS2</t>
  </si>
  <si>
    <t xml:space="preserve">Recess Mounted Focus
</t>
  </si>
  <si>
    <t>10FSSMB</t>
  </si>
  <si>
    <t>FLATSCAN-S/A KIT</t>
  </si>
  <si>
    <t>10GL1200R</t>
  </si>
  <si>
    <t>10GL1200R -- MAGLOCK WEATHER-PROOF 1200LB</t>
  </si>
  <si>
    <t>10GL1200SR</t>
  </si>
  <si>
    <t>Maglock, Weather-Proof, 1200lb
WITHOUT conduit fitting</t>
  </si>
  <si>
    <t>10GTSSHARN</t>
  </si>
  <si>
    <t>Harness, SS Gyrotech Relay
Superscan relay harness</t>
  </si>
  <si>
    <t>10HORTONSSHARN</t>
  </si>
  <si>
    <t>Harness, SS HORTON Superscan Relay harness</t>
  </si>
  <si>
    <t>10ICA</t>
  </si>
  <si>
    <t>10IMB</t>
  </si>
  <si>
    <t>Ixio Mounting Bracket, Black
10IMB</t>
  </si>
  <si>
    <t>10INDBRACKET</t>
  </si>
  <si>
    <t>10INDBRACKET -- INDUSTRIAL BRACKET</t>
  </si>
  <si>
    <t>10IS40</t>
  </si>
  <si>
    <t xml:space="preserve">IS40 Industrial Dual Sensor
</t>
  </si>
  <si>
    <t>10IS40P</t>
  </si>
  <si>
    <t xml:space="preserve">IS40P Ind. Presence Sensor
</t>
  </si>
  <si>
    <t>10IS40XL</t>
  </si>
  <si>
    <t xml:space="preserve">IS40XL Industrial Dual Sensor
</t>
  </si>
  <si>
    <t>10IXIODT1</t>
  </si>
  <si>
    <t xml:space="preserve">IXIO Sliding Door Sensor
</t>
  </si>
  <si>
    <t>10IXIODT1INDUS</t>
  </si>
  <si>
    <t>IXIO INDUSTRIAL Sliding Door Sensor</t>
  </si>
  <si>
    <t>10IXIODT1V</t>
  </si>
  <si>
    <t>IXIO Door Sensor with Camera
Sliding Door Sensor + Video</t>
  </si>
  <si>
    <t>10IXIOSPACER</t>
  </si>
  <si>
    <t>IXIO ACCESSORIES IXIO SPACER PLASTIC BLACK</t>
  </si>
  <si>
    <t>10IXIOST</t>
  </si>
  <si>
    <t>IXIOST Presence Sensor</t>
  </si>
  <si>
    <t>10IXIOSTINDUS</t>
  </si>
  <si>
    <t>IXIOST Presence Sensor Industrial</t>
  </si>
  <si>
    <t>10JAMBCAM</t>
  </si>
  <si>
    <t>BEA Jamb Camera System
Camera + Housing +PSupply</t>
  </si>
  <si>
    <t>10JAMBSWITCHMOM</t>
  </si>
  <si>
    <t>Jambswitch, Momentary
1/4"" Alum Faceplate</t>
  </si>
  <si>
    <t>10JAMBSWITCHONF</t>
  </si>
  <si>
    <t>Jambswitch, On/Off
1/4"" Alum Faceplate</t>
  </si>
  <si>
    <t>10KEYPADU</t>
  </si>
  <si>
    <t>KEYPAD, UNIVERSAL</t>
  </si>
  <si>
    <t>10KEYPADUSL</t>
  </si>
  <si>
    <t>10KEYPADUSL, Keypad, Slimline</t>
  </si>
  <si>
    <t>10KEYSWITCHMOM</t>
  </si>
  <si>
    <t>Keyswitch, Momentary
1/4"" Alum faceplate</t>
  </si>
  <si>
    <t>10KEYSWITCHONF</t>
  </si>
  <si>
    <t>Keyswitch, On/Off
1/4"" Alum faceplate</t>
  </si>
  <si>
    <t>10LBA</t>
  </si>
  <si>
    <t>Laser Bracket Accessory
02.0263 00462 0001</t>
  </si>
  <si>
    <t>10LE21</t>
  </si>
  <si>
    <t>Module, LE21 Lock-out Relay,
Low Energy</t>
  </si>
  <si>
    <t>10LEDSOUNDER</t>
  </si>
  <si>
    <t>10LEDSOUNDER, SG "Occupied When Lit" LED Indicator w/ Buzzer</t>
  </si>
  <si>
    <t>10LHB</t>
  </si>
  <si>
    <t>10LHB, LZR HOUSING BRACKET</t>
  </si>
  <si>
    <t>10LIGHT-A</t>
  </si>
  <si>
    <t xml:space="preserve">10LIGHT-A TL70 Audible Module; Standard Voltage, 12-30 Vdc,
BLACK SGTL70A
</t>
  </si>
  <si>
    <t>10LIGHTBRACKET</t>
  </si>
  <si>
    <t>10LIGHTBRACKET Industrial Light Bracket.  S/S,Right Angle  69mm X 45mm X 61mm</t>
  </si>
  <si>
    <t>10LIGHTBRACKET-TL70</t>
  </si>
  <si>
    <t>Bracket, 30mm, 12 Gauge SS,
Curved Mounting</t>
  </si>
  <si>
    <t>10LIGHTC-G</t>
  </si>
  <si>
    <t xml:space="preserve">10LIGHTC-G EZ-LIGHT CL50 Green Column Light
Hard Wired  CL50GXXP
</t>
  </si>
  <si>
    <t>10LIGHTC-R</t>
  </si>
  <si>
    <t>EZ-LIGHT CL50 Red Column Light 
Hard Wired  CL50RXXP</t>
  </si>
  <si>
    <t>10LIGHTC-RA</t>
  </si>
  <si>
    <t>10LIGHTC-RA EZ-LIGHT -- CL50 Red Audible, Alarm Column Light W/PNP Inpts.  CL50RXXAP</t>
  </si>
  <si>
    <t>10LIGHTC-Y</t>
  </si>
  <si>
    <t>EZ-LIGHT CL50 Yellow Column
Light, Hard Wired  CL50YXXP</t>
  </si>
  <si>
    <t>10LIGHTC-YA</t>
  </si>
  <si>
    <t>EZ-LIGHT CL50 Yellow Audible
Alarm Column Light W/PNP Inpts</t>
  </si>
  <si>
    <t>10LIGHTD-RG</t>
  </si>
  <si>
    <t>EZ-LIGHT Indicator Flat Mnt PC
T=RED, B=GREEN, Field Wired
15-30VDC</t>
  </si>
  <si>
    <t>10LIGHTS-G</t>
  </si>
  <si>
    <t>EZ-LIGHT Indicator Flat or DIN
Mount PC, Green, Field Wired
15-30VDC</t>
  </si>
  <si>
    <t>10LIGHTS-R</t>
  </si>
  <si>
    <t xml:space="preserve">10LIGHTS-R EZ-LIGHT Indicator Flat or DIN Mount PC, Red, Field Wired 15-30VDC
</t>
  </si>
  <si>
    <t>10LIGHT-TBASE</t>
  </si>
  <si>
    <t>TL70 Base Housing W/ 2m, 8Wire Integral Cable, Includes Cap</t>
  </si>
  <si>
    <t>10LIGHT-TG</t>
  </si>
  <si>
    <t xml:space="preserve">TL70 Segments Housing, Green
</t>
  </si>
  <si>
    <t>10LIGHT-TR</t>
  </si>
  <si>
    <t xml:space="preserve">TL70 Segments Housing, Red
</t>
  </si>
  <si>
    <t>10LIGHT-TW</t>
  </si>
  <si>
    <t>10LIGHT-TW -- TL70 Segments Housing, White SG-TL70-W</t>
  </si>
  <si>
    <t>10LIGHT-TY</t>
  </si>
  <si>
    <t xml:space="preserve">10LIGHT-TY TL70 Segments Housing, Yellow
SGTL70Y
</t>
  </si>
  <si>
    <t>10LO21</t>
  </si>
  <si>
    <t xml:space="preserve">Module, LO21 Lock-out Relay
</t>
  </si>
  <si>
    <t>10LO21B</t>
  </si>
  <si>
    <t xml:space="preserve">Module,LO21  BSM
</t>
  </si>
  <si>
    <t>10LO21K</t>
  </si>
  <si>
    <t xml:space="preserve">Module, LO21 for Keane Monroe
</t>
  </si>
  <si>
    <t>10LO21P</t>
  </si>
  <si>
    <t xml:space="preserve">Module,LO21P, PARALLAX
</t>
  </si>
  <si>
    <t>10LO21S</t>
  </si>
  <si>
    <t>Module, LO21 Lock-out Relay,
Stanley</t>
  </si>
  <si>
    <t>10LO21U</t>
  </si>
  <si>
    <t xml:space="preserve">Module,LO21U, Universal
</t>
  </si>
  <si>
    <t>10LPR36-300</t>
  </si>
  <si>
    <t>36"" all-active push-plate, 
300mhz wireless</t>
  </si>
  <si>
    <t>10LPR36-433</t>
  </si>
  <si>
    <t>36"" all-active push-plate, 
433mhz wireless</t>
  </si>
  <si>
    <t>10LPR36-900</t>
  </si>
  <si>
    <t>36" ALL-ACTIVE PUSH-PLATE 900mhz T&amp;L</t>
  </si>
  <si>
    <t>10LPR36HW</t>
  </si>
  <si>
    <t>36"" all-active push-plate, HW
Hard Wired</t>
  </si>
  <si>
    <t>10LPR36L-300</t>
  </si>
  <si>
    <t>36"" all-active push-plate LOGO ONLY 300mhz wireless</t>
  </si>
  <si>
    <t>10LPR36L-433</t>
  </si>
  <si>
    <t>36"" LPR,  Logo only, wireless
433 wireless trx</t>
  </si>
  <si>
    <t>10LPR36L-900</t>
  </si>
  <si>
    <t>36" ALL-ACTIVE PUSH-PLATE 900mhz LOGO ONLY</t>
  </si>
  <si>
    <t>10LPR36LHW</t>
  </si>
  <si>
    <t>36"" LPR,  Logo only, HW
Hard Wired</t>
  </si>
  <si>
    <t>10LPRCAPKIT</t>
  </si>
  <si>
    <t>Endcaps for LPR</t>
  </si>
  <si>
    <t>10LZBR12SUL</t>
  </si>
  <si>
    <t>10LZBR12SUL, L &amp; Z BRACKET KIT MAGLOCK1UL, (With Jagged)</t>
  </si>
  <si>
    <t>10LZBR6SUL</t>
  </si>
  <si>
    <t xml:space="preserve">10LZBR6SUL, L &amp; Z BRACKET KIT MAGLOCK3UL (With Jagged)
</t>
  </si>
  <si>
    <t>10LZBRGATE1200</t>
  </si>
  <si>
    <t>L &amp; Z Bracket Kit, Gatelock
For 1200 lbs,Includes Hardware</t>
  </si>
  <si>
    <t>10LZBRMAG1UL - OBSOLETE</t>
  </si>
  <si>
    <t>L &amp; Z bracket kit, Maglock1UL
for 1200lbs, includes hardware</t>
  </si>
  <si>
    <t>10LZBRMAG3UL - OBSOLETE</t>
  </si>
  <si>
    <t>L &amp; Z bracket kit, Maglock3UL
for 600lbs, includes hardware</t>
  </si>
  <si>
    <t>10LZRFLATSCAN U952</t>
  </si>
  <si>
    <t>LZR®-FLATSCAN-U952</t>
  </si>
  <si>
    <t>10LZRFLATSCAN3D-LB</t>
  </si>
  <si>
    <t>FLATSCAN 3D LEFT SENSOR ONLY, 1 Replacement Sensor</t>
  </si>
  <si>
    <t>10LZRFLATSCAN3D-LBK</t>
  </si>
  <si>
    <t>FLATSCAN 3D LEFT ONLY KIT, 1 Sensor + Cables and Accessories</t>
  </si>
  <si>
    <t>10LZRFLATSCAN3D-LELBKIT</t>
  </si>
  <si>
    <t>Flatscan 3D LE Left Kit, 2Sensors + Cables and Accessories</t>
  </si>
  <si>
    <t>10LZRFLATSCAN3D-LERBKIT</t>
  </si>
  <si>
    <t>Flatscan 3D LE Right KIT, 2 Sensors + Cables and Accessories</t>
  </si>
  <si>
    <t>10LZRFLATSCAN3D-LESWBK</t>
  </si>
  <si>
    <t>Flatscan 3D L.E Kit, 2Sensors + Cables and Accessories</t>
  </si>
  <si>
    <t>10LZRFLATSCAN3D-RB</t>
  </si>
  <si>
    <t>FLATSCAN 3D RIGHT SENSOR ONLY</t>
  </si>
  <si>
    <t>10LZRFLATSCAN3D-RBK</t>
  </si>
  <si>
    <t>FLATSCAN 3D RIGHT ONLY KIT, 1 Sensor + Cable and Accessories</t>
  </si>
  <si>
    <t>10LZRFLATSCAN3D-SWBK</t>
  </si>
  <si>
    <t>FLATSCAN 3D Kit, BLACK, 2 Sensors + Cables and Accessories</t>
  </si>
  <si>
    <t>10LZRFLATSCAN3D-SWBKU</t>
  </si>
  <si>
    <t>10LZRFLATSCANGDA</t>
  </si>
  <si>
    <t>Flatscan GLass Door Accessory</t>
  </si>
  <si>
    <t>10LZRFLATSCAN-LB</t>
  </si>
  <si>
    <t>LZRFLATSCANLEFT BLACK, Sensor ONLY</t>
  </si>
  <si>
    <t>10LZRFLATSCAN-LELB</t>
  </si>
  <si>
    <t>LZRFLATSCAN Low Energy LEFT BLACK</t>
  </si>
  <si>
    <t>10LZRFLATSCAN-LELS</t>
  </si>
  <si>
    <t>LZRFLATSCAN Low Energy LEFT SILVER</t>
  </si>
  <si>
    <t>10LZRFLATSCAN-LELW</t>
  </si>
  <si>
    <t>LZRFLATSCAN Low Energy LEFT WHITE</t>
  </si>
  <si>
    <t>10LZRFLATSCAN-LERB</t>
  </si>
  <si>
    <t>LZRFLATSCAN Low Energy RIGHT BLACK</t>
  </si>
  <si>
    <t>10LZRFLATSCAN-LERS</t>
  </si>
  <si>
    <t>LZRFLATSCAN Low Energy RIGHT SILVER</t>
  </si>
  <si>
    <t>10LZRFLATSCAN-LERW</t>
  </si>
  <si>
    <t>LZRFLATSCAN Low Energy RIGHT WHITE</t>
  </si>
  <si>
    <t>10LZRFLATSCAN-LS</t>
  </si>
  <si>
    <t>LZRFLATSCANLEFT SILVER, Sensor ONLY</t>
  </si>
  <si>
    <t>10LZRFLATSCAN-LW</t>
  </si>
  <si>
    <t>LZRFLATSCANLEFT WHITE, Sensor ONLY</t>
  </si>
  <si>
    <t>10LZRFLATSCAN-RB</t>
  </si>
  <si>
    <t>LZRFLATSCAN Sensor ONLY, RIGHT BLACK</t>
  </si>
  <si>
    <t>10LZRFLATSCANREVPZ-R</t>
  </si>
  <si>
    <t>LZR®-FLATSCAN REV-PZ RECESSED</t>
  </si>
  <si>
    <t>10LZRFLATSCANREVPZ-SM</t>
  </si>
  <si>
    <t>LZR®-FLATSCAN REV-PZ SURFACE MOUNT</t>
  </si>
  <si>
    <t>10LZRFLATSCAN-RS</t>
  </si>
  <si>
    <t>LZRFLATSCAN Sensor ONLY, RIGHT SILVER</t>
  </si>
  <si>
    <t>10LZRFLATSCAN-RW</t>
  </si>
  <si>
    <t>LZRFLATSCAN Sensor ONLY, RIGHT WHITE</t>
  </si>
  <si>
    <t>10LZRFLATSCAN-S</t>
  </si>
  <si>
    <t>FLATSCAN S</t>
  </si>
  <si>
    <t>10LZRFLATSCAN-SWB</t>
  </si>
  <si>
    <t>LZRFLATSCAN KIT, BLACK, 2 sensors + Cables &amp; Accessories</t>
  </si>
  <si>
    <t>10LZRFLATSCAN-SWBU</t>
  </si>
  <si>
    <t>LZRFLATSCAN KIT, BLACK, 2 sensors + Cbls &amp; Accssy &amp; Pwr Sply</t>
  </si>
  <si>
    <t>10LZRFLATSCAN-SWS</t>
  </si>
  <si>
    <t>LZRFLATSCAN KIT, SILVER, 2 sensors + Cables &amp; Accessories</t>
  </si>
  <si>
    <t>10LZRFLATSCAN-SWW</t>
  </si>
  <si>
    <t>LZRFLATSCAN KIT, WHITE, 2 sensors + Cables &amp; Accessories</t>
  </si>
  <si>
    <t>10LZRFLATSCAN-WLB</t>
  </si>
  <si>
    <t>LZR FLATSCAN W LEFT BLACK</t>
  </si>
  <si>
    <t>10LZRFLATSCAN-WRB</t>
  </si>
  <si>
    <t>LZR FLATSCAN W RIGHT BLACK</t>
  </si>
  <si>
    <t>10LZRH100</t>
  </si>
  <si>
    <t>LZR®-GOLD-BLACK BLK-02 H100</t>
  </si>
  <si>
    <t>10LZRI30</t>
  </si>
  <si>
    <t>Laser Scanner, I30 US Market
US wire colors, US config.</t>
  </si>
  <si>
    <t>10LZRMICROLEFT-T</t>
  </si>
  <si>
    <t>Microscan Replacement LEFT
Replacement LEFT</t>
  </si>
  <si>
    <t>10LZRMICRORIGHT-T</t>
  </si>
  <si>
    <t>Microscan Replacement RIGHT
Replacement RIGHT</t>
  </si>
  <si>
    <t>10LZRMICROSCAN1T</t>
  </si>
  <si>
    <t>LZR Microscan Kit, 1 DOOR
2 Microscans + Hub + cables</t>
  </si>
  <si>
    <t>10LZRMICROSCAN1UT</t>
  </si>
  <si>
    <t>10LZRMICROSCAN1UT KIT, Universal Kit with Power Supply &amp; DS</t>
  </si>
  <si>
    <t>10LZRMICROSCAN2T</t>
  </si>
  <si>
    <t>LZR MICROSCAN 2 KIT
PAIR OF DOORS</t>
  </si>
  <si>
    <t>10LZRMICROSCAN2UT</t>
  </si>
  <si>
    <t>10LZRMICROSCAN2UT KIT, Universal Kit with Power Supply &amp; DS</t>
  </si>
  <si>
    <t>10LZRMICROSCANHUB</t>
  </si>
  <si>
    <t>LZR-Microscan HUB unit
Replacement unit ONLY</t>
  </si>
  <si>
    <t>10LZRS600</t>
  </si>
  <si>
    <t>LZR®-GOLD-BLACK BLK-02 S600</t>
  </si>
  <si>
    <t>10LZRSIGMA-CA</t>
  </si>
  <si>
    <t>LZRSIGMA  CEILING ACCESSORY, RECESSED</t>
  </si>
  <si>
    <t>10LZRSIGMA-WAB</t>
  </si>
  <si>
    <t>LZRSIGMA WALL MOUNT ACCESSORY BLACK</t>
  </si>
  <si>
    <t>10LZRSIGMA-WAW</t>
  </si>
  <si>
    <t>LZRSIGMA WALL MOUNT ACCESSORY WHITE</t>
  </si>
  <si>
    <t>10LZRU920</t>
  </si>
  <si>
    <t>LZR®-GOLD-BLACK BLK-02 U920</t>
  </si>
  <si>
    <t>10LZRU921</t>
  </si>
  <si>
    <t>LZR®-GOLD-BLACK BLK-02 U921</t>
  </si>
  <si>
    <t>10LZRWIDESCAN</t>
  </si>
  <si>
    <t>Widescan Industrial Sensor</t>
  </si>
  <si>
    <t>10MAGDE1</t>
  </si>
  <si>
    <t>Maglock,External Siren,Keyswit
Signage, Delayed Egress, UL</t>
  </si>
  <si>
    <t>10MAGLIFELOCK9</t>
  </si>
  <si>
    <t>10MAGLIFLOCK9 -- SINGLE 80LBS MINI ELECT. LOCK</t>
  </si>
  <si>
    <t>10MAGLOCK1UL</t>
  </si>
  <si>
    <t xml:space="preserve">Maglock, 1200lb sgl, UL Listed
</t>
  </si>
  <si>
    <t>10MAGLOCK1ULDS</t>
  </si>
  <si>
    <t xml:space="preserve">Maglock, 1200lb sgl, DR STATUS, UL LISTED 
</t>
  </si>
  <si>
    <t>10MAGLOCK3UL</t>
  </si>
  <si>
    <t xml:space="preserve">Maglock, 600lb sgl, UL Listed
</t>
  </si>
  <si>
    <t>10MAGLOCK3ULDS</t>
  </si>
  <si>
    <t>Maglock, 600lb sgl, DR STATUS
UL LISTED</t>
  </si>
  <si>
    <t>10MAGLOCK5UL</t>
  </si>
  <si>
    <t xml:space="preserve">Maglock, 1200lb dbl, UL Listed
</t>
  </si>
  <si>
    <t>10MAGLOCK5ULDS</t>
  </si>
  <si>
    <t>Maglock, 1200lb dbl, DR STATUS
UL LISTED</t>
  </si>
  <si>
    <t>10MAGLOCK6UL</t>
  </si>
  <si>
    <t xml:space="preserve">Maglock, 600lb dbl, UL Listed
</t>
  </si>
  <si>
    <t>10MAGLOCK6ULDS</t>
  </si>
  <si>
    <t>Maglock, 600lb dbl, DR STATUS
UL LISTED</t>
  </si>
  <si>
    <t>10MATRIXD110</t>
  </si>
  <si>
    <t xml:space="preserve">Matrix, Double Unit, 110volt
</t>
  </si>
  <si>
    <t>10MATRIXD1224</t>
  </si>
  <si>
    <t xml:space="preserve">Matrix, Double Unit, 12-24volt
</t>
  </si>
  <si>
    <t>10MATRIXHARN</t>
  </si>
  <si>
    <t xml:space="preserve">Harness, Matrix
</t>
  </si>
  <si>
    <t>10MATRIXIIS110</t>
  </si>
  <si>
    <t>MatrixII Single Unit, 110 Volt
with yellow housing</t>
  </si>
  <si>
    <t>10MATRIXIIS1224</t>
  </si>
  <si>
    <t>MatrixII Single Unit 12-24 vlt
with yellow housing</t>
  </si>
  <si>
    <t>10MC15</t>
  </si>
  <si>
    <t>Module,MC15 Safety Module and
Lock Out Relay</t>
  </si>
  <si>
    <t>10MC25</t>
  </si>
  <si>
    <t>Module,MC25 Delay on Make,
Delay on Break Time Delay</t>
  </si>
  <si>
    <t>10MICRO1DADAPT</t>
  </si>
  <si>
    <t>Microcell DBL, with beam adapt
no cables, w/ Optex adapters</t>
  </si>
  <si>
    <t>10MICRO1SADAPT</t>
  </si>
  <si>
    <t>Microcell SGL, with beam adapt
no cables, w/ Optex adapters</t>
  </si>
  <si>
    <t>10MICROCELL1D</t>
  </si>
  <si>
    <t>Microcell Double Safety Beams,
5 Meter Cables</t>
  </si>
  <si>
    <t>10MICROCELL1DL</t>
  </si>
  <si>
    <t>Microcell Double Safety Beam
Set, 10 Meter Cables</t>
  </si>
  <si>
    <t>10MICROCELL1S</t>
  </si>
  <si>
    <t>Microcell Single Safety Beams,
5 Meter Cables</t>
  </si>
  <si>
    <t>10MICROCELL1SL</t>
  </si>
  <si>
    <t>Microcell Single Safety Beams,
10 Meter Cables</t>
  </si>
  <si>
    <t>10MICROCELLADAPTER</t>
  </si>
  <si>
    <t>Harness, Microcell cable adapt
2 harnesses for 1 set of beams</t>
  </si>
  <si>
    <t>10MICROCONTROL</t>
  </si>
  <si>
    <t xml:space="preserve">Microcell Control Box
</t>
  </si>
  <si>
    <t>10MICROSCANMOUNT</t>
  </si>
  <si>
    <t>Mounting Kit, Microscan
For Center Pivot Doors</t>
  </si>
  <si>
    <t>10MICROSCAN-UKIT</t>
  </si>
  <si>
    <t>Microscan Universal Kit Accessory, Power Supply + Doorswitch</t>
  </si>
  <si>
    <t>10MICROSCAN-Y</t>
  </si>
  <si>
    <t>Mounting Kit, Microscan
For Glass or Fire Door</t>
  </si>
  <si>
    <t>10MINIBRACKET</t>
  </si>
  <si>
    <t>Mini Bracket for Industrial Sensors</t>
  </si>
  <si>
    <t>10MS09L</t>
  </si>
  <si>
    <t>MS09 IND. Magic Switch logo
Hand Logo Only</t>
  </si>
  <si>
    <t>10MS09TL</t>
  </si>
  <si>
    <t>MS09 IND. Magic Switch T&amp;L
text and logo</t>
  </si>
  <si>
    <t>10MS31BASE</t>
  </si>
  <si>
    <t>10MS31BASE, Base Unit for Custom MS31</t>
  </si>
  <si>
    <t>10MS31J-B</t>
  </si>
  <si>
    <t>10MS31J-B Black Standard Magic Switch, JAMB Style</t>
  </si>
  <si>
    <t>10MS31J-G</t>
  </si>
  <si>
    <t>10MS31J-G Gray Standard Magic Switch, JAMB Style</t>
  </si>
  <si>
    <t>10MS31J-W</t>
  </si>
  <si>
    <t>10MS31J-W White Standard Magic Switch, JAMB Style</t>
  </si>
  <si>
    <t>10MS31R-B</t>
  </si>
  <si>
    <t>10MS31R-B Black Standard Magic Switch,  6" ROUND</t>
  </si>
  <si>
    <t>10MS31R-G</t>
  </si>
  <si>
    <t>10MS31R-G Gray Standard Magic Switch,  6" ROUND</t>
  </si>
  <si>
    <t>10MS31R-W</t>
  </si>
  <si>
    <t>10MS31R-W White Standard Magic Switch,  6" ROUND</t>
  </si>
  <si>
    <t>10MS31U-B</t>
  </si>
  <si>
    <t>10MS31U-B Black Standard Magic Switch, SG + DG Faceplates</t>
  </si>
  <si>
    <t>10MS31U-G</t>
  </si>
  <si>
    <t>10MS31U-G Gray Standard Magic Switch, SG + DG Faceplates</t>
  </si>
  <si>
    <t>10MS31U-W</t>
  </si>
  <si>
    <t>10MS31U-W White Standard Magic Switch, SG + DG Faceplates</t>
  </si>
  <si>
    <t>10MS41-D</t>
  </si>
  <si>
    <t>10MS41-D Magic Switch, Touchless, Stainless Steel DOUBLE GANG</t>
  </si>
  <si>
    <t>10MS41-DA</t>
  </si>
  <si>
    <t>10MS41-DA Magic Switch, Touchless SS Double Gang, ACCESS LOGO</t>
  </si>
  <si>
    <t>10MS41-DP</t>
  </si>
  <si>
    <t>10MS41-DP Magic Switch, Touchless, SS, Double Gang, PLAIN</t>
  </si>
  <si>
    <t>10MS41-DPAL</t>
  </si>
  <si>
    <t>10MS41-DP Magic Switch, Touchless, SS, DG, PLAIN, ACCESS</t>
  </si>
  <si>
    <t>10MS41-DPHL</t>
  </si>
  <si>
    <t>10MS41-DP Magic Switch, Touchless, SS, DG, PLAIN, HAND</t>
  </si>
  <si>
    <t>10MS41-J</t>
  </si>
  <si>
    <t>10MS41-J Magic Switch, Touchless, Stainless Steel JAMB</t>
  </si>
  <si>
    <t>10MS41-JA</t>
  </si>
  <si>
    <t>10MS41-JA Magic Switch, Touchless, SS JAMB, ACCESS LOGO</t>
  </si>
  <si>
    <t>10MS41-JP</t>
  </si>
  <si>
    <t>10MS41-JP
 Magic Switch, Touchless, SS JAMB, PLAIN</t>
  </si>
  <si>
    <t>10MS41-JPAL</t>
  </si>
  <si>
    <t>10MS41-JPAL
 Magic Switch, Touchless, SS JAMB, PLAIN, ACCESS</t>
  </si>
  <si>
    <t>10MS41-JPHL</t>
  </si>
  <si>
    <t>10MS41-JPHL Magic Switch, Touchless, SS JAMB, PLAIN, HAND</t>
  </si>
  <si>
    <t>10MS41-R</t>
  </si>
  <si>
    <t>10MS41-R Magic Switch, Touchless, Stainless Steel 6" ROUND</t>
  </si>
  <si>
    <t>10MS41-RA</t>
  </si>
  <si>
    <t>10MS41-RA Magic Switch, Touchess, SS 6" ROUND, ACCESS LOGO</t>
  </si>
  <si>
    <t>10MS41-RP</t>
  </si>
  <si>
    <t>10MS41-RP Magic Switch, Touchless, SS, 6" ROUND, PLAIN</t>
  </si>
  <si>
    <t>10MS41-RPAL</t>
  </si>
  <si>
    <t>10MS41-RP Magic Switch, Touchless, SS, 6" ROUND, PLAIN, ACCES</t>
  </si>
  <si>
    <t>10MS41-RPHL</t>
  </si>
  <si>
    <t>10MS41-RP Magic Switch, Touchless, SS, 6" ROUND, PLAIN, HAND</t>
  </si>
  <si>
    <t>10MS41-S</t>
  </si>
  <si>
    <t xml:space="preserve">MAGIC SWITCH Single Gang, TEXT + HAND LOGO
</t>
  </si>
  <si>
    <t>10MS41-SA</t>
  </si>
  <si>
    <t>10MS41-SA Magic Switch, Touchless SS Single Gang, ACCESS LOGO</t>
  </si>
  <si>
    <t>10MS41-SP</t>
  </si>
  <si>
    <t>10MS41-SP Magic Switch, Touchless, SS, Single Gang, PLAIN</t>
  </si>
  <si>
    <t>10MS41-SPAL</t>
  </si>
  <si>
    <t>10MS41-SP Magic Switch, Touchless, SS, SG, PLAIN, ACCESS</t>
  </si>
  <si>
    <t>10MS41-SPHL</t>
  </si>
  <si>
    <t>10MS41-SP Magic Switch, Touchless, SS, SG, PLAIN, HAND</t>
  </si>
  <si>
    <t>10MS51-D</t>
  </si>
  <si>
    <t>MS51 RELAY VERSION Double Gang Wave to Open + Hand</t>
  </si>
  <si>
    <t>10MS51-DA</t>
  </si>
  <si>
    <t>MS51 RELAY VERSION Double Gang Wave to Open + Wheelchair</t>
  </si>
  <si>
    <t>10MS51-DP</t>
  </si>
  <si>
    <t>MS51 RELAY VERSION Double Gang Plain</t>
  </si>
  <si>
    <t>10MS51-DT</t>
  </si>
  <si>
    <t>MS51 RELAY VERSION Double Gang Wave to Open</t>
  </si>
  <si>
    <t>10MS51-J</t>
  </si>
  <si>
    <t>MS51 RELAY VERSION Jamb Wave to Open + Hand</t>
  </si>
  <si>
    <t>10MS51-JA</t>
  </si>
  <si>
    <t>MS51 RELAY VERSION Jamb Wave to Open + Wheelchair</t>
  </si>
  <si>
    <t>10MS51-JP</t>
  </si>
  <si>
    <t>MS51 RELAY VERSION Jamb Plain</t>
  </si>
  <si>
    <t>10MS51-JT</t>
  </si>
  <si>
    <t>MS51 RELAY VERSION  Jamb Wave to Open</t>
  </si>
  <si>
    <t>10MS51-R</t>
  </si>
  <si>
    <t>MS51 RELAY VERSION Round Wave to Open + Hand</t>
  </si>
  <si>
    <t>10MS51-RA</t>
  </si>
  <si>
    <t>MS51 RELAY VERSION Round Wave to Open + Wheelchair</t>
  </si>
  <si>
    <t>10MS51-RP</t>
  </si>
  <si>
    <t>MS51 RELAY VERSION Round Plain</t>
  </si>
  <si>
    <t>10MS51-RT</t>
  </si>
  <si>
    <t>MS51 RELAY VERSION Round Wave to Open</t>
  </si>
  <si>
    <t>10MS51-S</t>
  </si>
  <si>
    <t>MS51 RELAY VERSION Single Gang Wave to Open + Hand</t>
  </si>
  <si>
    <t>10MS51-SA</t>
  </si>
  <si>
    <t>MS51 RELAY VERSION Single Gang Wave to Open + Wheelchair</t>
  </si>
  <si>
    <t>10MS51-SAF</t>
  </si>
  <si>
    <t>MS51 RELAY VERSION SG Wave to Open + Wheelchair, FRENCH</t>
  </si>
  <si>
    <t>10MS51-SP</t>
  </si>
  <si>
    <t>MS51 RELAY VERSION Single Gang Plain</t>
  </si>
  <si>
    <t>10MS51-ST</t>
  </si>
  <si>
    <t>MS51 RELAY VERSION Single Gang Wave to Open</t>
  </si>
  <si>
    <t>10MS51W-D</t>
  </si>
  <si>
    <t>MS51W WIRELESS - 900MHz VER. Double Gang Wave to Open + Hand</t>
  </si>
  <si>
    <t>10MS51W-DA</t>
  </si>
  <si>
    <t>MS51W WIRELESS -900MHz Double Gang Wave to Open + Wheelchair</t>
  </si>
  <si>
    <t>10MS51W-DKIT</t>
  </si>
  <si>
    <t>MS51 WIRELESS VERSION - Double Gang Kit</t>
  </si>
  <si>
    <t>10MS51W-DP</t>
  </si>
  <si>
    <t>MS51W WIRELESS - 900MHz VERSION Double Gang Plain</t>
  </si>
  <si>
    <t>10MS51W-DT</t>
  </si>
  <si>
    <t>MS51W WIRELESS - 900MHz VERSION Double Gang Wave to Open</t>
  </si>
  <si>
    <t>10MS51W-J</t>
  </si>
  <si>
    <t>MS51W WIRELESS - 900MHz VERSION Jamb Wave to Open + Hand</t>
  </si>
  <si>
    <t>10MS51W-JA</t>
  </si>
  <si>
    <t>MS51W WIRELESS - 900MHz VER. Jamb Wave to Open + Wheelchair</t>
  </si>
  <si>
    <t>10MS51W-JP</t>
  </si>
  <si>
    <t>MS51W WIRELESS - 900MHz VERSION Jamb Plain</t>
  </si>
  <si>
    <t>10MS51W-JT</t>
  </si>
  <si>
    <t>MS51W WIRELESS - 900MHz VERSION Jamb Wave to Open</t>
  </si>
  <si>
    <t>10MS51W-R</t>
  </si>
  <si>
    <t>MS51W WIRELESS - 900MHz VER. Round Wave to Open + Hand</t>
  </si>
  <si>
    <t>10MS51W-RA</t>
  </si>
  <si>
    <t>MS51W WIRELESS - 900MHz VER. Round Wave to Open + Wheelchair</t>
  </si>
  <si>
    <t>10MS51W-RP</t>
  </si>
  <si>
    <t>MS51W WIRELESS - 900MHz VERSION Round Plain</t>
  </si>
  <si>
    <t>10MS51W-RT</t>
  </si>
  <si>
    <t>MS51W WIRELESS - 900MHz VERSION Round Wave to Open</t>
  </si>
  <si>
    <t>10MS51W-S</t>
  </si>
  <si>
    <t>MS51W WIRELESS - 900MHz VER. Single Gang Wave to Open + Hand</t>
  </si>
  <si>
    <t>10MS51W-SA</t>
  </si>
  <si>
    <t>MS51W WIRELESS -900MHz Single Gang Wave to Open + Wheelchair</t>
  </si>
  <si>
    <t>10MS51W-SAF</t>
  </si>
  <si>
    <t>MS51W WIRELESS -900MHz SG Wave to Open + Wheelchair, FRENCH</t>
  </si>
  <si>
    <t>10MS51W-SKIT</t>
  </si>
  <si>
    <t>MS51 WIRELESS VERSION - Single Gang Kit</t>
  </si>
  <si>
    <t>10MS51W-SP</t>
  </si>
  <si>
    <t>MS51W WIRELESS - 900MHz VERSION Single Gang Plain</t>
  </si>
  <si>
    <t>10MS51W-ST</t>
  </si>
  <si>
    <t>MS51W WIRELESS - 900MHz VERSION Single Gang Wave to Open</t>
  </si>
  <si>
    <t>10MSBOXDGSM</t>
  </si>
  <si>
    <t>10MSBOXDGSM, BOX, MAGIC SWITCH, DOUBLE GANG, SURFACE MOUNT</t>
  </si>
  <si>
    <t>10MSBOXJAMBSM</t>
  </si>
  <si>
    <t>10MSBOXJAMBSM, BOX, MAGIC SWITCH, JAMB, SURFACE MOUNT</t>
  </si>
  <si>
    <t>10MSBOXRNDSM</t>
  </si>
  <si>
    <t>10MSBOXRNDSM, BOX, MAGIC SWITCH, ROUND, SURFACE MOUNT</t>
  </si>
  <si>
    <t>10MSBOXSGSM</t>
  </si>
  <si>
    <t>10MSBOXSGSM, BOX, MAGIC SWITCH, SINGLE GANG, SURFACE MOUNT</t>
  </si>
  <si>
    <t>10MSRR-D</t>
  </si>
  <si>
    <t>Magic Switch Restroom Kit Double Gang</t>
  </si>
  <si>
    <t>10MSRR-DGPS</t>
  </si>
  <si>
    <t>Magic Switch Restroom Kit Double Gang w/power supply cabinet</t>
  </si>
  <si>
    <t>10MSRR-S</t>
  </si>
  <si>
    <t>Magic Switch Restroom Kit Single Gang</t>
  </si>
  <si>
    <t>10MSRR-SGPS</t>
  </si>
  <si>
    <t>Magic Switch Restroom Kit Single Gang w/power supply cabinet</t>
  </si>
  <si>
    <t>10PBDGP1</t>
  </si>
  <si>
    <t>Push Plate,S/S Dual Gang ,
Text and Logo</t>
  </si>
  <si>
    <t>10PBJ</t>
  </si>
  <si>
    <t xml:space="preserve">Push Plate,S/S Jamb,Text
</t>
  </si>
  <si>
    <t>10PBJ1</t>
  </si>
  <si>
    <t xml:space="preserve">Push Plate,S/S Jamb,T&amp;L
</t>
  </si>
  <si>
    <t>10PBJ10</t>
  </si>
  <si>
    <t xml:space="preserve">Push Plate,S/S Jamb,Plain
</t>
  </si>
  <si>
    <t>10PBJ1B</t>
  </si>
  <si>
    <t>Push Plate,S/S Jamb,T&amp;L
Blue Powdercoat</t>
  </si>
  <si>
    <t>10PBJE</t>
  </si>
  <si>
    <t>Push Plate, Jamb, Push to Exit
SS, 1.5"" x 4.75"" text only</t>
  </si>
  <si>
    <t>10PBJL</t>
  </si>
  <si>
    <t xml:space="preserve">Push Plate,S/S Jamb,Logo
</t>
  </si>
  <si>
    <t>10PBJM1</t>
  </si>
  <si>
    <t>Push Plate,S/S Jamb,T&amp;L
2 Stud wtih boot</t>
  </si>
  <si>
    <t>10PBJML</t>
  </si>
  <si>
    <t>Push Plate,S/S Jamb,Logo
2-Stud with boot</t>
  </si>
  <si>
    <t>10PBJMS1</t>
  </si>
  <si>
    <t>Jamb 1.75 x 4.5 Text and Logo
Microswitch</t>
  </si>
  <si>
    <t>10PBJMSLL</t>
  </si>
  <si>
    <t>Jamb 1.75 x 4.5/Logo
Microswitch</t>
  </si>
  <si>
    <t>10PBJSREV</t>
  </si>
  <si>
    <t>Push Plate, Jamb Braille
Custom for Besam</t>
  </si>
  <si>
    <t>10PBO241</t>
  </si>
  <si>
    <t>Push Plate,S/S 2"" x 4"" Oblong
TEXT &amp; LOGO</t>
  </si>
  <si>
    <t>10PBO2410</t>
  </si>
  <si>
    <t>Push Plate,S/S 2"" x 4"" Oblong
Plain</t>
  </si>
  <si>
    <t>10PBO24E</t>
  </si>
  <si>
    <t>Push Plate,S/S 2"" x 4"" Oblong,
PUSH TO EXIT</t>
  </si>
  <si>
    <t>10PBO24L</t>
  </si>
  <si>
    <t>Push Plate,S/S 2"" x 4"" Oblong,
Logo Only</t>
  </si>
  <si>
    <t>10PBR</t>
  </si>
  <si>
    <t>Push Plate,S/S 6"" Rnd,Text,
.093 Thru Holes</t>
  </si>
  <si>
    <t>10PBR1</t>
  </si>
  <si>
    <t>Push Plate,S/S 6"" Rnd,T&amp;L,.093
Thru Holes</t>
  </si>
  <si>
    <t>10PBR10</t>
  </si>
  <si>
    <t xml:space="preserve">Push Plate,S/S 6"" Rnd,Plain
</t>
  </si>
  <si>
    <t>10PBR1AL</t>
  </si>
  <si>
    <t>10PBR1AL, 6" round SS plate, text &amp; Alternative logo</t>
  </si>
  <si>
    <t>10PBR45</t>
  </si>
  <si>
    <t xml:space="preserve">Push Plate,S/S 4.5"" Rnd,Text
</t>
  </si>
  <si>
    <t>10PBR451</t>
  </si>
  <si>
    <t xml:space="preserve">Push Plate,S/S 4.5"" Rnd,T&amp;L
</t>
  </si>
  <si>
    <t>10PBR4510</t>
  </si>
  <si>
    <t xml:space="preserve">Push Plate,S/S 4.5"" Rnd,Plain
</t>
  </si>
  <si>
    <t>10PBR45LL</t>
  </si>
  <si>
    <t xml:space="preserve">Push Plate,S/S 4.5"" Rnd,LgLogo
</t>
  </si>
  <si>
    <t>10PBRLL</t>
  </si>
  <si>
    <t xml:space="preserve">Push Plate,S/S 6"" Rnd,Lg Logo
</t>
  </si>
  <si>
    <t>10PBS</t>
  </si>
  <si>
    <t>Push Plate,S/S,4.75"" Sq,Text,
.093 Thru Hole</t>
  </si>
  <si>
    <t>10PBS1</t>
  </si>
  <si>
    <t>Push Plate,S/S 4.75"" Sq.,T&amp;L,
.093 Thru Holes</t>
  </si>
  <si>
    <t>10PBS10</t>
  </si>
  <si>
    <t xml:space="preserve">Push Plate,S/S 4.75"" Sq, Plain
</t>
  </si>
  <si>
    <t>10PBS1AL</t>
  </si>
  <si>
    <t>10PBS1AL, 4.75" Square SS push plate, text &amp; Alternativ logo</t>
  </si>
  <si>
    <t>10PBS1B</t>
  </si>
  <si>
    <t>Push Plate,S/S 4.75"" Sq.,T&amp;L,
Blue Powdercoat with White T&amp;L</t>
  </si>
  <si>
    <t>10PBS1SB</t>
  </si>
  <si>
    <t>PushPlate, Satin Brass plated
T&amp;L, S/S Titanium Plated Brass</t>
  </si>
  <si>
    <t>10PBS45</t>
  </si>
  <si>
    <t xml:space="preserve">Push Plate,S/S 4.5"" Sq,Text
</t>
  </si>
  <si>
    <t>10PBS451</t>
  </si>
  <si>
    <t xml:space="preserve"> 4.5 INCH SQUARE PUSH PLATE, 4.5" Square, Stainless Steel, Text + Logo 
</t>
  </si>
  <si>
    <t>10PBS4510</t>
  </si>
  <si>
    <t xml:space="preserve">Push Plate,S/S 4.5"" Sq,Plain
</t>
  </si>
  <si>
    <t>10PBS451AL</t>
  </si>
  <si>
    <t>10PBS451, 4.5" Square SS push plate, text &amp; ALT logo</t>
  </si>
  <si>
    <t>10PBS451B</t>
  </si>
  <si>
    <t>Push Plate,S/S 4.5"" Sq,T&amp;L
Blue Powdercoat/Leatherette</t>
  </si>
  <si>
    <t>10PBS45B</t>
  </si>
  <si>
    <t>Push Plate,S/S 4.5"" Sq,Text
Blue Powdercoat/ Leatherette</t>
  </si>
  <si>
    <t>10PBS45LL</t>
  </si>
  <si>
    <t>Push Plate,S/S 4.5"" Sq, LL
Large Logo only</t>
  </si>
  <si>
    <t>10PBS45POD</t>
  </si>
  <si>
    <t>Push Plate,S/S,4.5"" Sq,Text,
Press To Operate Door</t>
  </si>
  <si>
    <t>10PBS6</t>
  </si>
  <si>
    <t>Push Plate 6"" Square TEXT only
Stainless STL, .093 Thru Holes</t>
  </si>
  <si>
    <t>10PBS61</t>
  </si>
  <si>
    <t>Push Plate 6"" Square text+logo
Stainless STL, .093 Thru Holes</t>
  </si>
  <si>
    <t>10PBS610</t>
  </si>
  <si>
    <t>Push Plate 6"" Square, Plain
Stainless STL, .093 Thru Holes</t>
  </si>
  <si>
    <t>10PBS6LL</t>
  </si>
  <si>
    <t>Push Plate 6"" Square LOGO only
Stainless STL, .093 Thru Holes</t>
  </si>
  <si>
    <t>10PBSE</t>
  </si>
  <si>
    <t>Push Plate, SQ, Push to Exit
SS, 4.75"" square, text only</t>
  </si>
  <si>
    <t>10PBSLL</t>
  </si>
  <si>
    <t>Push Plate,S/S 4.75 Sq,Large
Logo</t>
  </si>
  <si>
    <t>10PHOENIXEX100</t>
  </si>
  <si>
    <t>Falcon Sensor EXPROOF HSG Grey, R1 &amp; R2 config, 100ft cabe</t>
  </si>
  <si>
    <t>10PHOENIXEX-IT100</t>
  </si>
  <si>
    <t>Falcon EXPROOF HSG Grey, R1 &amp; R2 config, 100ft cable</t>
  </si>
  <si>
    <t>10PHOENIXEXW100</t>
  </si>
  <si>
    <t>PHOENIXEX WIDE, Explosion Proof Gray, R1 &amp; R2 config, 100ft</t>
  </si>
  <si>
    <t>10PHOENIXEXW-IT100</t>
  </si>
  <si>
    <t>PHOENIXEX ITW, Explosion Proof Gray, 100ft</t>
  </si>
  <si>
    <t>10PHOENIXEXXL100</t>
  </si>
  <si>
    <t>PHOENIXEX XL IND Motion Sensor, Grey, R1 &amp; R2 config, 100FT</t>
  </si>
  <si>
    <t>10PHOENIXEXXL-IT100</t>
  </si>
  <si>
    <t>PHOENIXEXITXL Industrial EX-PROOF Motion Sensor - 100ft cable</t>
  </si>
  <si>
    <t>10PIEZO241</t>
  </si>
  <si>
    <t xml:space="preserve">Piezoelectric Switch, Single
Gang, ""Push To Exit"" in Red
</t>
  </si>
  <si>
    <t>10PROXIMOD</t>
  </si>
  <si>
    <t>ProximoD Dual Sensor 
Black</t>
  </si>
  <si>
    <t>10PS12-24</t>
  </si>
  <si>
    <t>Power Supply / Battery Charger
12vdc or 24vdc @ 1.75 amp, UL</t>
  </si>
  <si>
    <t>10PS12-24D</t>
  </si>
  <si>
    <t>Pwr Sup. / Bat. Chgr, 12vdc or
24vdc @ 1.75 amp, Acom. 2 Bat.</t>
  </si>
  <si>
    <t>10PSMDR2024</t>
  </si>
  <si>
    <t xml:space="preserve">10PSMDR2024 -- DIN Rail Power Supply 24W 24V 1A
</t>
  </si>
  <si>
    <t>10PSST242</t>
  </si>
  <si>
    <t>AC/DC Power Supply, ITE, 1 Output, 24 W, 24 V, 2 A</t>
  </si>
  <si>
    <t>10PSVR5T</t>
  </si>
  <si>
    <t>Voltage Regulator, 24VAC, VR5T
12vdc or 24vdc @ 3 amp</t>
  </si>
  <si>
    <t>10PTLBUTTON</t>
  </si>
  <si>
    <t>10PTLBUTTON, Switch SG "Push to Lock" LED Illuminated Switch</t>
  </si>
  <si>
    <t>10QSPRIMARY</t>
  </si>
  <si>
    <t>QUADSCAN I NO HOUSING-02</t>
  </si>
  <si>
    <t>10QUADSCANI</t>
  </si>
  <si>
    <t xml:space="preserve">Quadscan I safety sensor
</t>
  </si>
  <si>
    <t>10QUADSCANICUSTOM</t>
  </si>
  <si>
    <t>Quadscan I, Custom Lengh
custom size</t>
  </si>
  <si>
    <t>10QUADSCANII</t>
  </si>
  <si>
    <t xml:space="preserve">Quadscan II safety sensor
</t>
  </si>
  <si>
    <t>10QUADSCANII40</t>
  </si>
  <si>
    <t>Quadscan II safety sensor 40""
40"" cut length end to end</t>
  </si>
  <si>
    <t>10QUADSCANIICUSTOM</t>
  </si>
  <si>
    <t>Quadscan II, Custom Lengh
custom size</t>
  </si>
  <si>
    <t>10R2E-100</t>
  </si>
  <si>
    <t xml:space="preserve">R2E-100 Security Sensor
</t>
  </si>
  <si>
    <t>10R300</t>
  </si>
  <si>
    <t>10R300, 300 MHZ RECEIVER</t>
  </si>
  <si>
    <t>10RD433</t>
  </si>
  <si>
    <t xml:space="preserve">Receiver, 433 MHz Digital
</t>
  </si>
  <si>
    <t>10RD433EH</t>
  </si>
  <si>
    <t>Receiver 433mhz, Extended Hold
Extended Hold Receiver</t>
  </si>
  <si>
    <t>10RD900</t>
  </si>
  <si>
    <t>10RD900 -- RECEIVER 900 Mhz DIGITAL</t>
  </si>
  <si>
    <t>10REL12VAC</t>
  </si>
  <si>
    <t xml:space="preserve">ISO 12 Isolation Relay, 12 VAC
</t>
  </si>
  <si>
    <t>10REL12VDC</t>
  </si>
  <si>
    <t xml:space="preserve">ISO 12 Isolation Relay, 12V DC
</t>
  </si>
  <si>
    <t>10REL24V</t>
  </si>
  <si>
    <t xml:space="preserve">ISO 24 Isolation Relay, 24 VAC
</t>
  </si>
  <si>
    <t>10REL24VDC</t>
  </si>
  <si>
    <t xml:space="preserve">ISO 24 Isolation Relay, 24V DC
</t>
  </si>
  <si>
    <t>10REMOTE</t>
  </si>
  <si>
    <t xml:space="preserve">Universal I.R. Remote Control
</t>
  </si>
  <si>
    <t>10RESTROOMKIT</t>
  </si>
  <si>
    <t>BEA Restroom Kit</t>
  </si>
  <si>
    <t>10RETROFITSPACER</t>
  </si>
  <si>
    <t>10RETROFITSPACER, ULTIMO RETROFIT SPACER KIT</t>
  </si>
  <si>
    <t>10RIMHOUSING1UL</t>
  </si>
  <si>
    <t xml:space="preserve">Armature Housing 1200lb single
</t>
  </si>
  <si>
    <t>10RIMHOUSING3UL</t>
  </si>
  <si>
    <t xml:space="preserve">Armature Housing, 600lb single
</t>
  </si>
  <si>
    <t>10SMARTFOCUS</t>
  </si>
  <si>
    <t xml:space="preserve">Smart Focus safety sensor
</t>
  </si>
  <si>
    <t>10SMARTFOCUSSMA</t>
  </si>
  <si>
    <t xml:space="preserve">Smart Focus Surface Mount Acc.
</t>
  </si>
  <si>
    <t>10SPACER1UL</t>
  </si>
  <si>
    <t xml:space="preserve">Vertical Spacer for 1200lb Mag
</t>
  </si>
  <si>
    <t>10SPACER3UL</t>
  </si>
  <si>
    <t xml:space="preserve">Vertical Spacer for 600lb Mag
</t>
  </si>
  <si>
    <t>10SPACER6UL</t>
  </si>
  <si>
    <t>10SPACER6UL -- VERTICAL SPACER FOR 600LB MAG</t>
  </si>
  <si>
    <t>10SPARROW</t>
  </si>
  <si>
    <t>SPARROW BLK-02</t>
  </si>
  <si>
    <t>10SPOTFINDER</t>
  </si>
  <si>
    <t xml:space="preserve">BEA Spotfinder
</t>
  </si>
  <si>
    <t>10SSHARDWARE</t>
  </si>
  <si>
    <t>Hardware Accessory Pack for
SuperScan (70.0031)</t>
  </si>
  <si>
    <t>10SSQD</t>
  </si>
  <si>
    <t xml:space="preserve">Quick Disconnect, SuperScan
</t>
  </si>
  <si>
    <t>10SSTI</t>
  </si>
  <si>
    <t xml:space="preserve">SuperScan I, Primary Only
</t>
  </si>
  <si>
    <t>10SSTI13</t>
  </si>
  <si>
    <t>Superscan I, 13"" No Cable,
Sheath, Jamb Cap</t>
  </si>
  <si>
    <t>10SSTI40</t>
  </si>
  <si>
    <t>SuperScan I, 40"" Length
1 Primary only</t>
  </si>
  <si>
    <t>10SSTI42</t>
  </si>
  <si>
    <t>SuperScan I, 42"" Length
1 Primary only</t>
  </si>
  <si>
    <t>10SSTI48</t>
  </si>
  <si>
    <t>SuperScan I, 48"" Length
1 Primary</t>
  </si>
  <si>
    <t>10SSTICUSTOM</t>
  </si>
  <si>
    <t>SuperScan I,Custom Length,
Primary Only</t>
  </si>
  <si>
    <t>10SSTII</t>
  </si>
  <si>
    <t>SuperScan II, 1 Each
 Primary and Secondary</t>
  </si>
  <si>
    <t>10SSTII40</t>
  </si>
  <si>
    <t>SuperScan II, 40"" Length 
1 each Primary and Secondary</t>
  </si>
  <si>
    <t>10SSTII42</t>
  </si>
  <si>
    <t>SuperScan II, 42"" Length 
1 each Primary and Secondary</t>
  </si>
  <si>
    <t>10SSTII44</t>
  </si>
  <si>
    <t>SuperScan II, 44"" Length 
1 each Primary and Secondary</t>
  </si>
  <si>
    <t>10SSTII48</t>
  </si>
  <si>
    <t>SuperScan II, 48"" Length 
1 each Primary and Secondary</t>
  </si>
  <si>
    <t>10SSTIICUSTOM</t>
  </si>
  <si>
    <t>SuperScan II, Custom Length
 1 Each Primary and Secondary</t>
  </si>
  <si>
    <t>10SSTIII</t>
  </si>
  <si>
    <t>SuperScan III, 1 Primary,
2 Secondary</t>
  </si>
  <si>
    <t>10SSTIIICUSTOM</t>
  </si>
  <si>
    <t>SuperScan III, Custom
Length, 1 Primary, 2 Secondary</t>
  </si>
  <si>
    <t>10SSTIVCUSTOM</t>
  </si>
  <si>
    <t>SuperScan IV,1 Primary,3 SecondaryCustom Length</t>
  </si>
  <si>
    <t>10SSTPRIMARY</t>
  </si>
  <si>
    <t xml:space="preserve">Primary Module Only, SuperScan
</t>
  </si>
  <si>
    <t>10SSTSECONDARY</t>
  </si>
  <si>
    <t xml:space="preserve">Secondary Module Only,SuperScan
</t>
  </si>
  <si>
    <t>10STRIKECU</t>
  </si>
  <si>
    <t xml:space="preserve">Electric Strike, Cylindrical
Universal, Low Profile
</t>
  </si>
  <si>
    <t>10STRIKECUV</t>
  </si>
  <si>
    <t>Electric Strike Cylindrical Universal, V</t>
  </si>
  <si>
    <t>10STRIKERE</t>
  </si>
  <si>
    <t>Electric Strike For Rim Exit
Devices</t>
  </si>
  <si>
    <t>10STRIKEREV12</t>
  </si>
  <si>
    <t>10STRIKEREV12 RIM EXIT VALUE LINE</t>
  </si>
  <si>
    <t>10STRIKEREV34</t>
  </si>
  <si>
    <t>10STRIKEREV34 RIM EXIT VALUE LINE</t>
  </si>
  <si>
    <t>10SWITCH1076</t>
  </si>
  <si>
    <t>Door Position Switch, 3/4"" Dia
3/4"" Gap, SPDT, Bullet style</t>
  </si>
  <si>
    <t>10SWITCH1084</t>
  </si>
  <si>
    <t xml:space="preserve">Switch, Surface Mount
SPDT, 2"" Gap, Grey
</t>
  </si>
  <si>
    <t>10SWITCH1277</t>
  </si>
  <si>
    <t xml:space="preserve">Door Position Switch, 3/8"" Dia
1/2"" Gap, SPDT, Bullet style
</t>
  </si>
  <si>
    <t>10SWITCH75</t>
  </si>
  <si>
    <t xml:space="preserve">Miniature 3/8"" Recessed Switch
Set, Open/Closed, SPDT
</t>
  </si>
  <si>
    <t>10T300HH</t>
  </si>
  <si>
    <t>Xmitter,300 MHz,Hand Held With
Case and Mounting Clip</t>
  </si>
  <si>
    <t>10T300HH4</t>
  </si>
  <si>
    <t>Transmitter, 300MHz, 4button
Hand Held with Case and Clip</t>
  </si>
  <si>
    <t>10T300HHDBL</t>
  </si>
  <si>
    <t xml:space="preserve">Xmitter,300 Mhz Dual Hand Held
</t>
  </si>
  <si>
    <t>10T300KEYCHAIN</t>
  </si>
  <si>
    <t xml:space="preserve">Xmitter,300 MHz Keychain
</t>
  </si>
  <si>
    <t>10T300MINIPB</t>
  </si>
  <si>
    <t xml:space="preserve">Xmitter,300 MHz Mini/Flag Conn
</t>
  </si>
  <si>
    <t>10T300PB</t>
  </si>
  <si>
    <t xml:space="preserve">Xmitter,300 MHz with Flag Conn
</t>
  </si>
  <si>
    <t>10TD433HH1</t>
  </si>
  <si>
    <t xml:space="preserve">Transmitter, 433mhz, 1 button
</t>
  </si>
  <si>
    <t>10TD433HH2</t>
  </si>
  <si>
    <t xml:space="preserve">Transmitter, 433mhz, 2 button
</t>
  </si>
  <si>
    <t>10TD433HH3</t>
  </si>
  <si>
    <t xml:space="preserve">Transmitter, 433mhz, 3 button
</t>
  </si>
  <si>
    <t>10TD433HH4</t>
  </si>
  <si>
    <t xml:space="preserve">Transmitter, 433mhz, 4 button
</t>
  </si>
  <si>
    <t>10TD433PB3V</t>
  </si>
  <si>
    <t>Transmitter, 433mhz, digital
Flag Connectors, 3V Battery</t>
  </si>
  <si>
    <t>10TD433PB9V</t>
  </si>
  <si>
    <t>Transmitter, 433 Mhz Digital, PB with flag connectors</t>
  </si>
  <si>
    <t>10TD900HH1</t>
  </si>
  <si>
    <t xml:space="preserve">Transmitter, 900mhz, 1 button
</t>
  </si>
  <si>
    <t>10TD900HH1U</t>
  </si>
  <si>
    <t>10TD900HH1U, 900mhz transmitter, Universal Code</t>
  </si>
  <si>
    <t>10TD900HH2</t>
  </si>
  <si>
    <t xml:space="preserve">Transmitter, 900mhz, 2 button
</t>
  </si>
  <si>
    <t>10TD900HH3</t>
  </si>
  <si>
    <t xml:space="preserve">Transmitter, 900mhz, 3 button
</t>
  </si>
  <si>
    <t>10TD900HH4</t>
  </si>
  <si>
    <t xml:space="preserve">Transmitter, 900mhz, 4 button
</t>
  </si>
  <si>
    <t>10TD900INDHH1</t>
  </si>
  <si>
    <t>Transmitter, 1 Button Industrial 900mhz</t>
  </si>
  <si>
    <t>10TD900INDHH2</t>
  </si>
  <si>
    <t>Transmitter, 2 Button Industrial 900mhz</t>
  </si>
  <si>
    <t>10TD900INDHH3</t>
  </si>
  <si>
    <t>Transmitter, 3 Button Industrial 900mhz</t>
  </si>
  <si>
    <t>10TD900INDHH4</t>
  </si>
  <si>
    <t>Transmitter, 4 Button Industrial 900mhz</t>
  </si>
  <si>
    <t>10TD900PB</t>
  </si>
  <si>
    <t>Transmitter, 900mhz flagged
Flag Connectors, AAA Battery</t>
  </si>
  <si>
    <t>10TD900TR</t>
  </si>
  <si>
    <t>Transmitter, 900mhz, Touchless Wireless Converter</t>
  </si>
  <si>
    <t>10TECHKIT</t>
  </si>
  <si>
    <t xml:space="preserve">10TECHKIT, Technical Kit
</t>
  </si>
  <si>
    <t>10UBRACKETUL</t>
  </si>
  <si>
    <t>U-bracket for UL Maglocks
Fits both 600lb and 1200lb</t>
  </si>
  <si>
    <t>10ULTIMO</t>
  </si>
  <si>
    <t>ULTIMO Sliding Door Sensor</t>
  </si>
  <si>
    <t>10ULTIMOSPACER</t>
  </si>
  <si>
    <t>10ULTIMOSPACER, ULTIMO SPACER KIT</t>
  </si>
  <si>
    <t>10UMB</t>
  </si>
  <si>
    <t>10UMB, ULTIMO MOUNTING BRACKET KIT</t>
  </si>
  <si>
    <t>10URA</t>
  </si>
  <si>
    <t xml:space="preserve">10URA, Ultimo / IXIO Rain Accessory
</t>
  </si>
  <si>
    <t>10URC</t>
  </si>
  <si>
    <t>Universal Rain Cover - Fits
Bodyguard, Crystal, and Wizard</t>
  </si>
  <si>
    <t>10WBA</t>
  </si>
  <si>
    <t>Telescopic Bracket, Widescan, Complete</t>
  </si>
  <si>
    <t>10WBAARM</t>
  </si>
  <si>
    <t>WIDESCAN FIXTURE FOR MOUNTING BRACKET</t>
  </si>
  <si>
    <t>10WBAMOUNT</t>
  </si>
  <si>
    <t>WIDESCAN MOUNTING BRACKET, Aluminum</t>
  </si>
  <si>
    <t>10WCK433</t>
  </si>
  <si>
    <t>WIRELESS CONVERTER KIT FOR LPR, 433 MHZ</t>
  </si>
  <si>
    <t>10WCK900</t>
  </si>
  <si>
    <t>WIRELESS CONVERTER KIT FOR LPR, 900 MHZ</t>
  </si>
  <si>
    <t>10WMB</t>
  </si>
  <si>
    <t>Wizard Mounting Bracket, black
(00.0081 ABA BLACK)</t>
  </si>
  <si>
    <t>10WRRND45</t>
  </si>
  <si>
    <t xml:space="preserve">Weather Ring, for 4.5"" Rnd Box
</t>
  </si>
  <si>
    <t>10WRRND6</t>
  </si>
  <si>
    <t>Weather Ring for 6"" Round Box</t>
  </si>
  <si>
    <t>10WRSQ475</t>
  </si>
  <si>
    <t xml:space="preserve">Weather Ring,for 4.75"" Sq. Box
</t>
  </si>
  <si>
    <t>15.0075</t>
  </si>
  <si>
    <t xml:space="preserve">Harness,LO21
</t>
  </si>
  <si>
    <t>15.0076</t>
  </si>
  <si>
    <t xml:space="preserve">Harness,MC15
</t>
  </si>
  <si>
    <t>15.0082</t>
  </si>
  <si>
    <t xml:space="preserve">Harness,LO21S
</t>
  </si>
  <si>
    <t>15.0094</t>
  </si>
  <si>
    <t xml:space="preserve">Harness,LE21
</t>
  </si>
  <si>
    <t>15.0096</t>
  </si>
  <si>
    <t xml:space="preserve">Harness,MC25
</t>
  </si>
  <si>
    <t>15.0118</t>
  </si>
  <si>
    <t xml:space="preserve">Cable, Focus 2, 20 Foot
</t>
  </si>
  <si>
    <t>15.5039</t>
  </si>
  <si>
    <t>PCB,Panther TD433PTRII
switch and transmitter</t>
  </si>
  <si>
    <t>15.5142</t>
  </si>
  <si>
    <t>PCBA, Panther 900 mhz</t>
  </si>
  <si>
    <t>20.0035</t>
  </si>
  <si>
    <t>PAIR OF MICROCELL HEAD_AS-AM</t>
  </si>
  <si>
    <t>20.0044</t>
  </si>
  <si>
    <t>Kit,Mounting Hardware,Double
Gang, 6"" S/S Push Plates
(Build In House)</t>
  </si>
  <si>
    <t>20.0045</t>
  </si>
  <si>
    <t>Jamb Cap Kit for MicroCell
2 caps per kit</t>
  </si>
  <si>
    <t>20.0055</t>
  </si>
  <si>
    <t>Cable Set,30' Microcell
Rec=BLACK, Emit=GRAY</t>
  </si>
  <si>
    <t>20.0056</t>
  </si>
  <si>
    <t>Cable Set, 18' Microcell,
Rec=BL, Emit=GR w/locking clip</t>
  </si>
  <si>
    <t>20.0103</t>
  </si>
  <si>
    <t>Harness, Supescan Secondary-Blue
from BEA, SA p/n 30.0015</t>
  </si>
  <si>
    <t>20.2002</t>
  </si>
  <si>
    <t>Cable,Bundled,9 Ft,6 Conductor
For Superscan/Bodyguard</t>
  </si>
  <si>
    <t>20.2006</t>
  </si>
  <si>
    <t xml:space="preserve">Jambcam Power Supply w/ pcba
Over Molded 15.5114 PCBA
</t>
  </si>
  <si>
    <t>20.2007</t>
  </si>
  <si>
    <t>Harness, MS21 ISO Module +pcba
Complete assembly with 15.5120
(DO NOT ORDER)</t>
  </si>
  <si>
    <t>20.2009</t>
  </si>
  <si>
    <t xml:space="preserve">Harness, IXIO Camera Pwr Sup
20.5308 harness + 15.5114 pcba
</t>
  </si>
  <si>
    <t>20.2015</t>
  </si>
  <si>
    <t>Bodyguard Light Pipe Assembly, Light Pipe + Housing</t>
  </si>
  <si>
    <t>20.2020</t>
  </si>
  <si>
    <t>Switch, Momentary, Keyswitch NEW design 112-PAM</t>
  </si>
  <si>
    <t>20.2021</t>
  </si>
  <si>
    <t>Switch, Maintained, Keyswitch NEW design 112-PA-XBEA1</t>
  </si>
  <si>
    <t>20.5095</t>
  </si>
  <si>
    <t>HARNESS, MICROSCAN POWER, 24"L</t>
  </si>
  <si>
    <t>20.5096</t>
  </si>
  <si>
    <t xml:space="preserve">Harness, Eagle Microscan
</t>
  </si>
  <si>
    <t>20.5222</t>
  </si>
  <si>
    <t>DOOR POSITION HUB RELAYHARNESS
NULL</t>
  </si>
  <si>
    <t>20.5259</t>
  </si>
  <si>
    <t>Harness, Quadscan, main
US colors</t>
  </si>
  <si>
    <t>20.5302</t>
  </si>
  <si>
    <t>HARNESS OPTEX IXIO CONVERSION, 300mm L</t>
  </si>
  <si>
    <t>20.5304</t>
  </si>
  <si>
    <t>HARNESS LZR AUXILIARY, 1200mm L</t>
  </si>
  <si>
    <t>20.5310</t>
  </si>
  <si>
    <t>Jumper Harness For On-Off-Hold
Open Switch</t>
  </si>
  <si>
    <t>20.5315</t>
  </si>
  <si>
    <t xml:space="preserve">Harness, Quadscan, M-S, 45cm
</t>
  </si>
  <si>
    <t>20.5322</t>
  </si>
  <si>
    <t xml:space="preserve">Harness, Horton 4190, M-scan
Plug-N-Play
</t>
  </si>
  <si>
    <t>20.5347</t>
  </si>
  <si>
    <t>Harness, Cable Hub To uScan,
30ft L</t>
  </si>
  <si>
    <t>20.5349</t>
  </si>
  <si>
    <t xml:space="preserve">Harness, IXIO With Relay, 3M L
</t>
  </si>
  <si>
    <t>20.5359</t>
  </si>
  <si>
    <t>Harness, IXIO With Relay, 30ft</t>
  </si>
  <si>
    <t>20.5365</t>
  </si>
  <si>
    <t>Harness, Falcon 100 ft, with JST, 5cu American wire colors</t>
  </si>
  <si>
    <t>20.5372</t>
  </si>
  <si>
    <t>Harness, Proximo-D, 6 meter length</t>
  </si>
  <si>
    <t>20.5399</t>
  </si>
  <si>
    <t>CABLE POWER WIDESCAN 10m</t>
  </si>
  <si>
    <t>20.5433</t>
  </si>
  <si>
    <t>Harness, FLATSCAN SW/3D, 3 Meter Length</t>
  </si>
  <si>
    <t>30.0345</t>
  </si>
  <si>
    <t>5 Pin Terminal Block/Pluggable</t>
  </si>
  <si>
    <t>30.0388</t>
  </si>
  <si>
    <t>Switch,DPDT,Plunger Type,15A
Cherry E19-00J with hex nut</t>
  </si>
  <si>
    <t>30.0407</t>
  </si>
  <si>
    <t>Conn,5 Pos,Pin Strip,3.5mm
Riacon 166-31-166-105-09</t>
  </si>
  <si>
    <t>30.5124</t>
  </si>
  <si>
    <t xml:space="preserve">3 Volt Battery
</t>
  </si>
  <si>
    <t>30.5558</t>
  </si>
  <si>
    <t>POWER SUPPLY AC/DC ADAPTER 100-240/15V  UL, 3' cord length</t>
  </si>
  <si>
    <t>30.5580</t>
  </si>
  <si>
    <t>3/8"" Wide Gap Contact, 2 Wire
WHITE</t>
  </si>
  <si>
    <t>35.0213</t>
  </si>
  <si>
    <t>COVER FLATSCAN &amp; LIGHT PIPE LEFT BLACK</t>
  </si>
  <si>
    <t>35.0214</t>
  </si>
  <si>
    <t>COVER FLATSCAN &amp; LIGHT PIPE RIGHT BLACK</t>
  </si>
  <si>
    <t>35.0220</t>
  </si>
  <si>
    <t>COVER FLATSCAN &amp; LIGHT PIPE LEFT WHITE</t>
  </si>
  <si>
    <t>35.0221</t>
  </si>
  <si>
    <t>COVER FLATSCAN &amp; LIGHT PIPE RIGHT WHITE</t>
  </si>
  <si>
    <t>35.0237</t>
  </si>
  <si>
    <t>ASSY FLAT MOUNT ACCESSORY FLATSCAN RIGHT BLACK</t>
  </si>
  <si>
    <t>35.0242</t>
  </si>
  <si>
    <t>COVER FLATSCAN &amp; LIGHT PIPE LEFT ALU F-700228</t>
  </si>
  <si>
    <t>35.0243</t>
  </si>
  <si>
    <t>COVER FLATSCAN &amp; LIGHT PIPE RIGHT ALU F-700228</t>
  </si>
  <si>
    <t>35.0288</t>
  </si>
  <si>
    <t>ASSY COVER FLATSCAN SW PLUS RIGHT BLACK</t>
  </si>
  <si>
    <t>35.1128</t>
  </si>
  <si>
    <t>CABLE POWER SMART FOCUS 2.5m</t>
  </si>
  <si>
    <t>35.1242</t>
  </si>
  <si>
    <t>CABLE POWER LZR-I100 10m  US CUSTOM</t>
  </si>
  <si>
    <t>35.1302</t>
  </si>
  <si>
    <t>Cover, IXIO WHITE
Cover with Light Pipe</t>
  </si>
  <si>
    <t>35.1303</t>
  </si>
  <si>
    <t>Cover, IXIO SILVER
Cover with Light Pipe</t>
  </si>
  <si>
    <t>35.1321</t>
  </si>
  <si>
    <t>COVER MICROSCAN &amp; LIGHT PIPE BLACK
Vendor to provide CoC with each shipment.</t>
  </si>
  <si>
    <t>35.1326</t>
  </si>
  <si>
    <t>uScan To Hub Harness
(Hub Harness)</t>
  </si>
  <si>
    <t>35.1327</t>
  </si>
  <si>
    <t>uScan To uScan Harness
(Daisy Chain Harness)</t>
  </si>
  <si>
    <t>35.1329</t>
  </si>
  <si>
    <t>CABLE M-S 4SAFE CON.HRS 45cm/5WIRES</t>
  </si>
  <si>
    <t>35.1555</t>
  </si>
  <si>
    <t>CABLE POWER WIDESCAN 15m</t>
  </si>
  <si>
    <t>35.1568</t>
  </si>
  <si>
    <t>CABLE POWER FALCON REDESIGN US CUSTOM  CABLE GLAND M16</t>
  </si>
  <si>
    <t>41.3879</t>
  </si>
  <si>
    <t>Support, PCB Bodyguard, SScan
41.3879</t>
  </si>
  <si>
    <t>41.4703</t>
  </si>
  <si>
    <t>Lens, Bodyguard, cut to 4-7/8""
123.8 mm</t>
  </si>
  <si>
    <t>41.5986</t>
  </si>
  <si>
    <t xml:space="preserve">LENS, QUADSCAN, SOLD BY INCH
</t>
  </si>
  <si>
    <t>41.7922</t>
  </si>
  <si>
    <t>Left Cable Entry Clamp Mscan
(Pass Through)</t>
  </si>
  <si>
    <t>41.7923</t>
  </si>
  <si>
    <t>Right Cable Entry Clamp Mscan
(Pass Through)</t>
  </si>
  <si>
    <t>41.8632</t>
  </si>
  <si>
    <t>M2.5 X 8MM LONG PHIL PAN PT
SCREW ZINC</t>
  </si>
  <si>
    <t>41.8838</t>
  </si>
  <si>
    <t>SPIDER BRACKET WIDESCAN</t>
  </si>
  <si>
    <t>50.0006</t>
  </si>
  <si>
    <t>Sheet Metal Scre</t>
  </si>
  <si>
    <t>50.0007</t>
  </si>
  <si>
    <t>Screw,6 X 1 1/4 Phi Oval BO
MPN # 06040PHIOVLABBO</t>
  </si>
  <si>
    <t>50.0048</t>
  </si>
  <si>
    <t>Screw,#8X1-1/4 PHP TEK2,410S/S
MPN # 08040PHIPANTEK2SS</t>
  </si>
  <si>
    <t>50.0068</t>
  </si>
  <si>
    <t>Screw, #6-32x1, Stainless
for push plates</t>
  </si>
  <si>
    <t>50.0069</t>
  </si>
  <si>
    <t>Screw, #8-32x1, Stainless
for push plates</t>
  </si>
  <si>
    <t>50.0073</t>
  </si>
  <si>
    <t>Plastic Transmitter Shelf for
Bollard</t>
  </si>
  <si>
    <t>50.0334</t>
  </si>
  <si>
    <t>HARDWARE PACK FOR MAGLOCK1UL</t>
  </si>
  <si>
    <t>50.0335</t>
  </si>
  <si>
    <t>Hardware pack for MAGLOCK3UL
NULL</t>
  </si>
  <si>
    <t>50.0336</t>
  </si>
  <si>
    <t>Signage for Delayed Egress
NULL</t>
  </si>
  <si>
    <t>50.0348</t>
  </si>
  <si>
    <t>Screw Kit for MS11S, 2+2 screws &amp; wrench
Kit Includes The Following:
- 50.5135 (QTY: 02)
- 50.5149 (QTY: 02)
- 50.5268 (QTY: 01)</t>
  </si>
  <si>
    <t>50.1818</t>
  </si>
  <si>
    <t>Screw Kit, 8X1/2PHP TEK2 410ss
(2 screws per bag)</t>
  </si>
  <si>
    <t>50.5016</t>
  </si>
  <si>
    <t>Raw, Adapter Ring FOR 10PBDGP1
Modified Raco # 791 Mud Ring</t>
  </si>
  <si>
    <t>50.5282</t>
  </si>
  <si>
    <t>Screw, Wood, Microscan
410SS,PanHdPhil,8-11Thrd 3/4""L</t>
  </si>
  <si>
    <t>50.5283</t>
  </si>
  <si>
    <t xml:space="preserve">TANE PILL Switch, Center Leads
Surface Mount, White
TANE PART NUMBER:
TANE PILL WH 50.5283
NOTE: Please apply a PROP65 warning label to each part.
</t>
  </si>
  <si>
    <t>50.5320</t>
  </si>
  <si>
    <t>Hardware Pack, Bollard, New Design</t>
  </si>
  <si>
    <t>55.0001</t>
  </si>
  <si>
    <t xml:space="preserve">Jamb Cap Kit for SuperScan
</t>
  </si>
  <si>
    <t>70.0005</t>
  </si>
  <si>
    <t>End Cap, Right, SScan &amp; BGuard D</t>
  </si>
  <si>
    <t>70.0006</t>
  </si>
  <si>
    <t>End Cap,Left,SScan &amp; Bodyguard
G</t>
  </si>
  <si>
    <t>70.0011</t>
  </si>
  <si>
    <t>Cable,4 Cond at 22 Gauge,
Belden # 5502UE-1000-8</t>
  </si>
  <si>
    <t>70.0025</t>
  </si>
  <si>
    <t>Extrusion, Aluminum Blk Annod.
For Superscan</t>
  </si>
  <si>
    <t>70.0026</t>
  </si>
  <si>
    <t>Cable,6 Cond at 22 Gauge,
Belden BEL5504UE</t>
  </si>
  <si>
    <t>70.0033</t>
  </si>
  <si>
    <t xml:space="preserve">Cover, Crystal
</t>
  </si>
  <si>
    <t>70.0046</t>
  </si>
  <si>
    <t>Extrusion,AL/Blk Annodize,
Cut to 33""</t>
  </si>
  <si>
    <t>70.0048</t>
  </si>
  <si>
    <t>Extrusion,AL/Blk Annodize,
Cut to 38.5"" for 10SSII40</t>
  </si>
  <si>
    <t>70.0049</t>
  </si>
  <si>
    <t>Extrusion,AL/Blk Annodize,
Cut to 40.5"" for 10SSII42</t>
  </si>
  <si>
    <t>70.0050</t>
  </si>
  <si>
    <t>Extrusion,AL/Blk Annod. 46.5""
Cut to 46.5 inches</t>
  </si>
  <si>
    <t>70.0068</t>
  </si>
  <si>
    <t xml:space="preserve">Harness,Winscan Wiring,48""
</t>
  </si>
  <si>
    <t>70.0138</t>
  </si>
  <si>
    <t>LENS, Plastic, For Superscan
41.6155</t>
  </si>
  <si>
    <t>70.0155</t>
  </si>
  <si>
    <t xml:space="preserve">JAMB CAP,MICROCELL
</t>
  </si>
  <si>
    <t>70.0167</t>
  </si>
  <si>
    <t xml:space="preserve">Cover,Eagle with Light Pipe
</t>
  </si>
  <si>
    <t>70.0173</t>
  </si>
  <si>
    <t xml:space="preserve">Antenna,Eagle Wide Band
</t>
  </si>
  <si>
    <t>70.0179</t>
  </si>
  <si>
    <t>Cover for Light Pipe,BGuard
(Avant Face)</t>
  </si>
  <si>
    <t>70.0180</t>
  </si>
  <si>
    <t xml:space="preserve">Light Pipe,BGuard Avant Face
</t>
  </si>
  <si>
    <t>70.0182</t>
  </si>
  <si>
    <t xml:space="preserve">Antenna,Eagle Narrow
</t>
  </si>
  <si>
    <t>70.0195</t>
  </si>
  <si>
    <t xml:space="preserve">Cover,Bollard,Formed
</t>
  </si>
  <si>
    <t>70.0197</t>
  </si>
  <si>
    <t xml:space="preserve">Cover,Wizard with Light Pipe
</t>
  </si>
  <si>
    <t>70.0202</t>
  </si>
  <si>
    <t xml:space="preserve">26"" Superscan flexible tubing
</t>
  </si>
  <si>
    <t>70.0203</t>
  </si>
  <si>
    <t>Lens, Superscan precut to 33
Inches (83.82cm), 41.3915</t>
  </si>
  <si>
    <t>70.0207</t>
  </si>
  <si>
    <t>LENS SUPERSCAN PRECUT TO 4.78 Inches (12.14cm)</t>
  </si>
  <si>
    <t>70.0222</t>
  </si>
  <si>
    <t xml:space="preserve">Lens for Wizard, 3 Ft pattern
</t>
  </si>
  <si>
    <t>70.0223</t>
  </si>
  <si>
    <t>OPTO PRISM "LL" PAINT.</t>
  </si>
  <si>
    <t>70.0260</t>
  </si>
  <si>
    <t xml:space="preserve">12 Volt Battery, Energizer
Energizer P/N A23CVZ
</t>
  </si>
  <si>
    <t>70.0261</t>
  </si>
  <si>
    <t xml:space="preserve">9 Volt Battery, Energizer
</t>
  </si>
  <si>
    <t>70.0262</t>
  </si>
  <si>
    <t>Matrix Socket without wire
Tyco (MT 78 760)</t>
  </si>
  <si>
    <t>70.0304</t>
  </si>
  <si>
    <t xml:space="preserve">Turnkey Hardware pk. Superscan
</t>
  </si>
  <si>
    <t>70.0319</t>
  </si>
  <si>
    <t>Lens, Superscan precut to 38.5
Inches (97.8cm)</t>
  </si>
  <si>
    <t>70.0320</t>
  </si>
  <si>
    <t>Lens, Superscan precut to 40.5
Inches (102.9cm)</t>
  </si>
  <si>
    <t>70.0321</t>
  </si>
  <si>
    <t>Lens, Superscan precut to 46.5
Inches (118.1cm)</t>
  </si>
  <si>
    <t>70.2021</t>
  </si>
  <si>
    <t>LPR Top Endcap Assembly (70.5405+70.5406+50.5210)</t>
  </si>
  <si>
    <t>70.5022</t>
  </si>
  <si>
    <t>Bracket, Base, SS Bollard, New Design with Hex Nut</t>
  </si>
  <si>
    <t>70.5227</t>
  </si>
  <si>
    <t>Faceplate Double Gang New MS08
Polycarbonate, silkscreened</t>
  </si>
  <si>
    <t>70.5236</t>
  </si>
  <si>
    <t>Adapter Bracket, New MS08
Polycarbonate</t>
  </si>
  <si>
    <t>70.5268</t>
  </si>
  <si>
    <t>Faceplate, SG, white + artwork
MS08U custom faceplate</t>
  </si>
  <si>
    <t>70.5269</t>
  </si>
  <si>
    <t>Faceplate, DG, white + artwork
MS08U custom faceplate</t>
  </si>
  <si>
    <t>70.5270</t>
  </si>
  <si>
    <t>Faceplate, SG Almond + artwork
MS08U custom faceplate</t>
  </si>
  <si>
    <t>70.5271</t>
  </si>
  <si>
    <t>Faceplate, DG Almond + artwork
MS08 custom faceplate</t>
  </si>
  <si>
    <t>70.5278</t>
  </si>
  <si>
    <t>Faceplate, SG, Black, Handicap
Handicap Logo only</t>
  </si>
  <si>
    <t>70.5279</t>
  </si>
  <si>
    <t>Faceplate, DG, Black, Handicap
Handicap Logo only</t>
  </si>
  <si>
    <t>70.5343</t>
  </si>
  <si>
    <t xml:space="preserve">Left Superscan EndCa
</t>
  </si>
  <si>
    <t>70.5344</t>
  </si>
  <si>
    <t>Right Superscan EndCa</t>
  </si>
  <si>
    <t>70.5378</t>
  </si>
  <si>
    <t>COLLAR FOR REED SWITCH
NULL</t>
  </si>
  <si>
    <t>70.5554</t>
  </si>
  <si>
    <t xml:space="preserve">SPACER MICROSCAN
</t>
  </si>
  <si>
    <t>70.5675</t>
  </si>
  <si>
    <t>Signage, Washroom Module</t>
  </si>
  <si>
    <t>70.5745</t>
  </si>
  <si>
    <t>Filler Plate, Sentrex, Steel, Black</t>
  </si>
  <si>
    <t>70.5751</t>
  </si>
  <si>
    <t>Spacer, FLATSCAN, Silver</t>
  </si>
  <si>
    <t>70.5752</t>
  </si>
  <si>
    <t>Spacer, FLATSCAN, White</t>
  </si>
  <si>
    <t>70.5753</t>
  </si>
  <si>
    <t>Spacer, FLATSCAN, Black</t>
  </si>
  <si>
    <t>70.5825</t>
  </si>
  <si>
    <t>MS 31 FACEPLATE MAGICSWITCH JAMB BLACK TEXT+HAND</t>
  </si>
  <si>
    <t>70.5826</t>
  </si>
  <si>
    <t>MS31 FACEPLATE MAGICSWITCH JAMB BLACK HANDICAP LOGO</t>
  </si>
  <si>
    <t>70.5827</t>
  </si>
  <si>
    <t>MS31 FACEPLATE MAGICSWITCH JAMB GREY PLAIN</t>
  </si>
  <si>
    <t>70.5828</t>
  </si>
  <si>
    <t>MS 31 FACEPLATE MAGICSWITCH JAMB GREY TEXT+HAND</t>
  </si>
  <si>
    <t>70.5829</t>
  </si>
  <si>
    <t>MS 31 FACEPLATE MAGICSWITCH JAMB GREY HANDICAP LOGO</t>
  </si>
  <si>
    <t>70.5830</t>
  </si>
  <si>
    <t>MS 31 FACEPLATE MAGICSWITCH JAMB WHITE PLAIN</t>
  </si>
  <si>
    <t>70.5831</t>
  </si>
  <si>
    <t>MS 31 FACEPLATE MAGICSWITCH JAMB WHITE TEXT+HAND</t>
  </si>
  <si>
    <t>70.5832</t>
  </si>
  <si>
    <t>MS 31 FACEPLATE MAGICSWITCH JAMB WHITE HANDICAP LOGO</t>
  </si>
  <si>
    <t>70.5833</t>
  </si>
  <si>
    <t>MS 31 FACEPLATE MAGICSWITCH SG BLACK TEXT+HAND</t>
  </si>
  <si>
    <t>70.5834</t>
  </si>
  <si>
    <t>MS 31 FACEPLATE MAGICSWITCH SG BLACK HANDICAP LOGO</t>
  </si>
  <si>
    <t>70.5835</t>
  </si>
  <si>
    <t>MS 31 FACEPLATE MAGICSWITCH SG GREY PLAIN</t>
  </si>
  <si>
    <t>70.5836</t>
  </si>
  <si>
    <t>MS 31 FACEPLATE MAGICSWITCH SG GREY TEXT+HAND</t>
  </si>
  <si>
    <t>70.5837</t>
  </si>
  <si>
    <t>MS 31 FACEPLATE MAGICSWITCH SG GREY HANDICAP LOGO</t>
  </si>
  <si>
    <t>70.5838</t>
  </si>
  <si>
    <t>MS 31 FACEPLATE MAGICSWITCH SG WHITE PLAIN</t>
  </si>
  <si>
    <t>70.5839</t>
  </si>
  <si>
    <t>MS 31 FACEPLATE MAGICSWITCH SG WHITE TEXT+HAND</t>
  </si>
  <si>
    <t>70.5840</t>
  </si>
  <si>
    <t>MS 31 FACEPLATE MAGICSWITCH SG WHITE HANDICAP LOGO</t>
  </si>
  <si>
    <t>70.5841</t>
  </si>
  <si>
    <t>MS 31 FACEPLATE MAGICSWITCH DG BLACK TEXT+HAND</t>
  </si>
  <si>
    <t>70.5842</t>
  </si>
  <si>
    <t>MS31 FACEPLATE MAGICSWITCH DG BLACK HANDICAP LOGO</t>
  </si>
  <si>
    <t>70.5843</t>
  </si>
  <si>
    <t>MS31 FACEPLATE MAGICSWITCH DG GREY PLAIN</t>
  </si>
  <si>
    <t>70.5844</t>
  </si>
  <si>
    <t>MS31 FACEPLATE MAGICSWITCH DG GREY TEXT+HAND</t>
  </si>
  <si>
    <t>70.5845</t>
  </si>
  <si>
    <t>MS31 FACEPLATE MAGICSWITCH DG GREY HANDICAP LOGO</t>
  </si>
  <si>
    <t>70.5846</t>
  </si>
  <si>
    <t>MS31 FACEPLATE MAGICSWITCH DG WHITE PLAIN</t>
  </si>
  <si>
    <t>70.5847</t>
  </si>
  <si>
    <t>MS31 FACEPLATE MAGICSWITCH DG WHITE TEXT+HAND</t>
  </si>
  <si>
    <t>70.5848</t>
  </si>
  <si>
    <t>MS31 FACEPLATE MAGICSWITCH DG WHITE HANDICAP LOGO</t>
  </si>
  <si>
    <t>70.5849</t>
  </si>
  <si>
    <t>MS31 FACEPLATE MAGICSWITCH 6" ROUND BLACK TEXT+HAND</t>
  </si>
  <si>
    <t>70.5850</t>
  </si>
  <si>
    <t>MS31 FACEPLATE MAGICSWITCH 6" ROUND BLACK HANDICAP LOGO</t>
  </si>
  <si>
    <t>70.5851</t>
  </si>
  <si>
    <t>MS31 FACEPLATE MAGICSWITCH 6" ROUND GREY PLAIN</t>
  </si>
  <si>
    <t>70.5852</t>
  </si>
  <si>
    <t>MS31 FACEPLATE MAGICSWITCH 6" ROUND GREY TEXT+HAND</t>
  </si>
  <si>
    <t>70.5853</t>
  </si>
  <si>
    <t>MS31 FACEPLATE MAGICSWITCH 6" ROUND GREY HANDICAP LOGO</t>
  </si>
  <si>
    <t>70.5854</t>
  </si>
  <si>
    <t>MS31 FACEPLATE MAGICSWITCH 6" ROUND WHITE PLAIN</t>
  </si>
  <si>
    <t>70.5856</t>
  </si>
  <si>
    <t>MS31 FACEPLATE MAGICSWITCH 6" ROUND WHITE HANDICAP LOGO</t>
  </si>
  <si>
    <t>70.5869</t>
  </si>
  <si>
    <t>MS31 FACEPLATE MAGICSWITCH SG BLACK PLAIN</t>
  </si>
  <si>
    <t>70.5870</t>
  </si>
  <si>
    <t>MS31 FACEPLATE MAGICSWITCH DG BLACK PLAIN</t>
  </si>
  <si>
    <t>70.5871</t>
  </si>
  <si>
    <t>MS31 FACEPLATE MAGICSWITCH 6" ROUND  BLACK PLAIN</t>
  </si>
  <si>
    <t>70.5872</t>
  </si>
  <si>
    <t>MS31 FACEPLATE MAGICSWITCH JAMB BLACK PLAIN</t>
  </si>
  <si>
    <t>MAG5LZUL</t>
  </si>
  <si>
    <t>"Maglock5UL mounting kit
2 L-brackets &amp; 2 Z-brackets"</t>
  </si>
  <si>
    <t>MAG6LZUL</t>
  </si>
  <si>
    <t>"Maglock6UL mounting kit
2 L-brackets &amp; 2 Z-brackets"</t>
  </si>
  <si>
    <t>PUSH PLATE 45S-433</t>
  </si>
  <si>
    <t>"Push Plate 45S-433 Package
PBS451 + 433 mhz trx/rx + box"</t>
  </si>
  <si>
    <t>PUSH PLATE 45S-900</t>
  </si>
  <si>
    <t>"Push Plate 45S-900 Package
PBS451 + 900 mhz trx/rx + box"</t>
  </si>
  <si>
    <t>PUSH PLATE 45S-BR2900</t>
  </si>
  <si>
    <t>PUSH PLATE 45S-BR2900 KIT, One Box Solution</t>
  </si>
  <si>
    <t>PUSH PLATE 45S-HW</t>
  </si>
  <si>
    <t>PUSH PLATE 45S-HW, 2 of 10PBS451 + 2 of 10BOX45SQSM</t>
  </si>
  <si>
    <t>PUSH PLATE 475 EBA-900</t>
  </si>
  <si>
    <t>PUSH PLATE 475 EBA-900 Package, 2 plates, EBA, trx, rx</t>
  </si>
  <si>
    <t>PUSH PLATE 475S-433</t>
  </si>
  <si>
    <t>"Push Plate 475S-433 Package
PBS1 + 433 mhz trx/rx + box"</t>
  </si>
  <si>
    <t>PUSH PLATE 475S-900</t>
  </si>
  <si>
    <t>"Push Plate 475S-900 Package
PBS1 + 900 mhz trx/rx + box"</t>
  </si>
  <si>
    <t>PUSH PLATE 475S-BR2900</t>
  </si>
  <si>
    <t>PUSH PLATE 475S-BR2900 KIT, One Box Solution</t>
  </si>
  <si>
    <t>PUSH PLATE 475S-HW</t>
  </si>
  <si>
    <t>PUSH PLATE 475S-HW, 2 of 10PBS1 + 2 of 10BOX475SQSM</t>
  </si>
  <si>
    <t>PUSH PLATE 6R-433</t>
  </si>
  <si>
    <t>"Push Plate 6R-433 Package
PBR1 + 433 mhz trx/rx + box"</t>
  </si>
  <si>
    <t>PUSH PLATE 6R-900</t>
  </si>
  <si>
    <t>"Push Plate 6R-900 Package
PBR1 + 900 mhz trx/rx + box"</t>
  </si>
  <si>
    <t>PUSH PLATE 6R-BR2900</t>
  </si>
  <si>
    <t>PUSH PLATE 6R-BR2900 KIT, One Box Solution</t>
  </si>
  <si>
    <t>PUSH PLATE JAMB-433</t>
  </si>
  <si>
    <t>PUSH PLATE JAMB-433 KIT, One Box Solution</t>
  </si>
  <si>
    <t>PUSH PLATE JAMB-900</t>
  </si>
  <si>
    <t>PUSH PLATE JAMB-900 KIT, One Box Solution</t>
  </si>
  <si>
    <t>Replaced by 10.1419</t>
  </si>
  <si>
    <t xml:space="preserve">Bracket Assembly, Steel, for FALCONEX
</t>
  </si>
  <si>
    <t>Replaced By 20.5469</t>
  </si>
  <si>
    <t>CABLE POWER MINI EAGLE  2.5m</t>
  </si>
  <si>
    <t>REPLACES 35.1195</t>
  </si>
  <si>
    <t>CABLE POWER RS-20 US-COLORED  CABLE GLAND M16</t>
  </si>
  <si>
    <t>VESTIBULE PACKAGE 433</t>
  </si>
  <si>
    <t>"Vestubule PKG 433 mhz
2 of 10PBS1 + 10PBDGP1 +trx/rx"</t>
  </si>
  <si>
    <t>VESTIBULE PACKAGE 900</t>
  </si>
  <si>
    <t>"Vestibule PKG 900 mhz
2 of 10PBS1 + 10PBDGP1 +trx/rx"</t>
  </si>
  <si>
    <t>Actual Cost + 6% Tariff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</si>
</sst>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&quot;$&quot;#,##0.00;\(&quot;$&quot;#,##0.00\)"/>
  </numFmts>
  <fonts count="6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0"/>
      <color rgb="FF000000"/>
      <name val="Frutiger LT Std"/>
    </font>
    <font>
      <sz val="10"/>
      <color rgb="FF000000"/>
      <name val="Frutiger LT Std"/>
    </font>
    <font>
      <b/>
      <u/>
      <sz val="11"/>
      <color rgb="FFFFFFFF"/>
      <name val="Frutiger LT Std"/>
    </font>
    <font>
      <u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2D62"/>
        <bgColor rgb="FF002D62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 readingOrder="1"/>
    </xf>
    <xf numFmtId="0" fontId="5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164" fontId="3" fillId="3" borderId="1" xfId="0" applyNumberFormat="1" applyFont="1" applyFill="1" applyBorder="1" applyAlignment="1">
      <alignment vertical="center" wrapText="1" readingOrder="1"/>
    </xf>
    <xf numFmtId="164" fontId="3" fillId="4" borderId="1" xfId="0" applyNumberFormat="1" applyFont="1" applyFill="1" applyBorder="1" applyAlignment="1">
      <alignment vertical="center" wrapText="1" readingOrder="1"/>
    </xf>
    <xf numFmtId="164" fontId="3" fillId="3" borderId="1" xfId="0" applyNumberFormat="1" applyFont="1" applyFill="1" applyBorder="1" applyAlignment="1">
      <alignment horizontal="center" vertical="center" wrapText="1" readingOrder="1"/>
    </xf>
    <xf numFmtId="164" fontId="3" fillId="4" borderId="1" xfId="0" applyNumberFormat="1" applyFont="1" applyFill="1" applyBorder="1" applyAlignment="1">
      <alignment horizontal="center" vertical="center" wrapText="1" readingOrder="1"/>
    </xf>
    <xf numFmtId="0" fontId="4" fillId="2" borderId="1" xfId="0" applyFont="1" applyFill="1" applyBorder="1" applyAlignment="1">
      <alignment horizontal="left" vertical="center" wrapText="1" readingOrder="1"/>
    </xf>
    <xf numFmtId="0" fontId="1" fillId="0" borderId="0" xfId="0" applyFont="1" applyAlignment="1">
      <alignment horizontal="left" vertical="center"/>
    </xf>
    <xf numFmtId="0" fontId="3" fillId="3" borderId="1" xfId="0" applyFont="1" applyFill="1" applyBorder="1" applyAlignment="1">
      <alignment horizontal="left" vertical="center" wrapText="1" readingOrder="1"/>
    </xf>
    <xf numFmtId="0" fontId="3" fillId="4" borderId="1" xfId="0" applyFont="1" applyFill="1" applyBorder="1" applyAlignment="1">
      <alignment horizontal="left" vertical="center" wrapText="1" readingOrder="1"/>
    </xf>
    <xf numFmtId="0" fontId="3" fillId="4" borderId="1" xfId="0" applyFont="1" applyFill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top" wrapText="1" readingOrder="1"/>
    </xf>
    <xf numFmtId="0" fontId="1" fillId="0" borderId="0" xfId="0" applyFont="1"/>
    <xf numFmtId="0" fontId="4" fillId="2" borderId="1" xfId="0" applyFont="1" applyFill="1" applyBorder="1" applyAlignment="1">
      <alignment horizontal="center" vertical="center" wrapText="1" readingOrder="1"/>
    </xf>
    <xf numFmtId="0" fontId="5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2D62"/>
      <rgbColor rgb="00D3D3D3"/>
      <rgbColor rgb="00FFFFFF"/>
      <rgbColor rgb="00EFEFE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</xdr:col>
      <xdr:colOff>838200</xdr:colOff>
      <xdr:row>3</xdr:row>
      <xdr:rowOff>241300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91"/>
  <sheetViews>
    <sheetView showGridLines="0" tabSelected="1" workbookViewId="0">
      <pane ySplit="6" topLeftCell="A248" activePane="bottomLeft" state="frozen"/>
      <selection pane="bottomLeft" activeCell="E544" sqref="E544"/>
    </sheetView>
  </sheetViews>
  <sheetFormatPr defaultRowHeight="15"/>
  <cols>
    <col min="1" max="1" width="2.28515625" style="2" customWidth="1"/>
    <col min="2" max="2" width="12.5703125" style="2" customWidth="1"/>
    <col min="3" max="3" width="14" style="1" customWidth="1"/>
    <col min="4" max="4" width="0" hidden="1" customWidth="1"/>
    <col min="5" max="5" width="41.42578125" style="11" customWidth="1"/>
    <col min="6" max="6" width="10.42578125" style="2" hidden="1" customWidth="1"/>
    <col min="7" max="7" width="10.42578125" customWidth="1"/>
    <col min="8" max="8" width="12.42578125" style="2" bestFit="1" customWidth="1"/>
    <col min="9" max="9" width="9.140625" style="2" hidden="1" customWidth="1"/>
    <col min="10" max="10" width="9.140625" customWidth="1"/>
    <col min="11" max="11" width="9.42578125" customWidth="1"/>
    <col min="12" max="12" width="11.5703125" customWidth="1"/>
  </cols>
  <sheetData>
    <row r="1" spans="1:11" ht="8.1" customHeight="1"/>
    <row r="2" spans="1:11" ht="17.45" customHeight="1">
      <c r="B2" s="17"/>
      <c r="D2" s="18" t="s">
        <v>0</v>
      </c>
      <c r="E2" s="19"/>
      <c r="F2" s="19"/>
      <c r="G2" s="19"/>
      <c r="H2" s="19"/>
      <c r="I2" s="19"/>
      <c r="J2" s="19"/>
      <c r="K2" s="19"/>
    </row>
    <row r="3" spans="1:11" ht="2.1" customHeight="1">
      <c r="B3" s="17"/>
    </row>
    <row r="4" spans="1:11" ht="18.95" customHeight="1">
      <c r="B4" s="17"/>
      <c r="D4" s="18" t="s">
        <v>1</v>
      </c>
      <c r="E4" s="19"/>
      <c r="F4" s="19"/>
      <c r="G4" s="19"/>
      <c r="H4" s="19"/>
      <c r="I4" s="19"/>
      <c r="J4" s="19"/>
      <c r="K4" s="19"/>
    </row>
    <row r="5" spans="1:11">
      <c r="D5" s="19"/>
      <c r="E5" s="19"/>
      <c r="F5" s="19"/>
      <c r="G5" s="19"/>
      <c r="H5" s="19"/>
      <c r="I5" s="19"/>
      <c r="J5" s="19"/>
      <c r="K5" s="19"/>
    </row>
    <row r="6" spans="1:11" ht="3.95" customHeight="1"/>
    <row r="7" spans="1:11" ht="33.75" customHeight="1">
      <c r="A7" s="20" t="s">
        <v>2</v>
      </c>
      <c r="B7" s="21"/>
      <c r="C7" s="21"/>
      <c r="D7" s="4"/>
      <c r="E7" s="10" t="s">
        <v>3</v>
      </c>
      <c r="F7" s="3" t="s">
        <v>4</v>
      </c>
      <c r="G7" s="3"/>
      <c r="H7" s="3" t="s">
        <v>1351</v>
      </c>
      <c r="I7" s="3" t="s">
        <v>5</v>
      </c>
    </row>
    <row r="8" spans="1:11" ht="25.5">
      <c r="A8" s="16" t="s">
        <v>6</v>
      </c>
      <c r="B8" s="15"/>
      <c r="C8" s="15"/>
      <c r="D8" s="5"/>
      <c r="E8" s="12" t="s">
        <v>7</v>
      </c>
      <c r="F8" s="8">
        <v>338.39606250000003</v>
      </c>
      <c r="G8" s="6"/>
      <c r="H8" s="8">
        <f>F8*1.06</f>
        <v>358.69982625000006</v>
      </c>
      <c r="I8" s="8">
        <v>634.83399999999995</v>
      </c>
    </row>
    <row r="9" spans="1:11" ht="49.5" customHeight="1">
      <c r="A9" s="14">
        <v>10.1311</v>
      </c>
      <c r="B9" s="15"/>
      <c r="C9" s="15"/>
      <c r="D9" s="5"/>
      <c r="E9" s="13" t="s">
        <v>8</v>
      </c>
      <c r="F9" s="9">
        <v>14.212634625</v>
      </c>
      <c r="G9" s="7"/>
      <c r="H9" s="8">
        <f t="shared" ref="H9:H72" si="0">F9*1.06</f>
        <v>15.065392702500001</v>
      </c>
      <c r="I9" s="9">
        <v>26.9664</v>
      </c>
    </row>
    <row r="10" spans="1:11" ht="25.5">
      <c r="A10" s="16" t="s">
        <v>9</v>
      </c>
      <c r="B10" s="15"/>
      <c r="C10" s="15"/>
      <c r="D10" s="5"/>
      <c r="E10" s="12" t="s">
        <v>10</v>
      </c>
      <c r="F10" s="8">
        <v>14.212634625</v>
      </c>
      <c r="G10" s="6"/>
      <c r="H10" s="8">
        <f t="shared" si="0"/>
        <v>15.065392702500001</v>
      </c>
      <c r="I10" s="8">
        <v>26.9664</v>
      </c>
    </row>
    <row r="11" spans="1:11" ht="25.5">
      <c r="A11" s="14" t="s">
        <v>11</v>
      </c>
      <c r="B11" s="15"/>
      <c r="C11" s="15"/>
      <c r="D11" s="5"/>
      <c r="E11" s="13" t="s">
        <v>12</v>
      </c>
      <c r="F11" s="9">
        <v>14.212634625</v>
      </c>
      <c r="G11" s="7"/>
      <c r="H11" s="8">
        <f t="shared" si="0"/>
        <v>15.065392702500001</v>
      </c>
      <c r="I11" s="9">
        <v>26.9664</v>
      </c>
    </row>
    <row r="12" spans="1:11">
      <c r="A12" s="16" t="s">
        <v>13</v>
      </c>
      <c r="B12" s="15"/>
      <c r="C12" s="15"/>
      <c r="D12" s="5"/>
      <c r="E12" s="12" t="s">
        <v>14</v>
      </c>
      <c r="F12" s="8">
        <v>334.33530975000002</v>
      </c>
      <c r="G12" s="6"/>
      <c r="H12" s="8">
        <f t="shared" si="0"/>
        <v>354.39542833500002</v>
      </c>
      <c r="I12" s="8">
        <v>768.54240000000004</v>
      </c>
    </row>
    <row r="13" spans="1:11">
      <c r="A13" s="14" t="s">
        <v>15</v>
      </c>
      <c r="B13" s="15"/>
      <c r="C13" s="15"/>
      <c r="D13" s="5"/>
      <c r="E13" s="13" t="s">
        <v>16</v>
      </c>
      <c r="F13" s="9">
        <v>341.23858942499999</v>
      </c>
      <c r="G13" s="7"/>
      <c r="H13" s="8">
        <f t="shared" si="0"/>
        <v>361.71290479049998</v>
      </c>
      <c r="I13" s="9">
        <v>793.26160000000004</v>
      </c>
    </row>
    <row r="14" spans="1:11">
      <c r="A14" s="16" t="s">
        <v>17</v>
      </c>
      <c r="B14" s="15"/>
      <c r="C14" s="15"/>
      <c r="D14" s="5"/>
      <c r="E14" s="12" t="s">
        <v>18</v>
      </c>
      <c r="F14" s="8">
        <v>321.87105478125</v>
      </c>
      <c r="G14" s="6"/>
      <c r="H14" s="8">
        <f t="shared" si="0"/>
        <v>341.183318068125</v>
      </c>
      <c r="I14" s="8">
        <v>768.54240000000004</v>
      </c>
    </row>
    <row r="15" spans="1:11">
      <c r="A15" s="14" t="s">
        <v>19</v>
      </c>
      <c r="B15" s="15"/>
      <c r="C15" s="15"/>
      <c r="D15" s="5"/>
      <c r="E15" s="13" t="s">
        <v>20</v>
      </c>
      <c r="F15" s="9">
        <v>328.77433445625002</v>
      </c>
      <c r="G15" s="7"/>
      <c r="H15" s="8">
        <f t="shared" si="0"/>
        <v>348.50079452362502</v>
      </c>
      <c r="I15" s="9">
        <v>767.41880000000003</v>
      </c>
    </row>
    <row r="16" spans="1:11">
      <c r="A16" s="16" t="s">
        <v>21</v>
      </c>
      <c r="B16" s="15"/>
      <c r="C16" s="15"/>
      <c r="D16" s="5"/>
      <c r="E16" s="12" t="s">
        <v>22</v>
      </c>
      <c r="F16" s="8">
        <v>330.01512001875</v>
      </c>
      <c r="G16" s="6"/>
      <c r="H16" s="8">
        <f t="shared" si="0"/>
        <v>349.81602721987502</v>
      </c>
      <c r="I16" s="8">
        <v>743.82320000000004</v>
      </c>
    </row>
    <row r="17" spans="1:9">
      <c r="A17" s="14" t="s">
        <v>23</v>
      </c>
      <c r="B17" s="15"/>
      <c r="C17" s="15"/>
      <c r="D17" s="5"/>
      <c r="E17" s="13" t="s">
        <v>24</v>
      </c>
      <c r="F17" s="9">
        <v>336.91839969375002</v>
      </c>
      <c r="G17" s="7"/>
      <c r="H17" s="8">
        <f t="shared" si="0"/>
        <v>357.13350367537504</v>
      </c>
      <c r="I17" s="9">
        <v>793.26160000000004</v>
      </c>
    </row>
    <row r="18" spans="1:9">
      <c r="A18" s="16" t="s">
        <v>25</v>
      </c>
      <c r="B18" s="15"/>
      <c r="C18" s="15"/>
      <c r="D18" s="5"/>
      <c r="E18" s="12" t="s">
        <v>26</v>
      </c>
      <c r="F18" s="8">
        <v>317.55086505000003</v>
      </c>
      <c r="G18" s="6"/>
      <c r="H18" s="8">
        <f t="shared" si="0"/>
        <v>336.60391695300007</v>
      </c>
      <c r="I18" s="8">
        <v>743.82320000000004</v>
      </c>
    </row>
    <row r="19" spans="1:9">
      <c r="A19" s="14" t="s">
        <v>27</v>
      </c>
      <c r="B19" s="15"/>
      <c r="C19" s="15"/>
      <c r="D19" s="5"/>
      <c r="E19" s="13" t="s">
        <v>28</v>
      </c>
      <c r="F19" s="9">
        <v>324.45414472499999</v>
      </c>
      <c r="G19" s="7"/>
      <c r="H19" s="8">
        <f t="shared" si="0"/>
        <v>343.92139340850002</v>
      </c>
      <c r="I19" s="9">
        <v>767.41880000000003</v>
      </c>
    </row>
    <row r="20" spans="1:9" ht="25.5">
      <c r="A20" s="16" t="s">
        <v>29</v>
      </c>
      <c r="B20" s="15"/>
      <c r="C20" s="15"/>
      <c r="D20" s="5"/>
      <c r="E20" s="12" t="s">
        <v>30</v>
      </c>
      <c r="F20" s="8">
        <v>162.853105078125</v>
      </c>
      <c r="G20" s="6"/>
      <c r="H20" s="8">
        <f t="shared" si="0"/>
        <v>172.62429138281252</v>
      </c>
      <c r="I20" s="8">
        <v>489.88959999999997</v>
      </c>
    </row>
    <row r="21" spans="1:9" ht="25.5">
      <c r="A21" s="14" t="s">
        <v>31</v>
      </c>
      <c r="B21" s="15"/>
      <c r="C21" s="15"/>
      <c r="D21" s="5"/>
      <c r="E21" s="13" t="s">
        <v>32</v>
      </c>
      <c r="F21" s="9">
        <v>164.54508539062499</v>
      </c>
      <c r="G21" s="7"/>
      <c r="H21" s="8">
        <f t="shared" si="0"/>
        <v>174.41779051406249</v>
      </c>
      <c r="I21" s="9">
        <v>494.38400000000001</v>
      </c>
    </row>
    <row r="22" spans="1:9" ht="25.5">
      <c r="A22" s="16" t="s">
        <v>33</v>
      </c>
      <c r="B22" s="15"/>
      <c r="C22" s="15"/>
      <c r="D22" s="5"/>
      <c r="E22" s="12" t="s">
        <v>34</v>
      </c>
      <c r="F22" s="8">
        <v>162.853105078125</v>
      </c>
      <c r="G22" s="6"/>
      <c r="H22" s="8">
        <f t="shared" si="0"/>
        <v>172.62429138281252</v>
      </c>
      <c r="I22" s="8">
        <v>489.88959999999997</v>
      </c>
    </row>
    <row r="23" spans="1:9" ht="25.5">
      <c r="A23" s="14" t="s">
        <v>35</v>
      </c>
      <c r="B23" s="15"/>
      <c r="C23" s="15"/>
      <c r="D23" s="5"/>
      <c r="E23" s="13" t="s">
        <v>36</v>
      </c>
      <c r="F23" s="9">
        <v>164.550725325</v>
      </c>
      <c r="G23" s="7"/>
      <c r="H23" s="8">
        <f t="shared" si="0"/>
        <v>174.42376884450002</v>
      </c>
      <c r="I23" s="9">
        <v>494.38400000000001</v>
      </c>
    </row>
    <row r="24" spans="1:9" ht="25.5">
      <c r="A24" s="16" t="s">
        <v>37</v>
      </c>
      <c r="B24" s="15"/>
      <c r="C24" s="15"/>
      <c r="D24" s="5"/>
      <c r="E24" s="12" t="s">
        <v>38</v>
      </c>
      <c r="F24" s="8">
        <v>164.54508539062499</v>
      </c>
      <c r="G24" s="6"/>
      <c r="H24" s="8">
        <f t="shared" si="0"/>
        <v>174.41779051406249</v>
      </c>
      <c r="I24" s="8">
        <v>494.38400000000001</v>
      </c>
    </row>
    <row r="25" spans="1:9" ht="25.5">
      <c r="A25" s="14" t="s">
        <v>39</v>
      </c>
      <c r="B25" s="15"/>
      <c r="C25" s="15"/>
      <c r="D25" s="5"/>
      <c r="E25" s="13" t="s">
        <v>40</v>
      </c>
      <c r="F25" s="9">
        <v>162.853105078125</v>
      </c>
      <c r="G25" s="7"/>
      <c r="H25" s="8">
        <f t="shared" si="0"/>
        <v>172.62429138281252</v>
      </c>
      <c r="I25" s="9">
        <v>489.88959999999997</v>
      </c>
    </row>
    <row r="26" spans="1:9" ht="25.5">
      <c r="A26" s="16" t="s">
        <v>41</v>
      </c>
      <c r="B26" s="15"/>
      <c r="C26" s="15"/>
      <c r="D26" s="5"/>
      <c r="E26" s="12" t="s">
        <v>42</v>
      </c>
      <c r="F26" s="8">
        <v>164.54508539062499</v>
      </c>
      <c r="G26" s="6"/>
      <c r="H26" s="8">
        <f t="shared" si="0"/>
        <v>174.41779051406249</v>
      </c>
      <c r="I26" s="8">
        <v>494.38400000000001</v>
      </c>
    </row>
    <row r="27" spans="1:9" ht="25.5">
      <c r="A27" s="14" t="s">
        <v>43</v>
      </c>
      <c r="B27" s="15"/>
      <c r="C27" s="15"/>
      <c r="D27" s="5"/>
      <c r="E27" s="13" t="s">
        <v>44</v>
      </c>
      <c r="F27" s="9">
        <v>162.853105078125</v>
      </c>
      <c r="G27" s="7"/>
      <c r="H27" s="8">
        <f t="shared" si="0"/>
        <v>172.62429138281252</v>
      </c>
      <c r="I27" s="9">
        <v>489.88959999999997</v>
      </c>
    </row>
    <row r="28" spans="1:9" ht="25.5">
      <c r="A28" s="16" t="s">
        <v>45</v>
      </c>
      <c r="B28" s="15"/>
      <c r="C28" s="15"/>
      <c r="D28" s="5"/>
      <c r="E28" s="12" t="s">
        <v>46</v>
      </c>
      <c r="F28" s="8">
        <v>164.54508539062499</v>
      </c>
      <c r="G28" s="6"/>
      <c r="H28" s="8">
        <f t="shared" si="0"/>
        <v>174.41779051406249</v>
      </c>
      <c r="I28" s="8">
        <v>494.38400000000001</v>
      </c>
    </row>
    <row r="29" spans="1:9" ht="25.5">
      <c r="A29" s="14" t="s">
        <v>47</v>
      </c>
      <c r="B29" s="15"/>
      <c r="C29" s="15"/>
      <c r="D29" s="5"/>
      <c r="E29" s="13" t="s">
        <v>48</v>
      </c>
      <c r="F29" s="9">
        <v>162.853105078125</v>
      </c>
      <c r="G29" s="7"/>
      <c r="H29" s="8">
        <f t="shared" si="0"/>
        <v>172.62429138281252</v>
      </c>
      <c r="I29" s="9">
        <v>489.88959999999997</v>
      </c>
    </row>
    <row r="30" spans="1:9" ht="25.5">
      <c r="A30" s="16" t="s">
        <v>49</v>
      </c>
      <c r="B30" s="15"/>
      <c r="C30" s="15"/>
      <c r="D30" s="5"/>
      <c r="E30" s="12" t="s">
        <v>50</v>
      </c>
      <c r="F30" s="8">
        <v>164.54508539062499</v>
      </c>
      <c r="G30" s="6"/>
      <c r="H30" s="8">
        <f t="shared" si="0"/>
        <v>174.41779051406249</v>
      </c>
      <c r="I30" s="8">
        <v>494.38400000000001</v>
      </c>
    </row>
    <row r="31" spans="1:9" ht="25.5">
      <c r="A31" s="14" t="s">
        <v>51</v>
      </c>
      <c r="B31" s="15"/>
      <c r="C31" s="15"/>
      <c r="D31" s="5"/>
      <c r="E31" s="13" t="s">
        <v>52</v>
      </c>
      <c r="F31" s="9">
        <v>162.853105078125</v>
      </c>
      <c r="G31" s="7"/>
      <c r="H31" s="8">
        <f t="shared" si="0"/>
        <v>172.62429138281252</v>
      </c>
      <c r="I31" s="9">
        <v>489.88959999999997</v>
      </c>
    </row>
    <row r="32" spans="1:9" ht="38.25">
      <c r="A32" s="16" t="s">
        <v>53</v>
      </c>
      <c r="B32" s="15"/>
      <c r="C32" s="15"/>
      <c r="D32" s="5"/>
      <c r="E32" s="12" t="s">
        <v>54</v>
      </c>
      <c r="F32" s="8">
        <v>31.021350000000002</v>
      </c>
      <c r="G32" s="6"/>
      <c r="H32" s="8">
        <f t="shared" si="0"/>
        <v>32.882631000000003</v>
      </c>
      <c r="I32" s="8">
        <v>70.786799999999999</v>
      </c>
    </row>
    <row r="33" spans="1:9" ht="25.5">
      <c r="A33" s="14" t="s">
        <v>55</v>
      </c>
      <c r="B33" s="15"/>
      <c r="C33" s="15"/>
      <c r="D33" s="5"/>
      <c r="E33" s="13" t="s">
        <v>56</v>
      </c>
      <c r="F33" s="9">
        <v>109.414726875</v>
      </c>
      <c r="G33" s="7"/>
      <c r="H33" s="8">
        <f t="shared" si="0"/>
        <v>115.97961048750001</v>
      </c>
      <c r="I33" s="9">
        <v>247.19200000000001</v>
      </c>
    </row>
    <row r="34" spans="1:9" ht="25.5">
      <c r="A34" s="16" t="s">
        <v>57</v>
      </c>
      <c r="B34" s="15"/>
      <c r="C34" s="15"/>
      <c r="D34" s="5"/>
      <c r="E34" s="12" t="s">
        <v>58</v>
      </c>
      <c r="F34" s="8">
        <v>389.00358999999997</v>
      </c>
      <c r="G34" s="6"/>
      <c r="H34" s="8">
        <f t="shared" si="0"/>
        <v>412.34380540000001</v>
      </c>
      <c r="I34" s="8">
        <v>873.93600000000004</v>
      </c>
    </row>
    <row r="35" spans="1:9">
      <c r="A35" s="14" t="s">
        <v>59</v>
      </c>
      <c r="B35" s="15"/>
      <c r="C35" s="15"/>
      <c r="D35" s="5"/>
      <c r="E35" s="13" t="s">
        <v>60</v>
      </c>
      <c r="F35" s="9">
        <v>4.2299507812500003</v>
      </c>
      <c r="G35" s="7"/>
      <c r="H35" s="8">
        <f t="shared" si="0"/>
        <v>4.4837478281250007</v>
      </c>
      <c r="I35" s="9">
        <v>10.112399999999999</v>
      </c>
    </row>
    <row r="36" spans="1:9" ht="25.5">
      <c r="A36" s="16" t="s">
        <v>61</v>
      </c>
      <c r="B36" s="15"/>
      <c r="C36" s="15"/>
      <c r="D36" s="5"/>
      <c r="E36" s="12" t="s">
        <v>62</v>
      </c>
      <c r="F36" s="8">
        <v>9.04991796875</v>
      </c>
      <c r="G36" s="6"/>
      <c r="H36" s="8">
        <f t="shared" si="0"/>
        <v>9.592913046875001</v>
      </c>
      <c r="I36" s="8">
        <v>20.853999999999999</v>
      </c>
    </row>
    <row r="37" spans="1:9" ht="25.5">
      <c r="A37" s="14" t="s">
        <v>63</v>
      </c>
      <c r="B37" s="15"/>
      <c r="C37" s="15"/>
      <c r="D37" s="5"/>
      <c r="E37" s="13" t="s">
        <v>64</v>
      </c>
      <c r="F37" s="9">
        <v>254.402154</v>
      </c>
      <c r="G37" s="7"/>
      <c r="H37" s="8">
        <f t="shared" si="0"/>
        <v>269.66628323999998</v>
      </c>
      <c r="I37" s="9">
        <v>511.30520000000001</v>
      </c>
    </row>
    <row r="38" spans="1:9" ht="25.5">
      <c r="A38" s="16" t="s">
        <v>65</v>
      </c>
      <c r="B38" s="15"/>
      <c r="C38" s="15"/>
      <c r="D38" s="5"/>
      <c r="E38" s="12" t="s">
        <v>66</v>
      </c>
      <c r="F38" s="8">
        <v>25.431750624999999</v>
      </c>
      <c r="G38" s="6"/>
      <c r="H38" s="8">
        <f t="shared" si="0"/>
        <v>26.957655662500002</v>
      </c>
      <c r="I38" s="8">
        <v>56.314799999999998</v>
      </c>
    </row>
    <row r="39" spans="1:9" ht="25.5">
      <c r="A39" s="14" t="s">
        <v>67</v>
      </c>
      <c r="B39" s="15"/>
      <c r="C39" s="15"/>
      <c r="D39" s="5"/>
      <c r="E39" s="13" t="s">
        <v>68</v>
      </c>
      <c r="F39" s="9">
        <v>214.75776875</v>
      </c>
      <c r="G39" s="7"/>
      <c r="H39" s="8">
        <f t="shared" si="0"/>
        <v>227.64323487500002</v>
      </c>
      <c r="I39" s="9">
        <v>478.58600000000001</v>
      </c>
    </row>
    <row r="40" spans="1:9" ht="25.5">
      <c r="A40" s="16" t="s">
        <v>69</v>
      </c>
      <c r="B40" s="15"/>
      <c r="C40" s="15"/>
      <c r="D40" s="5"/>
      <c r="E40" s="12" t="s">
        <v>70</v>
      </c>
      <c r="F40" s="8">
        <v>209.117834375</v>
      </c>
      <c r="G40" s="6"/>
      <c r="H40" s="8">
        <f t="shared" si="0"/>
        <v>221.66490443750001</v>
      </c>
      <c r="I40" s="8">
        <v>465.1028</v>
      </c>
    </row>
    <row r="41" spans="1:9" ht="25.5">
      <c r="A41" s="14" t="s">
        <v>71</v>
      </c>
      <c r="B41" s="15"/>
      <c r="C41" s="15"/>
      <c r="D41" s="5"/>
      <c r="E41" s="13" t="s">
        <v>72</v>
      </c>
      <c r="F41" s="9">
        <v>214.75776875</v>
      </c>
      <c r="G41" s="7"/>
      <c r="H41" s="8">
        <f t="shared" si="0"/>
        <v>227.64323487500002</v>
      </c>
      <c r="I41" s="9">
        <v>478.58600000000001</v>
      </c>
    </row>
    <row r="42" spans="1:9" ht="25.5">
      <c r="A42" s="16" t="s">
        <v>73</v>
      </c>
      <c r="B42" s="15"/>
      <c r="C42" s="15"/>
      <c r="D42" s="5"/>
      <c r="E42" s="12" t="s">
        <v>74</v>
      </c>
      <c r="F42" s="8">
        <v>209.117834375</v>
      </c>
      <c r="G42" s="6"/>
      <c r="H42" s="8">
        <f t="shared" si="0"/>
        <v>221.66490443750001</v>
      </c>
      <c r="I42" s="8">
        <v>465.1028</v>
      </c>
    </row>
    <row r="43" spans="1:9" ht="25.5">
      <c r="A43" s="14" t="s">
        <v>75</v>
      </c>
      <c r="B43" s="15"/>
      <c r="C43" s="15"/>
      <c r="D43" s="5"/>
      <c r="E43" s="13" t="s">
        <v>76</v>
      </c>
      <c r="F43" s="9">
        <v>214.75776875</v>
      </c>
      <c r="G43" s="7"/>
      <c r="H43" s="8">
        <f t="shared" si="0"/>
        <v>227.64323487500002</v>
      </c>
      <c r="I43" s="9">
        <v>478.58600000000001</v>
      </c>
    </row>
    <row r="44" spans="1:9" ht="25.5">
      <c r="A44" s="16" t="s">
        <v>77</v>
      </c>
      <c r="B44" s="15"/>
      <c r="C44" s="15"/>
      <c r="D44" s="5"/>
      <c r="E44" s="12" t="s">
        <v>78</v>
      </c>
      <c r="F44" s="8">
        <v>209.117834375</v>
      </c>
      <c r="G44" s="6"/>
      <c r="H44" s="8">
        <f t="shared" si="0"/>
        <v>221.66490443750001</v>
      </c>
      <c r="I44" s="8">
        <v>465.1028</v>
      </c>
    </row>
    <row r="45" spans="1:9" ht="25.5">
      <c r="A45" s="14" t="s">
        <v>79</v>
      </c>
      <c r="B45" s="15"/>
      <c r="C45" s="15"/>
      <c r="D45" s="5"/>
      <c r="E45" s="13" t="s">
        <v>80</v>
      </c>
      <c r="F45" s="9">
        <v>15.0998359375</v>
      </c>
      <c r="G45" s="7"/>
      <c r="H45" s="8">
        <f t="shared" si="0"/>
        <v>16.005826093750002</v>
      </c>
      <c r="I45" s="9">
        <v>34.584400000000002</v>
      </c>
    </row>
    <row r="46" spans="1:9">
      <c r="A46" s="16" t="s">
        <v>81</v>
      </c>
      <c r="B46" s="15"/>
      <c r="C46" s="15"/>
      <c r="D46" s="5"/>
      <c r="E46" s="12" t="s">
        <v>82</v>
      </c>
      <c r="F46" s="8">
        <v>17.355809687499999</v>
      </c>
      <c r="G46" s="6"/>
      <c r="H46" s="8">
        <f t="shared" si="0"/>
        <v>18.397158268750001</v>
      </c>
      <c r="I46" s="8">
        <v>39.078800000000001</v>
      </c>
    </row>
    <row r="47" spans="1:9">
      <c r="A47" s="14" t="s">
        <v>83</v>
      </c>
      <c r="B47" s="15"/>
      <c r="C47" s="15"/>
      <c r="D47" s="5"/>
      <c r="E47" s="13" t="s">
        <v>84</v>
      </c>
      <c r="F47" s="9">
        <v>17.355809687499999</v>
      </c>
      <c r="G47" s="7"/>
      <c r="H47" s="8">
        <f t="shared" si="0"/>
        <v>18.397158268750001</v>
      </c>
      <c r="I47" s="9">
        <v>39.078800000000001</v>
      </c>
    </row>
    <row r="48" spans="1:9" ht="25.5">
      <c r="A48" s="16" t="s">
        <v>85</v>
      </c>
      <c r="B48" s="15"/>
      <c r="C48" s="15"/>
      <c r="D48" s="5"/>
      <c r="E48" s="12" t="s">
        <v>86</v>
      </c>
      <c r="F48" s="8">
        <v>17.355809687499999</v>
      </c>
      <c r="G48" s="6"/>
      <c r="H48" s="8">
        <f t="shared" si="0"/>
        <v>18.397158268750001</v>
      </c>
      <c r="I48" s="8">
        <v>39.078800000000001</v>
      </c>
    </row>
    <row r="49" spans="1:9" ht="25.5">
      <c r="A49" s="14" t="s">
        <v>87</v>
      </c>
      <c r="B49" s="15"/>
      <c r="C49" s="15"/>
      <c r="D49" s="5"/>
      <c r="E49" s="13" t="s">
        <v>88</v>
      </c>
      <c r="F49" s="9">
        <v>17.355809687499999</v>
      </c>
      <c r="G49" s="7"/>
      <c r="H49" s="8">
        <f t="shared" si="0"/>
        <v>18.397158268750001</v>
      </c>
      <c r="I49" s="9">
        <v>39.078800000000001</v>
      </c>
    </row>
    <row r="50" spans="1:9" ht="25.5">
      <c r="A50" s="16" t="s">
        <v>89</v>
      </c>
      <c r="B50" s="15"/>
      <c r="C50" s="15"/>
      <c r="D50" s="5"/>
      <c r="E50" s="12" t="s">
        <v>90</v>
      </c>
      <c r="F50" s="8">
        <v>23.559737500000001</v>
      </c>
      <c r="G50" s="6"/>
      <c r="H50" s="8">
        <f t="shared" si="0"/>
        <v>24.97332175</v>
      </c>
      <c r="I50" s="8">
        <v>53.685600000000001</v>
      </c>
    </row>
    <row r="51" spans="1:9" ht="25.5">
      <c r="A51" s="14" t="s">
        <v>91</v>
      </c>
      <c r="B51" s="15"/>
      <c r="C51" s="15"/>
      <c r="D51" s="5"/>
      <c r="E51" s="13" t="s">
        <v>92</v>
      </c>
      <c r="F51" s="9">
        <v>23.559737500000001</v>
      </c>
      <c r="G51" s="7"/>
      <c r="H51" s="8">
        <f t="shared" si="0"/>
        <v>24.97332175</v>
      </c>
      <c r="I51" s="9">
        <v>53.685600000000001</v>
      </c>
    </row>
    <row r="52" spans="1:9" ht="25.5">
      <c r="A52" s="16" t="s">
        <v>93</v>
      </c>
      <c r="B52" s="15"/>
      <c r="C52" s="15"/>
      <c r="D52" s="5"/>
      <c r="E52" s="12" t="s">
        <v>94</v>
      </c>
      <c r="F52" s="8">
        <v>24.687724374999998</v>
      </c>
      <c r="G52" s="6"/>
      <c r="H52" s="8">
        <f t="shared" si="0"/>
        <v>26.168987837500001</v>
      </c>
      <c r="I52" s="8">
        <v>55.9328</v>
      </c>
    </row>
    <row r="53" spans="1:9">
      <c r="A53" s="14" t="s">
        <v>95</v>
      </c>
      <c r="B53" s="15"/>
      <c r="C53" s="15"/>
      <c r="D53" s="5"/>
      <c r="E53" s="13" t="s">
        <v>96</v>
      </c>
      <c r="F53" s="9">
        <v>24.687724374999998</v>
      </c>
      <c r="G53" s="7"/>
      <c r="H53" s="8">
        <f t="shared" si="0"/>
        <v>26.168987837500001</v>
      </c>
      <c r="I53" s="9">
        <v>55.9328</v>
      </c>
    </row>
    <row r="54" spans="1:9">
      <c r="A54" s="16" t="s">
        <v>97</v>
      </c>
      <c r="B54" s="15"/>
      <c r="C54" s="15"/>
      <c r="D54" s="5"/>
      <c r="E54" s="12" t="s">
        <v>98</v>
      </c>
      <c r="F54" s="8">
        <v>24.687724374999998</v>
      </c>
      <c r="G54" s="6"/>
      <c r="H54" s="8">
        <f t="shared" si="0"/>
        <v>26.168987837500001</v>
      </c>
      <c r="I54" s="8">
        <v>55.9328</v>
      </c>
    </row>
    <row r="55" spans="1:9" ht="25.5">
      <c r="A55" s="14" t="s">
        <v>99</v>
      </c>
      <c r="B55" s="15"/>
      <c r="C55" s="15"/>
      <c r="D55" s="5"/>
      <c r="E55" s="13" t="s">
        <v>100</v>
      </c>
      <c r="F55" s="9">
        <v>24.687724374999998</v>
      </c>
      <c r="G55" s="7"/>
      <c r="H55" s="8">
        <f t="shared" si="0"/>
        <v>26.168987837500001</v>
      </c>
      <c r="I55" s="9">
        <v>55.9328</v>
      </c>
    </row>
    <row r="56" spans="1:9" ht="25.5">
      <c r="A56" s="16" t="s">
        <v>101</v>
      </c>
      <c r="B56" s="15"/>
      <c r="C56" s="15"/>
      <c r="D56" s="5"/>
      <c r="E56" s="12" t="s">
        <v>102</v>
      </c>
      <c r="F56" s="8">
        <v>24.687724374999998</v>
      </c>
      <c r="G56" s="6"/>
      <c r="H56" s="8">
        <f t="shared" si="0"/>
        <v>26.168987837500001</v>
      </c>
      <c r="I56" s="8">
        <v>55.9328</v>
      </c>
    </row>
    <row r="57" spans="1:9" ht="25.5">
      <c r="A57" s="14" t="s">
        <v>103</v>
      </c>
      <c r="B57" s="15"/>
      <c r="C57" s="15"/>
      <c r="D57" s="5"/>
      <c r="E57" s="13" t="s">
        <v>104</v>
      </c>
      <c r="F57" s="9">
        <v>7.2039278124999999</v>
      </c>
      <c r="G57" s="7"/>
      <c r="H57" s="8">
        <f t="shared" si="0"/>
        <v>7.6361634812500006</v>
      </c>
      <c r="I57" s="9">
        <v>16.6068</v>
      </c>
    </row>
    <row r="58" spans="1:9" ht="25.5">
      <c r="A58" s="16" t="s">
        <v>105</v>
      </c>
      <c r="B58" s="15"/>
      <c r="C58" s="15"/>
      <c r="D58" s="5"/>
      <c r="E58" s="12" t="s">
        <v>106</v>
      </c>
      <c r="F58" s="8">
        <v>19.4837965625</v>
      </c>
      <c r="G58" s="6"/>
      <c r="H58" s="8">
        <f t="shared" si="0"/>
        <v>20.652824356250001</v>
      </c>
      <c r="I58" s="8">
        <v>44.449599999999997</v>
      </c>
    </row>
    <row r="59" spans="1:9" ht="25.5">
      <c r="A59" s="14" t="s">
        <v>107</v>
      </c>
      <c r="B59" s="15"/>
      <c r="C59" s="15"/>
      <c r="D59" s="5"/>
      <c r="E59" s="13" t="s">
        <v>108</v>
      </c>
      <c r="F59" s="9">
        <v>6.9219310937499996</v>
      </c>
      <c r="G59" s="7"/>
      <c r="H59" s="8">
        <f t="shared" si="0"/>
        <v>7.3372469593750003</v>
      </c>
      <c r="I59" s="9">
        <v>15.4832</v>
      </c>
    </row>
    <row r="60" spans="1:9" ht="25.5">
      <c r="A60" s="16" t="s">
        <v>109</v>
      </c>
      <c r="B60" s="15"/>
      <c r="C60" s="15"/>
      <c r="D60" s="5"/>
      <c r="E60" s="12" t="s">
        <v>110</v>
      </c>
      <c r="F60" s="8">
        <v>6.9219310937499996</v>
      </c>
      <c r="G60" s="6"/>
      <c r="H60" s="8">
        <f t="shared" si="0"/>
        <v>7.3372469593750003</v>
      </c>
      <c r="I60" s="8">
        <v>15.4832</v>
      </c>
    </row>
    <row r="61" spans="1:9" ht="25.5">
      <c r="A61" s="14" t="s">
        <v>111</v>
      </c>
      <c r="B61" s="15"/>
      <c r="C61" s="15"/>
      <c r="D61" s="5"/>
      <c r="E61" s="13" t="s">
        <v>112</v>
      </c>
      <c r="F61" s="9">
        <v>6.9219310937499996</v>
      </c>
      <c r="G61" s="7"/>
      <c r="H61" s="8">
        <f t="shared" si="0"/>
        <v>7.3372469593750003</v>
      </c>
      <c r="I61" s="9">
        <v>15.4832</v>
      </c>
    </row>
    <row r="62" spans="1:9">
      <c r="A62" s="16" t="s">
        <v>113</v>
      </c>
      <c r="B62" s="15"/>
      <c r="C62" s="15"/>
      <c r="D62" s="5"/>
      <c r="E62" s="12" t="s">
        <v>114</v>
      </c>
      <c r="F62" s="8">
        <v>96.494923749999998</v>
      </c>
      <c r="G62" s="6"/>
      <c r="H62" s="8">
        <f t="shared" si="0"/>
        <v>102.284619175</v>
      </c>
      <c r="I62" s="8">
        <v>216.9896</v>
      </c>
    </row>
    <row r="63" spans="1:9" ht="25.5">
      <c r="A63" s="14" t="s">
        <v>115</v>
      </c>
      <c r="B63" s="15"/>
      <c r="C63" s="15"/>
      <c r="D63" s="5"/>
      <c r="E63" s="13" t="s">
        <v>116</v>
      </c>
      <c r="F63" s="9">
        <v>73.243205937499994</v>
      </c>
      <c r="G63" s="7"/>
      <c r="H63" s="8">
        <f t="shared" si="0"/>
        <v>77.637798293749995</v>
      </c>
      <c r="I63" s="9">
        <v>163.9332</v>
      </c>
    </row>
    <row r="64" spans="1:9" ht="25.5">
      <c r="A64" s="16" t="s">
        <v>117</v>
      </c>
      <c r="B64" s="15"/>
      <c r="C64" s="15"/>
      <c r="D64" s="5"/>
      <c r="E64" s="12" t="s">
        <v>118</v>
      </c>
      <c r="F64" s="8">
        <v>8.04991796875</v>
      </c>
      <c r="G64" s="6"/>
      <c r="H64" s="8">
        <f t="shared" si="0"/>
        <v>8.5329130468750005</v>
      </c>
      <c r="I64" s="8">
        <v>18.853999999999999</v>
      </c>
    </row>
    <row r="65" spans="1:9" ht="25.5">
      <c r="A65" s="14" t="s">
        <v>119</v>
      </c>
      <c r="B65" s="15"/>
      <c r="C65" s="15"/>
      <c r="D65" s="5"/>
      <c r="E65" s="13" t="s">
        <v>120</v>
      </c>
      <c r="F65" s="9">
        <v>4.8199671874999996</v>
      </c>
      <c r="G65" s="7"/>
      <c r="H65" s="8">
        <f t="shared" si="0"/>
        <v>5.1091652187500003</v>
      </c>
      <c r="I65" s="9">
        <v>10.7416</v>
      </c>
    </row>
    <row r="66" spans="1:9" ht="25.5">
      <c r="A66" s="16" t="s">
        <v>121</v>
      </c>
      <c r="B66" s="15"/>
      <c r="C66" s="15"/>
      <c r="D66" s="5"/>
      <c r="E66" s="12" t="s">
        <v>122</v>
      </c>
      <c r="F66" s="8">
        <v>4.7071684999999999</v>
      </c>
      <c r="G66" s="6"/>
      <c r="H66" s="8">
        <f t="shared" si="0"/>
        <v>4.9895986099999998</v>
      </c>
      <c r="I66" s="8">
        <v>9.6180000000000003</v>
      </c>
    </row>
    <row r="67" spans="1:9" ht="25.5">
      <c r="A67" s="14" t="s">
        <v>123</v>
      </c>
      <c r="B67" s="15"/>
      <c r="C67" s="15"/>
      <c r="D67" s="5"/>
      <c r="E67" s="13" t="s">
        <v>124</v>
      </c>
      <c r="F67" s="9">
        <v>16.417634625000002</v>
      </c>
      <c r="G67" s="7"/>
      <c r="H67" s="8">
        <f t="shared" si="0"/>
        <v>17.402692702500001</v>
      </c>
      <c r="I67" s="9">
        <v>31.3764</v>
      </c>
    </row>
    <row r="68" spans="1:9">
      <c r="A68" s="16" t="s">
        <v>125</v>
      </c>
      <c r="B68" s="15"/>
      <c r="C68" s="15"/>
      <c r="D68" s="5"/>
      <c r="E68" s="12" t="s">
        <v>126</v>
      </c>
      <c r="F68" s="8">
        <v>145.12634625000001</v>
      </c>
      <c r="G68" s="6"/>
      <c r="H68" s="8">
        <f t="shared" si="0"/>
        <v>153.83392702500001</v>
      </c>
      <c r="I68" s="8">
        <v>326.226</v>
      </c>
    </row>
    <row r="69" spans="1:9" ht="25.5">
      <c r="A69" s="14" t="s">
        <v>127</v>
      </c>
      <c r="B69" s="15"/>
      <c r="C69" s="15"/>
      <c r="D69" s="5"/>
      <c r="E69" s="13" t="s">
        <v>128</v>
      </c>
      <c r="F69" s="9">
        <v>126.56660875</v>
      </c>
      <c r="G69" s="7"/>
      <c r="H69" s="8">
        <f t="shared" si="0"/>
        <v>134.16060527499999</v>
      </c>
      <c r="I69" s="9">
        <v>283.66399999999999</v>
      </c>
    </row>
    <row r="70" spans="1:9" ht="30.75" customHeight="1">
      <c r="A70" s="16" t="s">
        <v>129</v>
      </c>
      <c r="B70" s="15"/>
      <c r="C70" s="15"/>
      <c r="D70" s="5"/>
      <c r="E70" s="12" t="s">
        <v>130</v>
      </c>
      <c r="F70" s="8">
        <v>126.56660875</v>
      </c>
      <c r="G70" s="6"/>
      <c r="H70" s="8">
        <f t="shared" si="0"/>
        <v>134.16060527499999</v>
      </c>
      <c r="I70" s="8">
        <v>283.66399999999999</v>
      </c>
    </row>
    <row r="71" spans="1:9" ht="38.25">
      <c r="A71" s="14" t="s">
        <v>131</v>
      </c>
      <c r="B71" s="15"/>
      <c r="C71" s="15"/>
      <c r="D71" s="5"/>
      <c r="E71" s="13" t="s">
        <v>132</v>
      </c>
      <c r="F71" s="9">
        <v>18.79181625</v>
      </c>
      <c r="G71" s="7"/>
      <c r="H71" s="8">
        <f t="shared" si="0"/>
        <v>19.919325225000001</v>
      </c>
      <c r="I71" s="9">
        <v>41.955199999999998</v>
      </c>
    </row>
    <row r="72" spans="1:9" ht="25.5">
      <c r="A72" s="16" t="s">
        <v>133</v>
      </c>
      <c r="B72" s="15"/>
      <c r="C72" s="15"/>
      <c r="D72" s="5"/>
      <c r="E72" s="12" t="s">
        <v>134</v>
      </c>
      <c r="F72" s="8">
        <v>18.79181625</v>
      </c>
      <c r="G72" s="6"/>
      <c r="H72" s="8">
        <f t="shared" si="0"/>
        <v>19.919325225000001</v>
      </c>
      <c r="I72" s="8">
        <v>41.955199999999998</v>
      </c>
    </row>
    <row r="73" spans="1:9" ht="25.5">
      <c r="A73" s="14" t="s">
        <v>135</v>
      </c>
      <c r="B73" s="15"/>
      <c r="C73" s="15"/>
      <c r="D73" s="5"/>
      <c r="E73" s="13" t="s">
        <v>136</v>
      </c>
      <c r="F73" s="9">
        <v>23.867757187500001</v>
      </c>
      <c r="G73" s="7"/>
      <c r="H73" s="8">
        <f t="shared" ref="H73:H136" si="1">F73*1.06</f>
        <v>25.299822618750003</v>
      </c>
      <c r="I73" s="9">
        <v>53.191200000000002</v>
      </c>
    </row>
    <row r="74" spans="1:9" ht="25.5">
      <c r="A74" s="16" t="s">
        <v>137</v>
      </c>
      <c r="B74" s="15"/>
      <c r="C74" s="15"/>
      <c r="D74" s="5"/>
      <c r="E74" s="12" t="s">
        <v>138</v>
      </c>
      <c r="F74" s="8">
        <v>75.499179687500003</v>
      </c>
      <c r="G74" s="6"/>
      <c r="H74" s="8">
        <f t="shared" si="1"/>
        <v>80.029130468750012</v>
      </c>
      <c r="I74" s="8">
        <v>169.55119999999999</v>
      </c>
    </row>
    <row r="75" spans="1:9">
      <c r="A75" s="14" t="s">
        <v>139</v>
      </c>
      <c r="B75" s="15"/>
      <c r="C75" s="15"/>
      <c r="D75" s="5"/>
      <c r="E75" s="13" t="s">
        <v>140</v>
      </c>
      <c r="F75" s="9">
        <v>19.8698359375</v>
      </c>
      <c r="G75" s="7"/>
      <c r="H75" s="8">
        <f t="shared" si="1"/>
        <v>21.062026093749999</v>
      </c>
      <c r="I75" s="9">
        <v>41.520600000000002</v>
      </c>
    </row>
    <row r="76" spans="1:9" ht="25.5">
      <c r="A76" s="16" t="s">
        <v>141</v>
      </c>
      <c r="B76" s="15"/>
      <c r="C76" s="15"/>
      <c r="D76" s="5"/>
      <c r="E76" s="12" t="s">
        <v>142</v>
      </c>
      <c r="F76" s="8">
        <v>33.339671875000001</v>
      </c>
      <c r="G76" s="6"/>
      <c r="H76" s="8">
        <f t="shared" si="1"/>
        <v>35.3400521875</v>
      </c>
      <c r="I76" s="8">
        <v>71.373599999999996</v>
      </c>
    </row>
    <row r="77" spans="1:9" ht="25.5">
      <c r="A77" s="14" t="s">
        <v>143</v>
      </c>
      <c r="B77" s="15"/>
      <c r="C77" s="15"/>
      <c r="D77" s="5"/>
      <c r="E77" s="13" t="s">
        <v>144</v>
      </c>
      <c r="F77" s="9">
        <v>33.339671875000001</v>
      </c>
      <c r="G77" s="7"/>
      <c r="H77" s="8">
        <f t="shared" si="1"/>
        <v>35.3400521875</v>
      </c>
      <c r="I77" s="9">
        <v>71.373599999999996</v>
      </c>
    </row>
    <row r="78" spans="1:9">
      <c r="A78" s="16" t="s">
        <v>145</v>
      </c>
      <c r="B78" s="15"/>
      <c r="C78" s="15"/>
      <c r="D78" s="5"/>
      <c r="E78" s="12" t="s">
        <v>146</v>
      </c>
      <c r="F78" s="8">
        <v>133.71849062499999</v>
      </c>
      <c r="G78" s="6"/>
      <c r="H78" s="8">
        <f t="shared" si="1"/>
        <v>141.7416000625</v>
      </c>
      <c r="I78" s="8">
        <v>297.31599999999997</v>
      </c>
    </row>
    <row r="79" spans="1:9" ht="25.5">
      <c r="A79" s="14" t="s">
        <v>147</v>
      </c>
      <c r="B79" s="15"/>
      <c r="C79" s="15"/>
      <c r="D79" s="5"/>
      <c r="E79" s="13" t="s">
        <v>148</v>
      </c>
      <c r="F79" s="9">
        <v>16.919803125000001</v>
      </c>
      <c r="G79" s="7"/>
      <c r="H79" s="8">
        <f t="shared" si="1"/>
        <v>17.934991312500003</v>
      </c>
      <c r="I79" s="9">
        <v>38.202399999999997</v>
      </c>
    </row>
    <row r="80" spans="1:9" ht="25.5">
      <c r="A80" s="16" t="s">
        <v>149</v>
      </c>
      <c r="B80" s="15"/>
      <c r="C80" s="15"/>
      <c r="D80" s="5"/>
      <c r="E80" s="12" t="s">
        <v>150</v>
      </c>
      <c r="F80" s="8">
        <v>221.08542750000001</v>
      </c>
      <c r="G80" s="6"/>
      <c r="H80" s="8">
        <f t="shared" si="1"/>
        <v>234.35055315000002</v>
      </c>
      <c r="I80" s="8">
        <v>497.75479999999999</v>
      </c>
    </row>
    <row r="81" spans="1:9">
      <c r="A81" s="14" t="s">
        <v>151</v>
      </c>
      <c r="B81" s="15"/>
      <c r="C81" s="15"/>
      <c r="D81" s="5"/>
      <c r="E81" s="13" t="s">
        <v>152</v>
      </c>
      <c r="F81" s="9">
        <v>22.431750624999999</v>
      </c>
      <c r="G81" s="7"/>
      <c r="H81" s="8">
        <f t="shared" si="1"/>
        <v>23.777655662499999</v>
      </c>
      <c r="I81" s="9">
        <v>50.314799999999998</v>
      </c>
    </row>
    <row r="82" spans="1:9">
      <c r="A82" s="16" t="s">
        <v>153</v>
      </c>
      <c r="B82" s="15"/>
      <c r="C82" s="15"/>
      <c r="D82" s="5"/>
      <c r="E82" s="12" t="s">
        <v>154</v>
      </c>
      <c r="F82" s="8">
        <v>15</v>
      </c>
      <c r="G82" s="6"/>
      <c r="H82" s="8">
        <f t="shared" si="1"/>
        <v>15.9</v>
      </c>
      <c r="I82" s="8">
        <v>15.9</v>
      </c>
    </row>
    <row r="83" spans="1:9" ht="25.5">
      <c r="A83" s="14" t="s">
        <v>155</v>
      </c>
      <c r="B83" s="15"/>
      <c r="C83" s="15"/>
      <c r="D83" s="5"/>
      <c r="E83" s="13" t="s">
        <v>156</v>
      </c>
      <c r="F83" s="9">
        <v>155.66218875000001</v>
      </c>
      <c r="G83" s="7"/>
      <c r="H83" s="8">
        <f t="shared" si="1"/>
        <v>165.00192007500002</v>
      </c>
      <c r="I83" s="9">
        <v>364.04640000000001</v>
      </c>
    </row>
    <row r="84" spans="1:9">
      <c r="A84" s="16" t="s">
        <v>157</v>
      </c>
      <c r="B84" s="15"/>
      <c r="C84" s="15"/>
      <c r="D84" s="5"/>
      <c r="E84" s="12" t="s">
        <v>158</v>
      </c>
      <c r="F84" s="8">
        <v>140.71636265625</v>
      </c>
      <c r="G84" s="6"/>
      <c r="H84" s="8">
        <f t="shared" si="1"/>
        <v>149.15934441562501</v>
      </c>
      <c r="I84" s="8">
        <v>633.71040000000005</v>
      </c>
    </row>
    <row r="85" spans="1:9" ht="25.5">
      <c r="A85" s="14" t="s">
        <v>159</v>
      </c>
      <c r="B85" s="15"/>
      <c r="C85" s="15"/>
      <c r="D85" s="5"/>
      <c r="E85" s="13" t="s">
        <v>160</v>
      </c>
      <c r="F85" s="9">
        <v>101.23895</v>
      </c>
      <c r="G85" s="7"/>
      <c r="H85" s="8">
        <f t="shared" si="1"/>
        <v>107.313287</v>
      </c>
      <c r="I85" s="9">
        <v>225.3716</v>
      </c>
    </row>
    <row r="86" spans="1:9" ht="25.5">
      <c r="A86" s="16" t="s">
        <v>161</v>
      </c>
      <c r="B86" s="15"/>
      <c r="C86" s="15"/>
      <c r="D86" s="5"/>
      <c r="E86" s="12" t="s">
        <v>162</v>
      </c>
      <c r="F86" s="8">
        <v>100.23895</v>
      </c>
      <c r="G86" s="6"/>
      <c r="H86" s="8">
        <f t="shared" si="1"/>
        <v>106.25328700000001</v>
      </c>
      <c r="I86" s="8">
        <v>223.3716</v>
      </c>
    </row>
    <row r="87" spans="1:9">
      <c r="A87" s="14" t="s">
        <v>163</v>
      </c>
      <c r="B87" s="15"/>
      <c r="C87" s="15"/>
      <c r="D87" s="5"/>
      <c r="E87" s="13" t="s">
        <v>164</v>
      </c>
      <c r="F87" s="9">
        <v>108.6988515625</v>
      </c>
      <c r="G87" s="7"/>
      <c r="H87" s="8">
        <f t="shared" si="1"/>
        <v>115.22078265625001</v>
      </c>
      <c r="I87" s="9">
        <v>242.47280000000001</v>
      </c>
    </row>
    <row r="88" spans="1:9">
      <c r="A88" s="16" t="s">
        <v>165</v>
      </c>
      <c r="B88" s="15"/>
      <c r="C88" s="15"/>
      <c r="D88" s="5"/>
      <c r="E88" s="12" t="s">
        <v>166</v>
      </c>
      <c r="F88" s="8">
        <v>109.6988515625</v>
      </c>
      <c r="G88" s="6"/>
      <c r="H88" s="8">
        <f t="shared" si="1"/>
        <v>116.28078265625</v>
      </c>
      <c r="I88" s="8">
        <v>244.47280000000001</v>
      </c>
    </row>
    <row r="89" spans="1:9" ht="25.5">
      <c r="A89" s="14" t="s">
        <v>167</v>
      </c>
      <c r="B89" s="15"/>
      <c r="C89" s="15"/>
      <c r="D89" s="5"/>
      <c r="E89" s="13" t="s">
        <v>168</v>
      </c>
      <c r="F89" s="9">
        <v>100.23895</v>
      </c>
      <c r="G89" s="7"/>
      <c r="H89" s="8">
        <f t="shared" si="1"/>
        <v>106.25328700000001</v>
      </c>
      <c r="I89" s="9">
        <v>223.3716</v>
      </c>
    </row>
    <row r="90" spans="1:9">
      <c r="A90" s="16" t="s">
        <v>169</v>
      </c>
      <c r="B90" s="15"/>
      <c r="C90" s="15"/>
      <c r="D90" s="5"/>
      <c r="E90" s="12" t="s">
        <v>170</v>
      </c>
      <c r="F90" s="8">
        <v>100.6988515625</v>
      </c>
      <c r="G90" s="6"/>
      <c r="H90" s="8">
        <f t="shared" si="1"/>
        <v>106.74078265625</v>
      </c>
      <c r="I90" s="8">
        <v>226.47280000000001</v>
      </c>
    </row>
    <row r="91" spans="1:9" ht="25.5">
      <c r="A91" s="14" t="s">
        <v>171</v>
      </c>
      <c r="B91" s="15"/>
      <c r="C91" s="15"/>
      <c r="D91" s="5"/>
      <c r="E91" s="13" t="s">
        <v>172</v>
      </c>
      <c r="F91" s="9">
        <v>102.23895</v>
      </c>
      <c r="G91" s="7"/>
      <c r="H91" s="8">
        <f t="shared" si="1"/>
        <v>108.373287</v>
      </c>
      <c r="I91" s="9">
        <v>227.3716</v>
      </c>
    </row>
    <row r="92" spans="1:9" ht="25.5">
      <c r="A92" s="16" t="s">
        <v>173</v>
      </c>
      <c r="B92" s="15"/>
      <c r="C92" s="15"/>
      <c r="D92" s="5"/>
      <c r="E92" s="12" t="s">
        <v>174</v>
      </c>
      <c r="F92" s="8">
        <v>99.238950000000003</v>
      </c>
      <c r="G92" s="6"/>
      <c r="H92" s="8">
        <f t="shared" si="1"/>
        <v>105.19328700000001</v>
      </c>
      <c r="I92" s="8">
        <v>221.3716</v>
      </c>
    </row>
    <row r="93" spans="1:9">
      <c r="A93" s="14" t="s">
        <v>175</v>
      </c>
      <c r="B93" s="15"/>
      <c r="C93" s="15"/>
      <c r="D93" s="5"/>
      <c r="E93" s="13" t="s">
        <v>176</v>
      </c>
      <c r="F93" s="9">
        <v>108.6988515625</v>
      </c>
      <c r="G93" s="7"/>
      <c r="H93" s="8">
        <f t="shared" si="1"/>
        <v>115.22078265625001</v>
      </c>
      <c r="I93" s="9">
        <v>242.47280000000001</v>
      </c>
    </row>
    <row r="94" spans="1:9">
      <c r="A94" s="16" t="s">
        <v>177</v>
      </c>
      <c r="B94" s="15"/>
      <c r="C94" s="15"/>
      <c r="D94" s="5"/>
      <c r="E94" s="12" t="s">
        <v>178</v>
      </c>
      <c r="F94" s="8">
        <v>108.6988515625</v>
      </c>
      <c r="G94" s="6"/>
      <c r="H94" s="8">
        <f t="shared" si="1"/>
        <v>115.22078265625001</v>
      </c>
      <c r="I94" s="8">
        <v>242.47280000000001</v>
      </c>
    </row>
    <row r="95" spans="1:9" ht="25.5">
      <c r="A95" s="14" t="s">
        <v>179</v>
      </c>
      <c r="B95" s="15"/>
      <c r="C95" s="15"/>
      <c r="D95" s="5"/>
      <c r="E95" s="13" t="s">
        <v>180</v>
      </c>
      <c r="F95" s="9">
        <v>100.23895</v>
      </c>
      <c r="G95" s="7"/>
      <c r="H95" s="8">
        <f t="shared" si="1"/>
        <v>106.25328700000001</v>
      </c>
      <c r="I95" s="9">
        <v>223.3716</v>
      </c>
    </row>
    <row r="96" spans="1:9">
      <c r="A96" s="16" t="s">
        <v>181</v>
      </c>
      <c r="B96" s="15"/>
      <c r="C96" s="15"/>
      <c r="D96" s="5"/>
      <c r="E96" s="12" t="s">
        <v>182</v>
      </c>
      <c r="F96" s="8">
        <v>108.6988515625</v>
      </c>
      <c r="G96" s="6"/>
      <c r="H96" s="8">
        <f t="shared" si="1"/>
        <v>115.22078265625001</v>
      </c>
      <c r="I96" s="8">
        <v>242.47280000000001</v>
      </c>
    </row>
    <row r="97" spans="1:9" ht="25.5">
      <c r="A97" s="14" t="s">
        <v>183</v>
      </c>
      <c r="B97" s="15"/>
      <c r="C97" s="15"/>
      <c r="D97" s="5"/>
      <c r="E97" s="13" t="s">
        <v>184</v>
      </c>
      <c r="F97" s="9">
        <v>102.23895</v>
      </c>
      <c r="G97" s="7"/>
      <c r="H97" s="8">
        <f t="shared" si="1"/>
        <v>108.373287</v>
      </c>
      <c r="I97" s="9">
        <v>227.3716</v>
      </c>
    </row>
    <row r="98" spans="1:9" ht="25.5">
      <c r="A98" s="16" t="s">
        <v>185</v>
      </c>
      <c r="B98" s="15"/>
      <c r="C98" s="15"/>
      <c r="D98" s="5"/>
      <c r="E98" s="12" t="s">
        <v>186</v>
      </c>
      <c r="F98" s="8">
        <v>99.238950000000003</v>
      </c>
      <c r="G98" s="6"/>
      <c r="H98" s="8">
        <f t="shared" si="1"/>
        <v>105.19328700000001</v>
      </c>
      <c r="I98" s="8">
        <v>221.3716</v>
      </c>
    </row>
    <row r="99" spans="1:9">
      <c r="A99" s="14" t="s">
        <v>187</v>
      </c>
      <c r="B99" s="15"/>
      <c r="C99" s="15"/>
      <c r="D99" s="5"/>
      <c r="E99" s="13" t="s">
        <v>188</v>
      </c>
      <c r="F99" s="9">
        <v>107.6988515625</v>
      </c>
      <c r="G99" s="7"/>
      <c r="H99" s="8">
        <f t="shared" si="1"/>
        <v>114.16078265625001</v>
      </c>
      <c r="I99" s="9">
        <v>240.47280000000001</v>
      </c>
    </row>
    <row r="100" spans="1:9">
      <c r="A100" s="16" t="s">
        <v>189</v>
      </c>
      <c r="B100" s="15"/>
      <c r="C100" s="15"/>
      <c r="D100" s="5"/>
      <c r="E100" s="12" t="s">
        <v>190</v>
      </c>
      <c r="F100" s="8">
        <v>110.6988515625</v>
      </c>
      <c r="G100" s="6"/>
      <c r="H100" s="8">
        <f t="shared" si="1"/>
        <v>117.34078265625</v>
      </c>
      <c r="I100" s="8">
        <v>246.47280000000001</v>
      </c>
    </row>
    <row r="101" spans="1:9" ht="25.5">
      <c r="A101" s="14" t="s">
        <v>191</v>
      </c>
      <c r="B101" s="15"/>
      <c r="C101" s="15"/>
      <c r="D101" s="5"/>
      <c r="E101" s="13" t="s">
        <v>192</v>
      </c>
      <c r="F101" s="9">
        <v>101.23895</v>
      </c>
      <c r="G101" s="7"/>
      <c r="H101" s="8">
        <f t="shared" si="1"/>
        <v>107.313287</v>
      </c>
      <c r="I101" s="9">
        <v>225.3716</v>
      </c>
    </row>
    <row r="102" spans="1:9">
      <c r="A102" s="16" t="s">
        <v>193</v>
      </c>
      <c r="B102" s="15"/>
      <c r="C102" s="15"/>
      <c r="D102" s="5"/>
      <c r="E102" s="12" t="s">
        <v>194</v>
      </c>
      <c r="F102" s="8">
        <v>109.6988515625</v>
      </c>
      <c r="G102" s="6"/>
      <c r="H102" s="8">
        <f t="shared" si="1"/>
        <v>116.28078265625</v>
      </c>
      <c r="I102" s="8">
        <v>244.47280000000001</v>
      </c>
    </row>
    <row r="103" spans="1:9" ht="25.5">
      <c r="A103" s="14" t="s">
        <v>195</v>
      </c>
      <c r="B103" s="15"/>
      <c r="C103" s="15"/>
      <c r="D103" s="5"/>
      <c r="E103" s="13" t="s">
        <v>196</v>
      </c>
      <c r="F103" s="9">
        <v>3.8199671875000001</v>
      </c>
      <c r="G103" s="7"/>
      <c r="H103" s="8">
        <f t="shared" si="1"/>
        <v>4.0491652187500007</v>
      </c>
      <c r="I103" s="9">
        <v>2</v>
      </c>
    </row>
    <row r="104" spans="1:9" ht="25.5">
      <c r="A104" s="16" t="s">
        <v>197</v>
      </c>
      <c r="B104" s="15"/>
      <c r="C104" s="15"/>
      <c r="D104" s="5"/>
      <c r="E104" s="12" t="s">
        <v>198</v>
      </c>
      <c r="F104" s="8">
        <v>21.43</v>
      </c>
      <c r="G104" s="6"/>
      <c r="H104" s="8">
        <f t="shared" si="1"/>
        <v>22.715800000000002</v>
      </c>
      <c r="I104" s="8">
        <v>48.314799999999998</v>
      </c>
    </row>
    <row r="105" spans="1:9" ht="25.5">
      <c r="A105" s="14" t="s">
        <v>199</v>
      </c>
      <c r="B105" s="15"/>
      <c r="C105" s="15"/>
      <c r="D105" s="5"/>
      <c r="E105" s="13" t="s">
        <v>200</v>
      </c>
      <c r="F105" s="9">
        <v>74.807199374999996</v>
      </c>
      <c r="G105" s="7"/>
      <c r="H105" s="8">
        <f t="shared" si="1"/>
        <v>79.295631337499998</v>
      </c>
      <c r="I105" s="9">
        <v>167.05680000000001</v>
      </c>
    </row>
    <row r="106" spans="1:9" ht="25.5">
      <c r="A106" s="16" t="s">
        <v>201</v>
      </c>
      <c r="B106" s="15"/>
      <c r="C106" s="15"/>
      <c r="D106" s="5"/>
      <c r="E106" s="12" t="s">
        <v>202</v>
      </c>
      <c r="F106" s="8">
        <v>71.807199374999996</v>
      </c>
      <c r="G106" s="6"/>
      <c r="H106" s="8">
        <f t="shared" si="1"/>
        <v>76.115631337500005</v>
      </c>
      <c r="I106" s="8">
        <v>161.05680000000001</v>
      </c>
    </row>
    <row r="107" spans="1:9" ht="25.5">
      <c r="A107" s="14" t="s">
        <v>203</v>
      </c>
      <c r="B107" s="15"/>
      <c r="C107" s="15"/>
      <c r="D107" s="5"/>
      <c r="E107" s="13" t="s">
        <v>204</v>
      </c>
      <c r="F107" s="9">
        <v>264.51292218750001</v>
      </c>
      <c r="G107" s="7"/>
      <c r="H107" s="8">
        <f t="shared" si="1"/>
        <v>280.38369751875001</v>
      </c>
      <c r="I107" s="9">
        <v>595.50800000000004</v>
      </c>
    </row>
    <row r="108" spans="1:9" ht="25.5">
      <c r="A108" s="16" t="s">
        <v>205</v>
      </c>
      <c r="B108" s="15"/>
      <c r="C108" s="15"/>
      <c r="D108" s="5"/>
      <c r="E108" s="12" t="s">
        <v>206</v>
      </c>
      <c r="F108" s="8">
        <v>1035.4093339999999</v>
      </c>
      <c r="G108" s="6"/>
      <c r="H108" s="8">
        <f t="shared" si="1"/>
        <v>1097.53389404</v>
      </c>
      <c r="I108" s="8">
        <v>2232.5927999999999</v>
      </c>
    </row>
    <row r="109" spans="1:9" ht="25.5">
      <c r="A109" s="14" t="s">
        <v>207</v>
      </c>
      <c r="B109" s="15"/>
      <c r="C109" s="15"/>
      <c r="D109" s="5"/>
      <c r="E109" s="13" t="s">
        <v>208</v>
      </c>
      <c r="F109" s="9">
        <v>1035.4093339999999</v>
      </c>
      <c r="G109" s="7"/>
      <c r="H109" s="8">
        <f t="shared" si="1"/>
        <v>1097.53389404</v>
      </c>
      <c r="I109" s="9">
        <v>2232.5927999999999</v>
      </c>
    </row>
    <row r="110" spans="1:9" ht="25.5">
      <c r="A110" s="16" t="s">
        <v>209</v>
      </c>
      <c r="B110" s="15"/>
      <c r="C110" s="15"/>
      <c r="D110" s="5"/>
      <c r="E110" s="12" t="s">
        <v>210</v>
      </c>
      <c r="F110" s="8">
        <v>1035.4093339999999</v>
      </c>
      <c r="G110" s="6"/>
      <c r="H110" s="8">
        <f t="shared" si="1"/>
        <v>1097.53389404</v>
      </c>
      <c r="I110" s="8">
        <v>2232.5927999999999</v>
      </c>
    </row>
    <row r="111" spans="1:9">
      <c r="A111" s="14" t="s">
        <v>211</v>
      </c>
      <c r="B111" s="15"/>
      <c r="C111" s="15"/>
      <c r="D111" s="5"/>
      <c r="E111" s="13" t="s">
        <v>212</v>
      </c>
      <c r="F111" s="9">
        <v>275.7927909375</v>
      </c>
      <c r="G111" s="7"/>
      <c r="H111" s="8">
        <f t="shared" si="1"/>
        <v>292.34035839375002</v>
      </c>
      <c r="I111" s="9">
        <v>621.35080000000005</v>
      </c>
    </row>
    <row r="112" spans="1:9" ht="25.5">
      <c r="A112" s="16" t="s">
        <v>213</v>
      </c>
      <c r="B112" s="15"/>
      <c r="C112" s="15"/>
      <c r="D112" s="5"/>
      <c r="E112" s="12" t="s">
        <v>214</v>
      </c>
      <c r="F112" s="8">
        <v>264.51292218750001</v>
      </c>
      <c r="G112" s="6"/>
      <c r="H112" s="8">
        <f t="shared" si="1"/>
        <v>280.38369751875001</v>
      </c>
      <c r="I112" s="8">
        <v>595.50800000000004</v>
      </c>
    </row>
    <row r="113" spans="1:9" ht="25.5">
      <c r="A113" s="14" t="s">
        <v>215</v>
      </c>
      <c r="B113" s="15"/>
      <c r="C113" s="15"/>
      <c r="D113" s="5"/>
      <c r="E113" s="13" t="s">
        <v>216</v>
      </c>
      <c r="F113" s="9">
        <v>12.828673999999999</v>
      </c>
      <c r="G113" s="7"/>
      <c r="H113" s="8">
        <f t="shared" si="1"/>
        <v>13.59839444</v>
      </c>
      <c r="I113" s="9">
        <v>25.348400000000002</v>
      </c>
    </row>
    <row r="114" spans="1:9" ht="38.25">
      <c r="A114" s="16" t="s">
        <v>217</v>
      </c>
      <c r="B114" s="15"/>
      <c r="C114" s="15"/>
      <c r="D114" s="5"/>
      <c r="E114" s="12" t="s">
        <v>218</v>
      </c>
      <c r="F114" s="8">
        <v>11.02</v>
      </c>
      <c r="G114" s="6"/>
      <c r="H114" s="8">
        <f t="shared" si="1"/>
        <v>11.6812</v>
      </c>
      <c r="I114" s="8">
        <v>25.348400000000002</v>
      </c>
    </row>
    <row r="115" spans="1:9" ht="25.5">
      <c r="A115" s="14" t="s">
        <v>219</v>
      </c>
      <c r="B115" s="15"/>
      <c r="C115" s="15"/>
      <c r="D115" s="5"/>
      <c r="E115" s="13" t="s">
        <v>220</v>
      </c>
      <c r="F115" s="9">
        <v>14.859050375000001</v>
      </c>
      <c r="G115" s="7"/>
      <c r="H115" s="8">
        <f t="shared" si="1"/>
        <v>15.750593397500001</v>
      </c>
      <c r="I115" s="9">
        <v>28.719200000000001</v>
      </c>
    </row>
    <row r="116" spans="1:9" ht="25.5">
      <c r="A116" s="16" t="s">
        <v>221</v>
      </c>
      <c r="B116" s="15"/>
      <c r="C116" s="15"/>
      <c r="D116" s="5"/>
      <c r="E116" s="12" t="s">
        <v>222</v>
      </c>
      <c r="F116" s="8">
        <v>16.212634625</v>
      </c>
      <c r="G116" s="6"/>
      <c r="H116" s="8">
        <f t="shared" si="1"/>
        <v>17.1853927025</v>
      </c>
      <c r="I116" s="8">
        <v>30.9664</v>
      </c>
    </row>
    <row r="117" spans="1:9" ht="25.5">
      <c r="A117" s="14" t="s">
        <v>223</v>
      </c>
      <c r="B117" s="15"/>
      <c r="C117" s="15"/>
      <c r="D117" s="5"/>
      <c r="E117" s="13" t="s">
        <v>224</v>
      </c>
      <c r="F117" s="9">
        <v>63.655317500000002</v>
      </c>
      <c r="G117" s="7"/>
      <c r="H117" s="8">
        <f t="shared" si="1"/>
        <v>67.47463655</v>
      </c>
      <c r="I117" s="9">
        <v>142.5848</v>
      </c>
    </row>
    <row r="118" spans="1:9" ht="25.5">
      <c r="A118" s="16" t="s">
        <v>225</v>
      </c>
      <c r="B118" s="15"/>
      <c r="C118" s="15"/>
      <c r="D118" s="5"/>
      <c r="E118" s="12" t="s">
        <v>226</v>
      </c>
      <c r="F118" s="8">
        <v>63.655317500000002</v>
      </c>
      <c r="G118" s="6"/>
      <c r="H118" s="8">
        <f t="shared" si="1"/>
        <v>67.47463655</v>
      </c>
      <c r="I118" s="8">
        <v>142.5848</v>
      </c>
    </row>
    <row r="119" spans="1:9" ht="25.5">
      <c r="A119" s="14" t="s">
        <v>227</v>
      </c>
      <c r="B119" s="15"/>
      <c r="C119" s="15"/>
      <c r="D119" s="5"/>
      <c r="E119" s="13" t="s">
        <v>228</v>
      </c>
      <c r="F119" s="9">
        <v>155.15024124999999</v>
      </c>
      <c r="G119" s="7"/>
      <c r="H119" s="8">
        <f t="shared" si="1"/>
        <v>164.45925572499999</v>
      </c>
      <c r="I119" s="9">
        <v>348.45080000000002</v>
      </c>
    </row>
    <row r="120" spans="1:9" ht="25.5">
      <c r="A120" s="16" t="s">
        <v>229</v>
      </c>
      <c r="B120" s="15"/>
      <c r="C120" s="15"/>
      <c r="D120" s="5"/>
      <c r="E120" s="12" t="s">
        <v>230</v>
      </c>
      <c r="F120" s="8">
        <v>155.15024124999999</v>
      </c>
      <c r="G120" s="6"/>
      <c r="H120" s="8">
        <f t="shared" si="1"/>
        <v>164.45925572499999</v>
      </c>
      <c r="I120" s="8">
        <v>348.45080000000002</v>
      </c>
    </row>
    <row r="121" spans="1:9">
      <c r="A121" s="14" t="s">
        <v>231</v>
      </c>
      <c r="B121" s="15"/>
      <c r="C121" s="15"/>
      <c r="D121" s="5"/>
      <c r="E121" s="13" t="s">
        <v>232</v>
      </c>
      <c r="F121" s="9">
        <v>32.028750000000002</v>
      </c>
      <c r="G121" s="7"/>
      <c r="H121" s="8">
        <f t="shared" si="1"/>
        <v>33.950475000000004</v>
      </c>
      <c r="I121" s="9">
        <v>71.910399999999996</v>
      </c>
    </row>
    <row r="122" spans="1:9" ht="25.5">
      <c r="A122" s="16" t="s">
        <v>233</v>
      </c>
      <c r="B122" s="15"/>
      <c r="C122" s="15"/>
      <c r="D122" s="5"/>
      <c r="E122" s="12" t="s">
        <v>234</v>
      </c>
      <c r="F122" s="8">
        <v>150.283819325</v>
      </c>
      <c r="G122" s="6"/>
      <c r="H122" s="8">
        <f t="shared" si="1"/>
        <v>159.30084848449999</v>
      </c>
      <c r="I122" s="8">
        <v>543.35040000000004</v>
      </c>
    </row>
    <row r="123" spans="1:9" ht="25.5">
      <c r="A123" s="14" t="s">
        <v>235</v>
      </c>
      <c r="B123" s="15"/>
      <c r="C123" s="15"/>
      <c r="D123" s="5"/>
      <c r="E123" s="13" t="s">
        <v>236</v>
      </c>
      <c r="F123" s="9">
        <v>144.66644468749999</v>
      </c>
      <c r="G123" s="7"/>
      <c r="H123" s="8">
        <f t="shared" si="1"/>
        <v>153.34643136874999</v>
      </c>
      <c r="I123" s="9">
        <v>524.24919999999997</v>
      </c>
    </row>
    <row r="124" spans="1:9" ht="25.5">
      <c r="A124" s="16" t="s">
        <v>237</v>
      </c>
      <c r="B124" s="15"/>
      <c r="C124" s="15"/>
      <c r="D124" s="5"/>
      <c r="E124" s="12" t="s">
        <v>238</v>
      </c>
      <c r="F124" s="8">
        <v>32.199671875</v>
      </c>
      <c r="G124" s="6"/>
      <c r="H124" s="8">
        <f t="shared" si="1"/>
        <v>34.131652187500002</v>
      </c>
      <c r="I124" s="8">
        <v>72.045199999999994</v>
      </c>
    </row>
    <row r="125" spans="1:9" ht="25.5">
      <c r="A125" s="14" t="s">
        <v>239</v>
      </c>
      <c r="B125" s="15"/>
      <c r="C125" s="15"/>
      <c r="D125" s="5"/>
      <c r="E125" s="13" t="s">
        <v>240</v>
      </c>
      <c r="F125" s="9">
        <v>27.01093225</v>
      </c>
      <c r="G125" s="7"/>
      <c r="H125" s="8">
        <f t="shared" si="1"/>
        <v>28.631588185000002</v>
      </c>
      <c r="I125" s="9">
        <v>51.820399999999999</v>
      </c>
    </row>
    <row r="126" spans="1:9">
      <c r="A126" s="16" t="s">
        <v>241</v>
      </c>
      <c r="B126" s="15"/>
      <c r="C126" s="15"/>
      <c r="D126" s="5"/>
      <c r="E126" s="12" t="s">
        <v>241</v>
      </c>
      <c r="F126" s="8">
        <v>70.679212500000006</v>
      </c>
      <c r="G126" s="6"/>
      <c r="H126" s="8">
        <f t="shared" si="1"/>
        <v>74.919965250000004</v>
      </c>
      <c r="I126" s="8">
        <v>209.3716</v>
      </c>
    </row>
    <row r="127" spans="1:9" ht="25.5">
      <c r="A127" s="14" t="s">
        <v>242</v>
      </c>
      <c r="B127" s="15"/>
      <c r="C127" s="15"/>
      <c r="D127" s="5"/>
      <c r="E127" s="13" t="s">
        <v>243</v>
      </c>
      <c r="F127" s="9">
        <v>17.212634625</v>
      </c>
      <c r="G127" s="7"/>
      <c r="H127" s="8">
        <f t="shared" si="1"/>
        <v>18.245392702500002</v>
      </c>
      <c r="I127" s="9">
        <v>32.9664</v>
      </c>
    </row>
    <row r="128" spans="1:9">
      <c r="A128" s="16" t="s">
        <v>244</v>
      </c>
      <c r="B128" s="15"/>
      <c r="C128" s="15"/>
      <c r="D128" s="5"/>
      <c r="E128" s="12" t="s">
        <v>245</v>
      </c>
      <c r="F128" s="8">
        <v>113.701077</v>
      </c>
      <c r="G128" s="6"/>
      <c r="H128" s="8">
        <f t="shared" si="1"/>
        <v>120.52314162</v>
      </c>
      <c r="I128" s="8">
        <v>213.48400000000001</v>
      </c>
    </row>
    <row r="129" spans="1:9" ht="25.5">
      <c r="A129" s="14" t="s">
        <v>246</v>
      </c>
      <c r="B129" s="15"/>
      <c r="C129" s="15"/>
      <c r="D129" s="5"/>
      <c r="E129" s="13" t="s">
        <v>247</v>
      </c>
      <c r="F129" s="9">
        <v>335.688894</v>
      </c>
      <c r="G129" s="7"/>
      <c r="H129" s="8">
        <f t="shared" si="1"/>
        <v>355.83022764000003</v>
      </c>
      <c r="I129" s="9">
        <v>729.21640000000002</v>
      </c>
    </row>
    <row r="130" spans="1:9" ht="25.5">
      <c r="A130" s="16" t="s">
        <v>248</v>
      </c>
      <c r="B130" s="15"/>
      <c r="C130" s="15"/>
      <c r="D130" s="5"/>
      <c r="E130" s="12" t="s">
        <v>249</v>
      </c>
      <c r="F130" s="8">
        <v>265.07691562500003</v>
      </c>
      <c r="G130" s="6"/>
      <c r="H130" s="8">
        <f t="shared" si="1"/>
        <v>280.98153056250004</v>
      </c>
      <c r="I130" s="8">
        <v>597.75519999999995</v>
      </c>
    </row>
    <row r="131" spans="1:9" ht="25.5">
      <c r="A131" s="14" t="s">
        <v>250</v>
      </c>
      <c r="B131" s="15"/>
      <c r="C131" s="15"/>
      <c r="D131" s="5"/>
      <c r="E131" s="13" t="s">
        <v>251</v>
      </c>
      <c r="F131" s="9">
        <v>335.688894</v>
      </c>
      <c r="G131" s="7"/>
      <c r="H131" s="8">
        <f t="shared" si="1"/>
        <v>355.83022764000003</v>
      </c>
      <c r="I131" s="9">
        <v>729.21640000000002</v>
      </c>
    </row>
    <row r="132" spans="1:9" ht="25.5">
      <c r="A132" s="16" t="s">
        <v>252</v>
      </c>
      <c r="B132" s="15"/>
      <c r="C132" s="15"/>
      <c r="D132" s="5"/>
      <c r="E132" s="12" t="s">
        <v>253</v>
      </c>
      <c r="F132" s="8">
        <v>175.83796562500001</v>
      </c>
      <c r="G132" s="6"/>
      <c r="H132" s="8">
        <f t="shared" si="1"/>
        <v>186.38824356250001</v>
      </c>
      <c r="I132" s="8">
        <v>726.72199999999998</v>
      </c>
    </row>
    <row r="133" spans="1:9">
      <c r="A133" s="14" t="s">
        <v>254</v>
      </c>
      <c r="B133" s="15"/>
      <c r="C133" s="15"/>
      <c r="D133" s="5"/>
      <c r="E133" s="13" t="s">
        <v>255</v>
      </c>
      <c r="F133" s="9">
        <v>175.83796562500001</v>
      </c>
      <c r="G133" s="7"/>
      <c r="H133" s="8">
        <f t="shared" si="1"/>
        <v>186.38824356250001</v>
      </c>
      <c r="I133" s="9">
        <v>726.72199999999998</v>
      </c>
    </row>
    <row r="134" spans="1:9" ht="25.5">
      <c r="A134" s="16" t="s">
        <v>256</v>
      </c>
      <c r="B134" s="15"/>
      <c r="C134" s="15"/>
      <c r="D134" s="5"/>
      <c r="E134" s="12" t="s">
        <v>257</v>
      </c>
      <c r="F134" s="8">
        <v>396.79540624999998</v>
      </c>
      <c r="G134" s="6"/>
      <c r="H134" s="8">
        <f t="shared" si="1"/>
        <v>420.60313062500001</v>
      </c>
      <c r="I134" s="8">
        <v>1400.6348</v>
      </c>
    </row>
    <row r="135" spans="1:9" ht="25.5">
      <c r="A135" s="14" t="s">
        <v>258</v>
      </c>
      <c r="B135" s="15"/>
      <c r="C135" s="15"/>
      <c r="D135" s="5"/>
      <c r="E135" s="13" t="s">
        <v>259</v>
      </c>
      <c r="F135" s="9">
        <v>21.919803125000001</v>
      </c>
      <c r="G135" s="7"/>
      <c r="H135" s="8">
        <f t="shared" si="1"/>
        <v>23.234991312500004</v>
      </c>
      <c r="I135" s="9">
        <v>48.202399999999997</v>
      </c>
    </row>
    <row r="136" spans="1:9">
      <c r="A136" s="16" t="s">
        <v>260</v>
      </c>
      <c r="B136" s="15"/>
      <c r="C136" s="15"/>
      <c r="D136" s="5"/>
      <c r="E136" s="12" t="s">
        <v>261</v>
      </c>
      <c r="F136" s="8">
        <v>174.19803125000001</v>
      </c>
      <c r="G136" s="6"/>
      <c r="H136" s="8">
        <f t="shared" si="1"/>
        <v>184.64991312500001</v>
      </c>
      <c r="I136" s="8">
        <v>390.90039999999999</v>
      </c>
    </row>
    <row r="137" spans="1:9">
      <c r="A137" s="14" t="s">
        <v>262</v>
      </c>
      <c r="B137" s="15"/>
      <c r="C137" s="15"/>
      <c r="D137" s="5"/>
      <c r="E137" s="13" t="s">
        <v>263</v>
      </c>
      <c r="F137" s="9">
        <v>174.19803125000001</v>
      </c>
      <c r="G137" s="7"/>
      <c r="H137" s="8">
        <f t="shared" ref="H137:H200" si="2">F137*1.06</f>
        <v>184.64991312500001</v>
      </c>
      <c r="I137" s="9">
        <v>390.90039999999999</v>
      </c>
    </row>
    <row r="138" spans="1:9" ht="25.5">
      <c r="A138" s="16" t="s">
        <v>264</v>
      </c>
      <c r="B138" s="15"/>
      <c r="C138" s="15"/>
      <c r="D138" s="5"/>
      <c r="E138" s="12" t="s">
        <v>265</v>
      </c>
      <c r="F138" s="8">
        <v>263.79704687499998</v>
      </c>
      <c r="G138" s="6"/>
      <c r="H138" s="8">
        <f t="shared" si="2"/>
        <v>279.6248696875</v>
      </c>
      <c r="I138" s="8">
        <v>718.87919999999997</v>
      </c>
    </row>
    <row r="139" spans="1:9" ht="25.5">
      <c r="A139" s="14" t="s">
        <v>266</v>
      </c>
      <c r="B139" s="15"/>
      <c r="C139" s="15"/>
      <c r="D139" s="5"/>
      <c r="E139" s="13" t="s">
        <v>267</v>
      </c>
      <c r="F139" s="9">
        <v>54.759409374999997</v>
      </c>
      <c r="G139" s="7"/>
      <c r="H139" s="8">
        <f t="shared" si="2"/>
        <v>58.044973937499996</v>
      </c>
      <c r="I139" s="9">
        <v>122.60720000000001</v>
      </c>
    </row>
    <row r="140" spans="1:9" ht="25.5">
      <c r="A140" s="16" t="s">
        <v>268</v>
      </c>
      <c r="B140" s="15"/>
      <c r="C140" s="15"/>
      <c r="D140" s="5"/>
      <c r="E140" s="12" t="s">
        <v>269</v>
      </c>
      <c r="F140" s="8">
        <v>53.759409374999997</v>
      </c>
      <c r="G140" s="6"/>
      <c r="H140" s="8">
        <f t="shared" si="2"/>
        <v>56.984973937500001</v>
      </c>
      <c r="I140" s="8">
        <v>120.60720000000001</v>
      </c>
    </row>
    <row r="141" spans="1:9">
      <c r="A141" s="14" t="s">
        <v>270</v>
      </c>
      <c r="B141" s="15"/>
      <c r="C141" s="15"/>
      <c r="D141" s="5"/>
      <c r="E141" s="13" t="s">
        <v>271</v>
      </c>
      <c r="F141" s="9">
        <v>99.567149999999998</v>
      </c>
      <c r="G141" s="7"/>
      <c r="H141" s="8">
        <f t="shared" si="2"/>
        <v>105.541179</v>
      </c>
      <c r="I141" s="9">
        <v>286.92239999999998</v>
      </c>
    </row>
    <row r="142" spans="1:9">
      <c r="A142" s="16" t="s">
        <v>272</v>
      </c>
      <c r="B142" s="15"/>
      <c r="C142" s="15"/>
      <c r="D142" s="5"/>
      <c r="E142" s="12" t="s">
        <v>273</v>
      </c>
      <c r="F142" s="8">
        <v>99.565621106250006</v>
      </c>
      <c r="G142" s="6"/>
      <c r="H142" s="8">
        <f t="shared" si="2"/>
        <v>105.53955837262501</v>
      </c>
      <c r="I142" s="8">
        <v>286.92239999999998</v>
      </c>
    </row>
    <row r="143" spans="1:9" ht="25.5">
      <c r="A143" s="14" t="s">
        <v>274</v>
      </c>
      <c r="B143" s="15"/>
      <c r="C143" s="15"/>
      <c r="D143" s="5"/>
      <c r="E143" s="13" t="s">
        <v>275</v>
      </c>
      <c r="F143" s="9">
        <v>66.759409375000004</v>
      </c>
      <c r="G143" s="7"/>
      <c r="H143" s="8">
        <f t="shared" si="2"/>
        <v>70.764973937500002</v>
      </c>
      <c r="I143" s="9">
        <v>146.60720000000001</v>
      </c>
    </row>
    <row r="144" spans="1:9" ht="25.5">
      <c r="A144" s="16" t="s">
        <v>276</v>
      </c>
      <c r="B144" s="15"/>
      <c r="C144" s="15"/>
      <c r="D144" s="5"/>
      <c r="E144" s="12" t="s">
        <v>277</v>
      </c>
      <c r="F144" s="8">
        <v>54.759409374999997</v>
      </c>
      <c r="G144" s="6"/>
      <c r="H144" s="8">
        <f t="shared" si="2"/>
        <v>58.044973937499996</v>
      </c>
      <c r="I144" s="8">
        <v>122.60720000000001</v>
      </c>
    </row>
    <row r="145" spans="1:9" ht="25.5">
      <c r="A145" s="14" t="s">
        <v>278</v>
      </c>
      <c r="B145" s="15"/>
      <c r="C145" s="15"/>
      <c r="D145" s="5"/>
      <c r="E145" s="13" t="s">
        <v>279</v>
      </c>
      <c r="F145" s="9">
        <v>31.102061375000002</v>
      </c>
      <c r="G145" s="7"/>
      <c r="H145" s="8">
        <f t="shared" si="2"/>
        <v>32.968185057500001</v>
      </c>
      <c r="I145" s="9">
        <v>59.056399999999996</v>
      </c>
    </row>
    <row r="146" spans="1:9" ht="25.5">
      <c r="A146" s="16" t="s">
        <v>280</v>
      </c>
      <c r="B146" s="15"/>
      <c r="C146" s="15"/>
      <c r="D146" s="5"/>
      <c r="E146" s="12" t="s">
        <v>281</v>
      </c>
      <c r="F146" s="8">
        <v>37.1931905</v>
      </c>
      <c r="G146" s="6"/>
      <c r="H146" s="8">
        <f t="shared" si="2"/>
        <v>39.424781930000002</v>
      </c>
      <c r="I146" s="8">
        <v>70.292400000000001</v>
      </c>
    </row>
    <row r="147" spans="1:9" ht="25.5">
      <c r="A147" s="14" t="s">
        <v>282</v>
      </c>
      <c r="B147" s="15"/>
      <c r="C147" s="15"/>
      <c r="D147" s="5"/>
      <c r="E147" s="13" t="s">
        <v>283</v>
      </c>
      <c r="F147" s="9">
        <v>68.423238749999996</v>
      </c>
      <c r="G147" s="7"/>
      <c r="H147" s="8">
        <f t="shared" si="2"/>
        <v>72.528633075000002</v>
      </c>
      <c r="I147" s="9">
        <v>154.3152</v>
      </c>
    </row>
    <row r="148" spans="1:9">
      <c r="A148" s="16" t="s">
        <v>284</v>
      </c>
      <c r="B148" s="15"/>
      <c r="C148" s="15"/>
      <c r="D148" s="5"/>
      <c r="E148" s="12" t="s">
        <v>285</v>
      </c>
      <c r="F148" s="8">
        <v>119</v>
      </c>
      <c r="G148" s="6"/>
      <c r="H148" s="8">
        <f t="shared" si="2"/>
        <v>126.14</v>
      </c>
      <c r="I148" s="8">
        <v>265.19200000000001</v>
      </c>
    </row>
    <row r="149" spans="1:9" ht="51">
      <c r="A149" s="14" t="s">
        <v>286</v>
      </c>
      <c r="B149" s="15"/>
      <c r="C149" s="15"/>
      <c r="D149" s="5"/>
      <c r="E149" s="13" t="s">
        <v>287</v>
      </c>
      <c r="F149" s="9">
        <v>103.0395</v>
      </c>
      <c r="G149" s="7"/>
      <c r="H149" s="8">
        <f t="shared" si="2"/>
        <v>109.22187000000001</v>
      </c>
      <c r="I149" s="9">
        <v>160.6748</v>
      </c>
    </row>
    <row r="150" spans="1:9" ht="25.5">
      <c r="A150" s="16" t="s">
        <v>288</v>
      </c>
      <c r="B150" s="15"/>
      <c r="C150" s="15"/>
      <c r="D150" s="5"/>
      <c r="E150" s="12" t="s">
        <v>289</v>
      </c>
      <c r="F150" s="8">
        <v>25.351505015625001</v>
      </c>
      <c r="G150" s="6"/>
      <c r="H150" s="8">
        <f t="shared" si="2"/>
        <v>26.872595316562503</v>
      </c>
      <c r="I150" s="8">
        <v>40.449599999999997</v>
      </c>
    </row>
    <row r="151" spans="1:9" ht="25.5">
      <c r="A151" s="14" t="s">
        <v>290</v>
      </c>
      <c r="B151" s="15"/>
      <c r="C151" s="15"/>
      <c r="D151" s="5"/>
      <c r="E151" s="13" t="s">
        <v>291</v>
      </c>
      <c r="F151" s="9">
        <v>25.351505015625001</v>
      </c>
      <c r="G151" s="7"/>
      <c r="H151" s="8">
        <f t="shared" si="2"/>
        <v>26.872595316562503</v>
      </c>
      <c r="I151" s="9">
        <v>40.449599999999997</v>
      </c>
    </row>
    <row r="152" spans="1:9" ht="51">
      <c r="A152" s="16" t="s">
        <v>292</v>
      </c>
      <c r="B152" s="15"/>
      <c r="C152" s="15"/>
      <c r="D152" s="5"/>
      <c r="E152" s="12" t="s">
        <v>293</v>
      </c>
      <c r="F152" s="8">
        <v>105.4923</v>
      </c>
      <c r="G152" s="6"/>
      <c r="H152" s="8">
        <f t="shared" si="2"/>
        <v>111.821838</v>
      </c>
      <c r="I152" s="8">
        <v>164.04560000000001</v>
      </c>
    </row>
    <row r="153" spans="1:9" ht="25.5">
      <c r="A153" s="14" t="s">
        <v>294</v>
      </c>
      <c r="B153" s="15"/>
      <c r="C153" s="15"/>
      <c r="D153" s="5"/>
      <c r="E153" s="13" t="s">
        <v>295</v>
      </c>
      <c r="F153" s="9">
        <v>105.494972484375</v>
      </c>
      <c r="G153" s="7"/>
      <c r="H153" s="8">
        <f t="shared" si="2"/>
        <v>111.82467083343751</v>
      </c>
      <c r="I153" s="9">
        <v>164.04560000000001</v>
      </c>
    </row>
    <row r="154" spans="1:9" ht="38.25">
      <c r="A154" s="16" t="s">
        <v>296</v>
      </c>
      <c r="B154" s="15"/>
      <c r="C154" s="15"/>
      <c r="D154" s="5"/>
      <c r="E154" s="12" t="s">
        <v>297</v>
      </c>
      <c r="F154" s="8">
        <v>169.28263026562499</v>
      </c>
      <c r="G154" s="6"/>
      <c r="H154" s="8">
        <f t="shared" si="2"/>
        <v>179.4395880815625</v>
      </c>
      <c r="I154" s="8">
        <v>262.92239999999998</v>
      </c>
    </row>
    <row r="155" spans="1:9" ht="25.5">
      <c r="A155" s="14" t="s">
        <v>298</v>
      </c>
      <c r="B155" s="15"/>
      <c r="C155" s="15"/>
      <c r="D155" s="5"/>
      <c r="E155" s="13" t="s">
        <v>299</v>
      </c>
      <c r="F155" s="9">
        <v>105.494972484375</v>
      </c>
      <c r="G155" s="7"/>
      <c r="H155" s="8">
        <f t="shared" si="2"/>
        <v>111.82467083343751</v>
      </c>
      <c r="I155" s="9">
        <v>164.04560000000001</v>
      </c>
    </row>
    <row r="156" spans="1:9" ht="25.5">
      <c r="A156" s="16" t="s">
        <v>300</v>
      </c>
      <c r="B156" s="15"/>
      <c r="C156" s="15"/>
      <c r="D156" s="5"/>
      <c r="E156" s="12" t="s">
        <v>301</v>
      </c>
      <c r="F156" s="8">
        <v>169.28263026562499</v>
      </c>
      <c r="G156" s="6"/>
      <c r="H156" s="8">
        <f t="shared" si="2"/>
        <v>179.4395880815625</v>
      </c>
      <c r="I156" s="8">
        <v>262.92239999999998</v>
      </c>
    </row>
    <row r="157" spans="1:9" ht="38.25">
      <c r="A157" s="14" t="s">
        <v>302</v>
      </c>
      <c r="B157" s="15"/>
      <c r="C157" s="15"/>
      <c r="D157" s="5"/>
      <c r="E157" s="13" t="s">
        <v>303</v>
      </c>
      <c r="F157" s="9">
        <v>251.87946918750001</v>
      </c>
      <c r="G157" s="7"/>
      <c r="H157" s="8">
        <f t="shared" si="2"/>
        <v>266.99223733875004</v>
      </c>
      <c r="I157" s="9">
        <v>392.13639999999998</v>
      </c>
    </row>
    <row r="158" spans="1:9" ht="38.25">
      <c r="A158" s="16" t="s">
        <v>304</v>
      </c>
      <c r="B158" s="15"/>
      <c r="C158" s="15"/>
      <c r="D158" s="5"/>
      <c r="E158" s="12" t="s">
        <v>305</v>
      </c>
      <c r="F158" s="8">
        <v>145.56670621875</v>
      </c>
      <c r="G158" s="6"/>
      <c r="H158" s="8">
        <f t="shared" si="2"/>
        <v>154.30070859187501</v>
      </c>
      <c r="I158" s="8">
        <v>226.96719999999999</v>
      </c>
    </row>
    <row r="159" spans="1:9" ht="38.25">
      <c r="A159" s="14" t="s">
        <v>306</v>
      </c>
      <c r="B159" s="15"/>
      <c r="C159" s="15"/>
      <c r="D159" s="5"/>
      <c r="E159" s="13" t="s">
        <v>307</v>
      </c>
      <c r="F159" s="9">
        <v>145.54740000000001</v>
      </c>
      <c r="G159" s="7"/>
      <c r="H159" s="8">
        <f t="shared" si="2"/>
        <v>154.28024400000001</v>
      </c>
      <c r="I159" s="9">
        <v>226.96719999999999</v>
      </c>
    </row>
    <row r="160" spans="1:9" ht="25.5">
      <c r="A160" s="16" t="s">
        <v>308</v>
      </c>
      <c r="B160" s="15"/>
      <c r="C160" s="15"/>
      <c r="D160" s="5"/>
      <c r="E160" s="12" t="s">
        <v>309</v>
      </c>
      <c r="F160" s="8">
        <v>68.694400687500007</v>
      </c>
      <c r="G160" s="6"/>
      <c r="H160" s="8">
        <f t="shared" si="2"/>
        <v>72.816064728750007</v>
      </c>
      <c r="I160" s="8">
        <v>106.742</v>
      </c>
    </row>
    <row r="161" spans="1:9" ht="25.5">
      <c r="A161" s="14" t="s">
        <v>310</v>
      </c>
      <c r="B161" s="15"/>
      <c r="C161" s="15"/>
      <c r="D161" s="5"/>
      <c r="E161" s="13" t="s">
        <v>311</v>
      </c>
      <c r="F161" s="9">
        <v>103.85939151562501</v>
      </c>
      <c r="G161" s="7"/>
      <c r="H161" s="8">
        <f t="shared" si="2"/>
        <v>110.09095500656251</v>
      </c>
      <c r="I161" s="9">
        <v>161.79839999999999</v>
      </c>
    </row>
    <row r="162" spans="1:9" ht="25.5">
      <c r="A162" s="16" t="s">
        <v>312</v>
      </c>
      <c r="B162" s="15"/>
      <c r="C162" s="15"/>
      <c r="D162" s="5"/>
      <c r="E162" s="12" t="s">
        <v>313</v>
      </c>
      <c r="F162" s="8">
        <v>103.85939151562501</v>
      </c>
      <c r="G162" s="6"/>
      <c r="H162" s="8">
        <f t="shared" si="2"/>
        <v>110.09095500656251</v>
      </c>
      <c r="I162" s="8">
        <v>161.79839999999999</v>
      </c>
    </row>
    <row r="163" spans="1:9" ht="25.5">
      <c r="A163" s="14" t="s">
        <v>314</v>
      </c>
      <c r="B163" s="15"/>
      <c r="C163" s="15"/>
      <c r="D163" s="5"/>
      <c r="E163" s="13" t="s">
        <v>315</v>
      </c>
      <c r="F163" s="9">
        <v>103.85939151562501</v>
      </c>
      <c r="G163" s="7"/>
      <c r="H163" s="8">
        <f t="shared" si="2"/>
        <v>110.09095500656251</v>
      </c>
      <c r="I163" s="9">
        <v>161.79839999999999</v>
      </c>
    </row>
    <row r="164" spans="1:9" ht="38.25">
      <c r="A164" s="16" t="s">
        <v>316</v>
      </c>
      <c r="B164" s="15"/>
      <c r="C164" s="15"/>
      <c r="D164" s="5"/>
      <c r="E164" s="12" t="s">
        <v>317</v>
      </c>
      <c r="F164" s="8">
        <v>93.228300000000004</v>
      </c>
      <c r="G164" s="6"/>
      <c r="H164" s="8">
        <f t="shared" si="2"/>
        <v>98.821998000000008</v>
      </c>
      <c r="I164" s="8">
        <v>161.79839999999999</v>
      </c>
    </row>
    <row r="165" spans="1:9" ht="25.5">
      <c r="A165" s="14" t="s">
        <v>318</v>
      </c>
      <c r="B165" s="15"/>
      <c r="C165" s="15"/>
      <c r="D165" s="5"/>
      <c r="E165" s="13" t="s">
        <v>319</v>
      </c>
      <c r="F165" s="9">
        <v>49.375448749999997</v>
      </c>
      <c r="G165" s="7"/>
      <c r="H165" s="8">
        <f t="shared" si="2"/>
        <v>52.337975675000003</v>
      </c>
      <c r="I165" s="9">
        <v>106.24760000000001</v>
      </c>
    </row>
    <row r="166" spans="1:9" ht="25.5">
      <c r="A166" s="16" t="s">
        <v>320</v>
      </c>
      <c r="B166" s="15"/>
      <c r="C166" s="15"/>
      <c r="D166" s="5"/>
      <c r="E166" s="12" t="s">
        <v>321</v>
      </c>
      <c r="F166" s="8">
        <v>67.141242031250002</v>
      </c>
      <c r="G166" s="6"/>
      <c r="H166" s="8">
        <f t="shared" si="2"/>
        <v>71.169716553124999</v>
      </c>
      <c r="I166" s="8">
        <v>144.44999999999999</v>
      </c>
    </row>
    <row r="167" spans="1:9" ht="25.5">
      <c r="A167" s="14" t="s">
        <v>322</v>
      </c>
      <c r="B167" s="15"/>
      <c r="C167" s="15"/>
      <c r="D167" s="5"/>
      <c r="E167" s="13" t="s">
        <v>323</v>
      </c>
      <c r="F167" s="9">
        <v>67.141242031250002</v>
      </c>
      <c r="G167" s="7"/>
      <c r="H167" s="8">
        <f t="shared" si="2"/>
        <v>71.169716553124999</v>
      </c>
      <c r="I167" s="9">
        <v>144.44999999999999</v>
      </c>
    </row>
    <row r="168" spans="1:9" ht="25.5">
      <c r="A168" s="16" t="s">
        <v>324</v>
      </c>
      <c r="B168" s="15"/>
      <c r="C168" s="15"/>
      <c r="D168" s="5"/>
      <c r="E168" s="12" t="s">
        <v>325</v>
      </c>
      <c r="F168" s="8">
        <v>68.141242031250002</v>
      </c>
      <c r="G168" s="6"/>
      <c r="H168" s="8">
        <f t="shared" si="2"/>
        <v>72.229716553125002</v>
      </c>
      <c r="I168" s="8">
        <v>146.44999999999999</v>
      </c>
    </row>
    <row r="169" spans="1:9" ht="25.5">
      <c r="A169" s="14" t="s">
        <v>326</v>
      </c>
      <c r="B169" s="15"/>
      <c r="C169" s="15"/>
      <c r="D169" s="5"/>
      <c r="E169" s="13" t="s">
        <v>327</v>
      </c>
      <c r="F169" s="9">
        <v>67.141242031250002</v>
      </c>
      <c r="G169" s="7"/>
      <c r="H169" s="8">
        <f t="shared" si="2"/>
        <v>71.169716553124999</v>
      </c>
      <c r="I169" s="9">
        <v>144.44999999999999</v>
      </c>
    </row>
    <row r="170" spans="1:9" ht="25.5">
      <c r="A170" s="16" t="s">
        <v>328</v>
      </c>
      <c r="B170" s="15"/>
      <c r="C170" s="15"/>
      <c r="D170" s="5"/>
      <c r="E170" s="12" t="s">
        <v>329</v>
      </c>
      <c r="F170" s="8">
        <v>67.141242031250002</v>
      </c>
      <c r="G170" s="6"/>
      <c r="H170" s="8">
        <f t="shared" si="2"/>
        <v>71.169716553124999</v>
      </c>
      <c r="I170" s="8">
        <v>144.44999999999999</v>
      </c>
    </row>
    <row r="171" spans="1:9" ht="25.5">
      <c r="A171" s="14" t="s">
        <v>330</v>
      </c>
      <c r="B171" s="15"/>
      <c r="C171" s="15"/>
      <c r="D171" s="5"/>
      <c r="E171" s="13" t="s">
        <v>331</v>
      </c>
      <c r="F171" s="9">
        <v>341.66054812499999</v>
      </c>
      <c r="G171" s="7"/>
      <c r="H171" s="8">
        <f t="shared" si="2"/>
        <v>362.1601810125</v>
      </c>
      <c r="I171" s="9">
        <v>776.51959999999997</v>
      </c>
    </row>
    <row r="172" spans="1:9" ht="25.5">
      <c r="A172" s="16" t="s">
        <v>332</v>
      </c>
      <c r="B172" s="15"/>
      <c r="C172" s="15"/>
      <c r="D172" s="5"/>
      <c r="E172" s="12" t="s">
        <v>333</v>
      </c>
      <c r="F172" s="8">
        <v>321.99671875000001</v>
      </c>
      <c r="G172" s="6"/>
      <c r="H172" s="8">
        <f t="shared" si="2"/>
        <v>341.31652187500003</v>
      </c>
      <c r="I172" s="8">
        <v>759.77800000000002</v>
      </c>
    </row>
    <row r="173" spans="1:9">
      <c r="A173" s="14" t="s">
        <v>334</v>
      </c>
      <c r="B173" s="15"/>
      <c r="C173" s="15"/>
      <c r="D173" s="5"/>
      <c r="E173" s="13" t="s">
        <v>335</v>
      </c>
      <c r="F173" s="9">
        <v>322.99671875000001</v>
      </c>
      <c r="G173" s="7"/>
      <c r="H173" s="8">
        <f t="shared" si="2"/>
        <v>342.37652187500004</v>
      </c>
      <c r="I173" s="9">
        <v>774.13760000000002</v>
      </c>
    </row>
    <row r="174" spans="1:9" ht="25.5">
      <c r="A174" s="16" t="s">
        <v>336</v>
      </c>
      <c r="B174" s="15"/>
      <c r="C174" s="15"/>
      <c r="D174" s="5"/>
      <c r="E174" s="12" t="s">
        <v>337</v>
      </c>
      <c r="F174" s="8">
        <v>286.15711249999998</v>
      </c>
      <c r="G174" s="6"/>
      <c r="H174" s="8">
        <f t="shared" si="2"/>
        <v>303.32653925</v>
      </c>
      <c r="I174" s="8">
        <v>717.57560000000001</v>
      </c>
    </row>
    <row r="175" spans="1:9" ht="25.5">
      <c r="A175" s="14" t="s">
        <v>338</v>
      </c>
      <c r="B175" s="15"/>
      <c r="C175" s="15"/>
      <c r="D175" s="5"/>
      <c r="E175" s="13" t="s">
        <v>339</v>
      </c>
      <c r="F175" s="9">
        <v>317.66054812499999</v>
      </c>
      <c r="G175" s="7"/>
      <c r="H175" s="8">
        <f t="shared" si="2"/>
        <v>336.72018101250001</v>
      </c>
      <c r="I175" s="9">
        <v>728.51959999999997</v>
      </c>
    </row>
    <row r="176" spans="1:9" ht="25.5">
      <c r="A176" s="16" t="s">
        <v>340</v>
      </c>
      <c r="B176" s="15"/>
      <c r="C176" s="15"/>
      <c r="D176" s="5"/>
      <c r="E176" s="12" t="s">
        <v>341</v>
      </c>
      <c r="F176" s="8">
        <v>321.99671875000001</v>
      </c>
      <c r="G176" s="6"/>
      <c r="H176" s="8">
        <f t="shared" si="2"/>
        <v>341.31652187500003</v>
      </c>
      <c r="I176" s="8">
        <v>759.77800000000002</v>
      </c>
    </row>
    <row r="177" spans="1:9" ht="25.5">
      <c r="A177" s="14" t="s">
        <v>342</v>
      </c>
      <c r="B177" s="15"/>
      <c r="C177" s="15"/>
      <c r="D177" s="5"/>
      <c r="E177" s="13" t="s">
        <v>343</v>
      </c>
      <c r="F177" s="9">
        <v>322.99671875000001</v>
      </c>
      <c r="G177" s="7"/>
      <c r="H177" s="8">
        <f t="shared" si="2"/>
        <v>342.37652187500004</v>
      </c>
      <c r="I177" s="9">
        <v>774.13760000000002</v>
      </c>
    </row>
    <row r="178" spans="1:9" ht="25.5">
      <c r="A178" s="16" t="s">
        <v>344</v>
      </c>
      <c r="B178" s="15"/>
      <c r="C178" s="15"/>
      <c r="D178" s="5"/>
      <c r="E178" s="12" t="s">
        <v>345</v>
      </c>
      <c r="F178" s="8">
        <v>286.15711249999998</v>
      </c>
      <c r="G178" s="6"/>
      <c r="H178" s="8">
        <f t="shared" si="2"/>
        <v>303.32653925</v>
      </c>
      <c r="I178" s="8">
        <v>717.57560000000001</v>
      </c>
    </row>
    <row r="179" spans="1:9">
      <c r="A179" s="14" t="s">
        <v>346</v>
      </c>
      <c r="B179" s="15"/>
      <c r="C179" s="15"/>
      <c r="D179" s="5"/>
      <c r="E179" s="13" t="s">
        <v>347</v>
      </c>
      <c r="F179" s="9">
        <v>16.0998359375</v>
      </c>
      <c r="G179" s="7"/>
      <c r="H179" s="8">
        <f t="shared" si="2"/>
        <v>17.065826093750001</v>
      </c>
      <c r="I179" s="9">
        <v>36.584400000000002</v>
      </c>
    </row>
    <row r="180" spans="1:9" ht="25.5">
      <c r="A180" s="16" t="s">
        <v>348</v>
      </c>
      <c r="B180" s="15"/>
      <c r="C180" s="15"/>
      <c r="D180" s="5"/>
      <c r="E180" s="12" t="s">
        <v>349</v>
      </c>
      <c r="F180" s="8">
        <v>47.314695999999998</v>
      </c>
      <c r="G180" s="6"/>
      <c r="H180" s="8">
        <f t="shared" si="2"/>
        <v>50.153577759999997</v>
      </c>
      <c r="I180" s="8">
        <v>90.022800000000004</v>
      </c>
    </row>
    <row r="181" spans="1:9" ht="51">
      <c r="A181" s="14" t="s">
        <v>350</v>
      </c>
      <c r="B181" s="15"/>
      <c r="C181" s="15"/>
      <c r="D181" s="5"/>
      <c r="E181" s="13" t="s">
        <v>351</v>
      </c>
      <c r="F181" s="9">
        <v>41.71250955</v>
      </c>
      <c r="G181" s="7"/>
      <c r="H181" s="8">
        <f t="shared" si="2"/>
        <v>44.215260123</v>
      </c>
      <c r="I181" s="9">
        <v>72.292400000000001</v>
      </c>
    </row>
    <row r="182" spans="1:9" ht="25.5">
      <c r="A182" s="16" t="s">
        <v>352</v>
      </c>
      <c r="B182" s="15"/>
      <c r="C182" s="15"/>
      <c r="D182" s="5"/>
      <c r="E182" s="12" t="s">
        <v>353</v>
      </c>
      <c r="F182" s="8">
        <v>48.668280250000002</v>
      </c>
      <c r="G182" s="6"/>
      <c r="H182" s="8">
        <f t="shared" si="2"/>
        <v>51.588377065000003</v>
      </c>
      <c r="I182" s="8">
        <v>92.27</v>
      </c>
    </row>
    <row r="183" spans="1:9" ht="25.5">
      <c r="A183" s="14" t="s">
        <v>354</v>
      </c>
      <c r="B183" s="15"/>
      <c r="C183" s="15"/>
      <c r="D183" s="5"/>
      <c r="E183" s="13" t="s">
        <v>355</v>
      </c>
      <c r="F183" s="9">
        <v>43.314695999999998</v>
      </c>
      <c r="G183" s="7"/>
      <c r="H183" s="8">
        <f t="shared" si="2"/>
        <v>45.913577760000003</v>
      </c>
      <c r="I183" s="9">
        <v>82.022800000000004</v>
      </c>
    </row>
    <row r="184" spans="1:9" ht="25.5">
      <c r="A184" s="16" t="s">
        <v>356</v>
      </c>
      <c r="B184" s="15"/>
      <c r="C184" s="15"/>
      <c r="D184" s="5"/>
      <c r="E184" s="12" t="s">
        <v>357</v>
      </c>
      <c r="F184" s="8">
        <v>38.71250955</v>
      </c>
      <c r="G184" s="6"/>
      <c r="H184" s="8">
        <f t="shared" si="2"/>
        <v>41.035260123</v>
      </c>
      <c r="I184" s="8">
        <v>66.292400000000001</v>
      </c>
    </row>
    <row r="185" spans="1:9" ht="18.75" customHeight="1">
      <c r="A185" s="14" t="s">
        <v>358</v>
      </c>
      <c r="B185" s="15"/>
      <c r="C185" s="15"/>
      <c r="D185" s="5"/>
      <c r="E185" s="13" t="s">
        <v>359</v>
      </c>
      <c r="F185" s="9">
        <v>714.06318750000003</v>
      </c>
      <c r="G185" s="7"/>
      <c r="H185" s="8">
        <f t="shared" si="2"/>
        <v>756.90697875000012</v>
      </c>
      <c r="I185" s="9">
        <v>1587.6468</v>
      </c>
    </row>
    <row r="186" spans="1:9" ht="25.5">
      <c r="A186" s="16" t="s">
        <v>360</v>
      </c>
      <c r="B186" s="15"/>
      <c r="C186" s="15"/>
      <c r="D186" s="5"/>
      <c r="E186" s="12" t="s">
        <v>361</v>
      </c>
      <c r="F186" s="8">
        <v>436.45497968749999</v>
      </c>
      <c r="G186" s="6"/>
      <c r="H186" s="8">
        <f t="shared" si="2"/>
        <v>462.64227846875002</v>
      </c>
      <c r="I186" s="8">
        <v>981.91399999999999</v>
      </c>
    </row>
    <row r="187" spans="1:9" ht="25.5">
      <c r="A187" s="14" t="s">
        <v>362</v>
      </c>
      <c r="B187" s="15"/>
      <c r="C187" s="15"/>
      <c r="D187" s="5"/>
      <c r="E187" s="13" t="s">
        <v>363</v>
      </c>
      <c r="F187" s="9">
        <v>442.09491406249998</v>
      </c>
      <c r="G187" s="7"/>
      <c r="H187" s="8">
        <f t="shared" si="2"/>
        <v>468.62060890625003</v>
      </c>
      <c r="I187" s="9">
        <v>994.27359999999999</v>
      </c>
    </row>
    <row r="188" spans="1:9" ht="25.5">
      <c r="A188" s="16" t="s">
        <v>364</v>
      </c>
      <c r="B188" s="15"/>
      <c r="C188" s="15"/>
      <c r="D188" s="5"/>
      <c r="E188" s="12" t="s">
        <v>365</v>
      </c>
      <c r="F188" s="8">
        <v>885.19325000000003</v>
      </c>
      <c r="G188" s="6"/>
      <c r="H188" s="8">
        <f t="shared" si="2"/>
        <v>938.30484500000011</v>
      </c>
      <c r="I188" s="8">
        <v>1990.5472</v>
      </c>
    </row>
    <row r="189" spans="1:9" ht="25.5">
      <c r="A189" s="14" t="s">
        <v>366</v>
      </c>
      <c r="B189" s="15"/>
      <c r="C189" s="15"/>
      <c r="D189" s="5"/>
      <c r="E189" s="13" t="s">
        <v>367</v>
      </c>
      <c r="F189" s="9">
        <v>885.19325000000003</v>
      </c>
      <c r="G189" s="7"/>
      <c r="H189" s="8">
        <f t="shared" si="2"/>
        <v>938.30484500000011</v>
      </c>
      <c r="I189" s="9">
        <v>1990.5472</v>
      </c>
    </row>
    <row r="190" spans="1:9" ht="25.5">
      <c r="A190" s="16" t="s">
        <v>368</v>
      </c>
      <c r="B190" s="15"/>
      <c r="C190" s="15"/>
      <c r="D190" s="5"/>
      <c r="E190" s="12" t="s">
        <v>369</v>
      </c>
      <c r="F190" s="8">
        <v>885.19325000000003</v>
      </c>
      <c r="G190" s="6"/>
      <c r="H190" s="8">
        <f t="shared" si="2"/>
        <v>938.30484500000011</v>
      </c>
      <c r="I190" s="8">
        <v>1990.5472</v>
      </c>
    </row>
    <row r="191" spans="1:9">
      <c r="A191" s="14" t="s">
        <v>370</v>
      </c>
      <c r="B191" s="15"/>
      <c r="C191" s="15"/>
      <c r="D191" s="5"/>
      <c r="E191" s="13" t="s">
        <v>371</v>
      </c>
      <c r="F191" s="9">
        <v>436.45497968749999</v>
      </c>
      <c r="G191" s="7"/>
      <c r="H191" s="8">
        <f t="shared" si="2"/>
        <v>462.64227846875002</v>
      </c>
      <c r="I191" s="9">
        <v>981.91399999999999</v>
      </c>
    </row>
    <row r="192" spans="1:9" ht="25.5">
      <c r="A192" s="16" t="s">
        <v>372</v>
      </c>
      <c r="B192" s="15"/>
      <c r="C192" s="15"/>
      <c r="D192" s="5"/>
      <c r="E192" s="12" t="s">
        <v>373</v>
      </c>
      <c r="F192" s="8">
        <v>442.09491406249998</v>
      </c>
      <c r="G192" s="6"/>
      <c r="H192" s="8">
        <f t="shared" si="2"/>
        <v>468.62060890625003</v>
      </c>
      <c r="I192" s="8">
        <v>994.27359999999999</v>
      </c>
    </row>
    <row r="193" spans="1:9" ht="25.5">
      <c r="A193" s="14" t="s">
        <v>374</v>
      </c>
      <c r="B193" s="15"/>
      <c r="C193" s="15"/>
      <c r="D193" s="5"/>
      <c r="E193" s="13" t="s">
        <v>375</v>
      </c>
      <c r="F193" s="9">
        <v>884.19325000000003</v>
      </c>
      <c r="G193" s="7"/>
      <c r="H193" s="8">
        <f t="shared" si="2"/>
        <v>937.24484500000005</v>
      </c>
      <c r="I193" s="9">
        <v>1988.5472</v>
      </c>
    </row>
    <row r="194" spans="1:9" ht="25.5">
      <c r="A194" s="16" t="s">
        <v>376</v>
      </c>
      <c r="B194" s="15"/>
      <c r="C194" s="15"/>
      <c r="D194" s="5"/>
      <c r="E194" s="12" t="s">
        <v>375</v>
      </c>
      <c r="F194" s="8">
        <v>902.12935000000004</v>
      </c>
      <c r="G194" s="6"/>
      <c r="H194" s="8">
        <f t="shared" si="2"/>
        <v>956.25711100000012</v>
      </c>
      <c r="I194" s="8">
        <v>2068.3227999999999</v>
      </c>
    </row>
    <row r="195" spans="1:9">
      <c r="A195" s="14" t="s">
        <v>377</v>
      </c>
      <c r="B195" s="15"/>
      <c r="C195" s="15"/>
      <c r="D195" s="5"/>
      <c r="E195" s="13" t="s">
        <v>378</v>
      </c>
      <c r="F195" s="9">
        <v>22.559737500000001</v>
      </c>
      <c r="G195" s="7"/>
      <c r="H195" s="8">
        <f t="shared" si="2"/>
        <v>23.913321750000001</v>
      </c>
      <c r="I195" s="9">
        <v>51.685600000000001</v>
      </c>
    </row>
    <row r="196" spans="1:9">
      <c r="A196" s="16" t="s">
        <v>379</v>
      </c>
      <c r="B196" s="15"/>
      <c r="C196" s="15"/>
      <c r="D196" s="5"/>
      <c r="E196" s="12" t="s">
        <v>380</v>
      </c>
      <c r="F196" s="8">
        <v>392.15547187499999</v>
      </c>
      <c r="G196" s="6"/>
      <c r="H196" s="8">
        <f t="shared" si="2"/>
        <v>415.6848001875</v>
      </c>
      <c r="I196" s="8">
        <v>882.40800000000002</v>
      </c>
    </row>
    <row r="197" spans="1:9">
      <c r="A197" s="14" t="s">
        <v>381</v>
      </c>
      <c r="B197" s="15"/>
      <c r="C197" s="15"/>
      <c r="D197" s="5"/>
      <c r="E197" s="13" t="s">
        <v>382</v>
      </c>
      <c r="F197" s="9">
        <v>399.79540624999998</v>
      </c>
      <c r="G197" s="7"/>
      <c r="H197" s="8">
        <f t="shared" si="2"/>
        <v>423.78313062500001</v>
      </c>
      <c r="I197" s="9">
        <v>898.76760000000002</v>
      </c>
    </row>
    <row r="198" spans="1:9">
      <c r="A198" s="16" t="s">
        <v>383</v>
      </c>
      <c r="B198" s="15"/>
      <c r="C198" s="15"/>
      <c r="D198" s="5"/>
      <c r="E198" s="12" t="s">
        <v>384</v>
      </c>
      <c r="F198" s="8">
        <v>411.07527499999998</v>
      </c>
      <c r="G198" s="6"/>
      <c r="H198" s="8">
        <f t="shared" si="2"/>
        <v>435.73979150000002</v>
      </c>
      <c r="I198" s="8">
        <v>924.61040000000003</v>
      </c>
    </row>
    <row r="199" spans="1:9">
      <c r="A199" s="14" t="s">
        <v>385</v>
      </c>
      <c r="B199" s="15"/>
      <c r="C199" s="15"/>
      <c r="D199" s="5"/>
      <c r="E199" s="13" t="s">
        <v>386</v>
      </c>
      <c r="F199" s="9">
        <v>411.07527499999998</v>
      </c>
      <c r="G199" s="7"/>
      <c r="H199" s="8">
        <f t="shared" si="2"/>
        <v>435.73979150000002</v>
      </c>
      <c r="I199" s="9">
        <v>924.61040000000003</v>
      </c>
    </row>
    <row r="200" spans="1:9">
      <c r="A200" s="16" t="s">
        <v>387</v>
      </c>
      <c r="B200" s="15"/>
      <c r="C200" s="15"/>
      <c r="D200" s="5"/>
      <c r="E200" s="12" t="s">
        <v>388</v>
      </c>
      <c r="F200" s="8">
        <v>399.79540624999998</v>
      </c>
      <c r="G200" s="6"/>
      <c r="H200" s="8">
        <f t="shared" si="2"/>
        <v>423.78313062500001</v>
      </c>
      <c r="I200" s="8">
        <v>898.76760000000002</v>
      </c>
    </row>
    <row r="201" spans="1:9">
      <c r="A201" s="14" t="s">
        <v>389</v>
      </c>
      <c r="B201" s="15"/>
      <c r="C201" s="15"/>
      <c r="D201" s="5"/>
      <c r="E201" s="13" t="s">
        <v>390</v>
      </c>
      <c r="F201" s="9">
        <v>411.07527499999998</v>
      </c>
      <c r="G201" s="7"/>
      <c r="H201" s="8">
        <f t="shared" ref="H201:H264" si="3">F201*1.06</f>
        <v>435.73979150000002</v>
      </c>
      <c r="I201" s="9">
        <v>924.61040000000003</v>
      </c>
    </row>
    <row r="202" spans="1:9">
      <c r="A202" s="16" t="s">
        <v>391</v>
      </c>
      <c r="B202" s="15"/>
      <c r="C202" s="15"/>
      <c r="D202" s="5"/>
      <c r="E202" s="12" t="s">
        <v>392</v>
      </c>
      <c r="F202" s="8">
        <v>411.07527499999998</v>
      </c>
      <c r="G202" s="6"/>
      <c r="H202" s="8">
        <f t="shared" si="3"/>
        <v>435.73979150000002</v>
      </c>
      <c r="I202" s="8">
        <v>924.61040000000003</v>
      </c>
    </row>
    <row r="203" spans="1:9">
      <c r="A203" s="14" t="s">
        <v>393</v>
      </c>
      <c r="B203" s="15"/>
      <c r="C203" s="15"/>
      <c r="D203" s="5"/>
      <c r="E203" s="13" t="s">
        <v>394</v>
      </c>
      <c r="F203" s="9">
        <v>403.43534062499998</v>
      </c>
      <c r="G203" s="7"/>
      <c r="H203" s="8">
        <f t="shared" si="3"/>
        <v>427.64146106250001</v>
      </c>
      <c r="I203" s="9">
        <v>908.25080000000003</v>
      </c>
    </row>
    <row r="204" spans="1:9">
      <c r="A204" s="16" t="s">
        <v>395</v>
      </c>
      <c r="B204" s="15"/>
      <c r="C204" s="15"/>
      <c r="D204" s="5"/>
      <c r="E204" s="12" t="s">
        <v>396</v>
      </c>
      <c r="F204" s="8">
        <v>403.43534062499998</v>
      </c>
      <c r="G204" s="6"/>
      <c r="H204" s="8">
        <f t="shared" si="3"/>
        <v>427.64146106250001</v>
      </c>
      <c r="I204" s="8">
        <v>908.25080000000003</v>
      </c>
    </row>
    <row r="205" spans="1:9">
      <c r="A205" s="14" t="s">
        <v>397</v>
      </c>
      <c r="B205" s="15"/>
      <c r="C205" s="15"/>
      <c r="D205" s="5"/>
      <c r="E205" s="13" t="s">
        <v>398</v>
      </c>
      <c r="F205" s="9">
        <v>392.15547187499999</v>
      </c>
      <c r="G205" s="7"/>
      <c r="H205" s="8">
        <f t="shared" si="3"/>
        <v>415.6848001875</v>
      </c>
      <c r="I205" s="9">
        <v>882.40800000000002</v>
      </c>
    </row>
    <row r="206" spans="1:9" ht="31.5" customHeight="1">
      <c r="A206" s="16" t="s">
        <v>399</v>
      </c>
      <c r="B206" s="15"/>
      <c r="C206" s="15"/>
      <c r="D206" s="5"/>
      <c r="E206" s="12" t="s">
        <v>400</v>
      </c>
      <c r="F206" s="8">
        <v>600.08261725</v>
      </c>
      <c r="G206" s="6"/>
      <c r="H206" s="8">
        <f t="shared" si="3"/>
        <v>636.08757428500007</v>
      </c>
      <c r="I206" s="8">
        <v>1182.5</v>
      </c>
    </row>
    <row r="207" spans="1:9" ht="32.25" customHeight="1">
      <c r="A207" s="14" t="s">
        <v>401</v>
      </c>
      <c r="B207" s="15"/>
      <c r="C207" s="15"/>
      <c r="D207" s="5"/>
      <c r="E207" s="13" t="s">
        <v>402</v>
      </c>
      <c r="F207" s="9">
        <v>600.08261725</v>
      </c>
      <c r="G207" s="7"/>
      <c r="H207" s="8">
        <f t="shared" si="3"/>
        <v>636.08757428500007</v>
      </c>
      <c r="I207" s="9">
        <v>1182.5</v>
      </c>
    </row>
    <row r="208" spans="1:9">
      <c r="A208" s="16" t="s">
        <v>403</v>
      </c>
      <c r="B208" s="15"/>
      <c r="C208" s="15"/>
      <c r="D208" s="5"/>
      <c r="E208" s="12" t="s">
        <v>404</v>
      </c>
      <c r="F208" s="8">
        <v>403.43534062499998</v>
      </c>
      <c r="G208" s="6"/>
      <c r="H208" s="8">
        <f t="shared" si="3"/>
        <v>427.64146106250001</v>
      </c>
      <c r="I208" s="8">
        <v>908.25080000000003</v>
      </c>
    </row>
    <row r="209" spans="1:9">
      <c r="A209" s="14" t="s">
        <v>405</v>
      </c>
      <c r="B209" s="15"/>
      <c r="C209" s="15"/>
      <c r="D209" s="5"/>
      <c r="E209" s="13" t="s">
        <v>406</v>
      </c>
      <c r="F209" s="9">
        <v>403.43534062499998</v>
      </c>
      <c r="G209" s="7"/>
      <c r="H209" s="8">
        <f t="shared" si="3"/>
        <v>427.64146106250001</v>
      </c>
      <c r="I209" s="9">
        <v>908.25080000000003</v>
      </c>
    </row>
    <row r="210" spans="1:9">
      <c r="A210" s="16" t="s">
        <v>407</v>
      </c>
      <c r="B210" s="15"/>
      <c r="C210" s="15"/>
      <c r="D210" s="5"/>
      <c r="E210" s="12" t="s">
        <v>408</v>
      </c>
      <c r="F210" s="8">
        <v>1016.940052</v>
      </c>
      <c r="G210" s="6"/>
      <c r="H210" s="8">
        <f t="shared" si="3"/>
        <v>1077.9564551200001</v>
      </c>
      <c r="I210" s="8">
        <v>1485.2192</v>
      </c>
    </row>
    <row r="211" spans="1:9" ht="25.5">
      <c r="A211" s="14" t="s">
        <v>409</v>
      </c>
      <c r="B211" s="15"/>
      <c r="C211" s="15"/>
      <c r="D211" s="5"/>
      <c r="E211" s="13" t="s">
        <v>410</v>
      </c>
      <c r="F211" s="9">
        <v>797.59081249999997</v>
      </c>
      <c r="G211" s="7"/>
      <c r="H211" s="8">
        <f t="shared" si="3"/>
        <v>845.44626125000002</v>
      </c>
      <c r="I211" s="9">
        <v>1793.5352</v>
      </c>
    </row>
    <row r="212" spans="1:9" ht="25.5">
      <c r="A212" s="16" t="s">
        <v>411</v>
      </c>
      <c r="B212" s="15"/>
      <c r="C212" s="15"/>
      <c r="D212" s="5"/>
      <c r="E212" s="12" t="s">
        <v>412</v>
      </c>
      <c r="F212" s="8">
        <v>815.52691249999998</v>
      </c>
      <c r="G212" s="6"/>
      <c r="H212" s="8">
        <f t="shared" si="3"/>
        <v>864.45852724999997</v>
      </c>
      <c r="I212" s="8">
        <v>1873.3108</v>
      </c>
    </row>
    <row r="213" spans="1:9" ht="25.5">
      <c r="A213" s="14" t="s">
        <v>413</v>
      </c>
      <c r="B213" s="15"/>
      <c r="C213" s="15"/>
      <c r="D213" s="5"/>
      <c r="E213" s="13" t="s">
        <v>414</v>
      </c>
      <c r="F213" s="9">
        <v>814.51061562500001</v>
      </c>
      <c r="G213" s="7"/>
      <c r="H213" s="8">
        <f t="shared" si="3"/>
        <v>863.38125256250009</v>
      </c>
      <c r="I213" s="9">
        <v>1831.7375999999999</v>
      </c>
    </row>
    <row r="214" spans="1:9" ht="25.5">
      <c r="A214" s="16" t="s">
        <v>415</v>
      </c>
      <c r="B214" s="15"/>
      <c r="C214" s="15"/>
      <c r="D214" s="5"/>
      <c r="E214" s="12" t="s">
        <v>416</v>
      </c>
      <c r="F214" s="8">
        <v>814.51061562500001</v>
      </c>
      <c r="G214" s="6"/>
      <c r="H214" s="8">
        <f t="shared" si="3"/>
        <v>863.38125256250009</v>
      </c>
      <c r="I214" s="8">
        <v>1831.7375999999999</v>
      </c>
    </row>
    <row r="215" spans="1:9" ht="24.75" customHeight="1">
      <c r="A215" s="14" t="s">
        <v>417</v>
      </c>
      <c r="B215" s="15"/>
      <c r="C215" s="15"/>
      <c r="D215" s="5"/>
      <c r="E215" s="13" t="s">
        <v>418</v>
      </c>
      <c r="F215" s="9">
        <v>492.75</v>
      </c>
      <c r="G215" s="7"/>
      <c r="H215" s="8">
        <f t="shared" si="3"/>
        <v>522.31500000000005</v>
      </c>
      <c r="I215" s="9">
        <v>1142.7012</v>
      </c>
    </row>
    <row r="216" spans="1:9" ht="23.25" customHeight="1">
      <c r="A216" s="16" t="s">
        <v>419</v>
      </c>
      <c r="B216" s="15"/>
      <c r="C216" s="15"/>
      <c r="D216" s="5"/>
      <c r="E216" s="12" t="s">
        <v>420</v>
      </c>
      <c r="F216" s="8">
        <v>492.75</v>
      </c>
      <c r="G216" s="6"/>
      <c r="H216" s="8">
        <f t="shared" si="3"/>
        <v>522.31500000000005</v>
      </c>
      <c r="I216" s="8">
        <v>1142.7012</v>
      </c>
    </row>
    <row r="217" spans="1:9" ht="22.5" customHeight="1">
      <c r="A217" s="14" t="s">
        <v>421</v>
      </c>
      <c r="B217" s="15"/>
      <c r="C217" s="15"/>
      <c r="D217" s="5"/>
      <c r="E217" s="13" t="s">
        <v>422</v>
      </c>
      <c r="F217" s="9">
        <v>1061.2100519999999</v>
      </c>
      <c r="G217" s="7"/>
      <c r="H217" s="8">
        <f t="shared" si="3"/>
        <v>1124.88265512</v>
      </c>
      <c r="I217" s="9">
        <v>1994.39</v>
      </c>
    </row>
    <row r="218" spans="1:9" ht="25.5">
      <c r="A218" s="16" t="s">
        <v>423</v>
      </c>
      <c r="B218" s="15"/>
      <c r="C218" s="15"/>
      <c r="D218" s="5"/>
      <c r="E218" s="12" t="s">
        <v>424</v>
      </c>
      <c r="F218" s="8">
        <v>1061.2100519999999</v>
      </c>
      <c r="G218" s="6"/>
      <c r="H218" s="8">
        <f t="shared" si="3"/>
        <v>1124.88265512</v>
      </c>
      <c r="I218" s="8">
        <v>1994.39</v>
      </c>
    </row>
    <row r="219" spans="1:9" ht="25.5">
      <c r="A219" s="14" t="s">
        <v>425</v>
      </c>
      <c r="B219" s="15"/>
      <c r="C219" s="15"/>
      <c r="D219" s="5"/>
      <c r="E219" s="13" t="s">
        <v>426</v>
      </c>
      <c r="F219" s="9">
        <v>286.99671875000001</v>
      </c>
      <c r="G219" s="7"/>
      <c r="H219" s="8">
        <f t="shared" si="3"/>
        <v>304.21652187500001</v>
      </c>
      <c r="I219" s="9">
        <v>644.83399999999995</v>
      </c>
    </row>
    <row r="220" spans="1:9" ht="25.5">
      <c r="A220" s="16" t="s">
        <v>427</v>
      </c>
      <c r="B220" s="15"/>
      <c r="C220" s="15"/>
      <c r="D220" s="5"/>
      <c r="E220" s="12" t="s">
        <v>428</v>
      </c>
      <c r="F220" s="8">
        <v>286.99671875000001</v>
      </c>
      <c r="G220" s="6"/>
      <c r="H220" s="8">
        <f t="shared" si="3"/>
        <v>304.21652187500001</v>
      </c>
      <c r="I220" s="8">
        <v>644.83399999999995</v>
      </c>
    </row>
    <row r="221" spans="1:9" ht="25.5">
      <c r="A221" s="14" t="s">
        <v>429</v>
      </c>
      <c r="B221" s="15"/>
      <c r="C221" s="15"/>
      <c r="D221" s="5"/>
      <c r="E221" s="13" t="s">
        <v>430</v>
      </c>
      <c r="F221" s="9">
        <v>804.59081249999997</v>
      </c>
      <c r="G221" s="7"/>
      <c r="H221" s="8">
        <f t="shared" si="3"/>
        <v>852.86626124999998</v>
      </c>
      <c r="I221" s="9">
        <v>1807.5352</v>
      </c>
    </row>
    <row r="222" spans="1:9" ht="25.5">
      <c r="A222" s="16" t="s">
        <v>431</v>
      </c>
      <c r="B222" s="15"/>
      <c r="C222" s="15"/>
      <c r="D222" s="5"/>
      <c r="E222" s="12" t="s">
        <v>432</v>
      </c>
      <c r="F222" s="8">
        <v>845.070353125</v>
      </c>
      <c r="G222" s="6"/>
      <c r="H222" s="8">
        <f t="shared" si="3"/>
        <v>895.77457431250002</v>
      </c>
      <c r="I222" s="8">
        <v>1899.4232</v>
      </c>
    </row>
    <row r="223" spans="1:9" ht="25.5">
      <c r="A223" s="14" t="s">
        <v>433</v>
      </c>
      <c r="B223" s="15"/>
      <c r="C223" s="15"/>
      <c r="D223" s="5"/>
      <c r="E223" s="13" t="s">
        <v>434</v>
      </c>
      <c r="F223" s="9">
        <v>1544.7822812500001</v>
      </c>
      <c r="G223" s="7"/>
      <c r="H223" s="8">
        <f t="shared" si="3"/>
        <v>1637.4692181250002</v>
      </c>
      <c r="I223" s="9">
        <v>3536.1487999999999</v>
      </c>
    </row>
    <row r="224" spans="1:9" ht="25.5">
      <c r="A224" s="16" t="s">
        <v>435</v>
      </c>
      <c r="B224" s="15"/>
      <c r="C224" s="15"/>
      <c r="D224" s="5"/>
      <c r="E224" s="12" t="s">
        <v>436</v>
      </c>
      <c r="F224" s="8">
        <v>1624.7413624999999</v>
      </c>
      <c r="G224" s="6"/>
      <c r="H224" s="8">
        <f t="shared" si="3"/>
        <v>1722.2258442499999</v>
      </c>
      <c r="I224" s="8">
        <v>3652.7559999999999</v>
      </c>
    </row>
    <row r="225" spans="1:9" ht="25.5">
      <c r="A225" s="14" t="s">
        <v>437</v>
      </c>
      <c r="B225" s="15"/>
      <c r="C225" s="15"/>
      <c r="D225" s="5"/>
      <c r="E225" s="13" t="s">
        <v>438</v>
      </c>
      <c r="F225" s="9">
        <v>91.599015625000007</v>
      </c>
      <c r="G225" s="7"/>
      <c r="H225" s="8">
        <f t="shared" si="3"/>
        <v>97.094956562500016</v>
      </c>
      <c r="I225" s="9">
        <v>205.012</v>
      </c>
    </row>
    <row r="226" spans="1:9" ht="22.5" customHeight="1">
      <c r="A226" s="16" t="s">
        <v>439</v>
      </c>
      <c r="B226" s="15"/>
      <c r="C226" s="15"/>
      <c r="D226" s="5"/>
      <c r="E226" s="12" t="s">
        <v>440</v>
      </c>
      <c r="F226" s="8">
        <v>1171.75276575</v>
      </c>
      <c r="G226" s="6"/>
      <c r="H226" s="8">
        <f t="shared" si="3"/>
        <v>1242.057931695</v>
      </c>
      <c r="I226" s="8">
        <v>2240.4584</v>
      </c>
    </row>
    <row r="227" spans="1:9" ht="25.5">
      <c r="A227" s="14" t="s">
        <v>441</v>
      </c>
      <c r="B227" s="15"/>
      <c r="C227" s="15"/>
      <c r="D227" s="5"/>
      <c r="E227" s="13" t="s">
        <v>442</v>
      </c>
      <c r="F227" s="9">
        <v>38.325000000000003</v>
      </c>
      <c r="G227" s="7"/>
      <c r="H227" s="8">
        <f t="shared" si="3"/>
        <v>40.624500000000005</v>
      </c>
      <c r="I227" s="9">
        <v>95.506</v>
      </c>
    </row>
    <row r="228" spans="1:9" ht="25.5">
      <c r="A228" s="16" t="s">
        <v>443</v>
      </c>
      <c r="B228" s="15"/>
      <c r="C228" s="15"/>
      <c r="D228" s="5"/>
      <c r="E228" s="12" t="s">
        <v>444</v>
      </c>
      <c r="F228" s="8">
        <v>38.325000000000003</v>
      </c>
      <c r="G228" s="6"/>
      <c r="H228" s="8">
        <f t="shared" si="3"/>
        <v>40.624500000000005</v>
      </c>
      <c r="I228" s="8">
        <v>95.506</v>
      </c>
    </row>
    <row r="229" spans="1:9" ht="25.5">
      <c r="A229" s="14" t="s">
        <v>445</v>
      </c>
      <c r="B229" s="15"/>
      <c r="C229" s="15"/>
      <c r="D229" s="5"/>
      <c r="E229" s="13" t="s">
        <v>446</v>
      </c>
      <c r="F229" s="9">
        <v>38.325000000000003</v>
      </c>
      <c r="G229" s="7"/>
      <c r="H229" s="8">
        <f t="shared" si="3"/>
        <v>40.624500000000005</v>
      </c>
      <c r="I229" s="9">
        <v>95.506</v>
      </c>
    </row>
    <row r="230" spans="1:9" ht="20.25" customHeight="1">
      <c r="A230" s="16" t="s">
        <v>447</v>
      </c>
      <c r="B230" s="15"/>
      <c r="C230" s="15"/>
      <c r="D230" s="5"/>
      <c r="E230" s="12" t="s">
        <v>448</v>
      </c>
      <c r="F230" s="8">
        <v>1060.3076625000001</v>
      </c>
      <c r="G230" s="6"/>
      <c r="H230" s="8">
        <f t="shared" si="3"/>
        <v>1123.9261222500002</v>
      </c>
      <c r="I230" s="8">
        <v>2387.65</v>
      </c>
    </row>
    <row r="231" spans="1:9" ht="18.75" customHeight="1">
      <c r="A231" s="14" t="s">
        <v>449</v>
      </c>
      <c r="B231" s="15"/>
      <c r="C231" s="15"/>
      <c r="D231" s="5"/>
      <c r="E231" s="13" t="s">
        <v>450</v>
      </c>
      <c r="F231" s="9">
        <v>1105.4271375000001</v>
      </c>
      <c r="G231" s="7"/>
      <c r="H231" s="8">
        <f t="shared" si="3"/>
        <v>1171.7527657500002</v>
      </c>
      <c r="I231" s="9">
        <v>2488.7739999999999</v>
      </c>
    </row>
    <row r="232" spans="1:9" ht="18.75" customHeight="1">
      <c r="A232" s="16" t="s">
        <v>451</v>
      </c>
      <c r="B232" s="15"/>
      <c r="C232" s="15"/>
      <c r="D232" s="5"/>
      <c r="E232" s="12" t="s">
        <v>452</v>
      </c>
      <c r="F232" s="8">
        <v>845.99015625000004</v>
      </c>
      <c r="G232" s="6"/>
      <c r="H232" s="8">
        <f t="shared" si="3"/>
        <v>896.74956562500006</v>
      </c>
      <c r="I232" s="8">
        <v>1904.502</v>
      </c>
    </row>
    <row r="233" spans="1:9" ht="25.5">
      <c r="A233" s="14" t="s">
        <v>453</v>
      </c>
      <c r="B233" s="15"/>
      <c r="C233" s="15"/>
      <c r="D233" s="5"/>
      <c r="E233" s="13" t="s">
        <v>454</v>
      </c>
      <c r="F233" s="9">
        <v>692.03271562500004</v>
      </c>
      <c r="G233" s="7"/>
      <c r="H233" s="8">
        <f t="shared" si="3"/>
        <v>733.55467856250004</v>
      </c>
      <c r="I233" s="9">
        <v>1542.1179999999999</v>
      </c>
    </row>
    <row r="234" spans="1:9" ht="25.5">
      <c r="A234" s="16" t="s">
        <v>455</v>
      </c>
      <c r="B234" s="15"/>
      <c r="C234" s="15"/>
      <c r="D234" s="5"/>
      <c r="E234" s="12" t="s">
        <v>456</v>
      </c>
      <c r="F234" s="8">
        <v>46.414483203125002</v>
      </c>
      <c r="G234" s="6"/>
      <c r="H234" s="8">
        <f t="shared" si="3"/>
        <v>49.199352195312507</v>
      </c>
      <c r="I234" s="8">
        <v>156.80959999999999</v>
      </c>
    </row>
    <row r="235" spans="1:9" ht="25.5">
      <c r="A235" s="14" t="s">
        <v>457</v>
      </c>
      <c r="B235" s="15"/>
      <c r="C235" s="15"/>
      <c r="D235" s="5"/>
      <c r="E235" s="13" t="s">
        <v>458</v>
      </c>
      <c r="F235" s="9">
        <v>120.14791834375001</v>
      </c>
      <c r="G235" s="7"/>
      <c r="H235" s="8">
        <f t="shared" si="3"/>
        <v>127.35679344437501</v>
      </c>
      <c r="I235" s="9">
        <v>433.48480000000001</v>
      </c>
    </row>
    <row r="236" spans="1:9" ht="25.5">
      <c r="A236" s="16" t="s">
        <v>459</v>
      </c>
      <c r="B236" s="15"/>
      <c r="C236" s="15"/>
      <c r="D236" s="5"/>
      <c r="E236" s="12" t="s">
        <v>460</v>
      </c>
      <c r="F236" s="8">
        <v>125.7162651875</v>
      </c>
      <c r="G236" s="6"/>
      <c r="H236" s="8">
        <f t="shared" si="3"/>
        <v>133.25924109875001</v>
      </c>
      <c r="I236" s="8">
        <v>453.4624</v>
      </c>
    </row>
    <row r="237" spans="1:9" ht="25.5">
      <c r="A237" s="14" t="s">
        <v>461</v>
      </c>
      <c r="B237" s="15"/>
      <c r="C237" s="15"/>
      <c r="D237" s="5"/>
      <c r="E237" s="13" t="s">
        <v>462</v>
      </c>
      <c r="F237" s="9">
        <v>109.2107990625</v>
      </c>
      <c r="G237" s="7"/>
      <c r="H237" s="8">
        <f t="shared" si="3"/>
        <v>115.76344700625</v>
      </c>
      <c r="I237" s="9">
        <v>399.642</v>
      </c>
    </row>
    <row r="238" spans="1:9" ht="25.5">
      <c r="A238" s="16" t="s">
        <v>463</v>
      </c>
      <c r="B238" s="15"/>
      <c r="C238" s="15"/>
      <c r="D238" s="5"/>
      <c r="E238" s="12" t="s">
        <v>464</v>
      </c>
      <c r="F238" s="8">
        <v>116.9787203125</v>
      </c>
      <c r="G238" s="6"/>
      <c r="H238" s="8">
        <f t="shared" si="3"/>
        <v>123.99744353125001</v>
      </c>
      <c r="I238" s="8">
        <v>427.48480000000001</v>
      </c>
    </row>
    <row r="239" spans="1:9" ht="25.5">
      <c r="A239" s="14" t="s">
        <v>465</v>
      </c>
      <c r="B239" s="15"/>
      <c r="C239" s="15"/>
      <c r="D239" s="5"/>
      <c r="E239" s="13" t="s">
        <v>466</v>
      </c>
      <c r="F239" s="9">
        <v>283.61053268749998</v>
      </c>
      <c r="G239" s="7"/>
      <c r="H239" s="8">
        <f t="shared" si="3"/>
        <v>300.62716464875001</v>
      </c>
      <c r="I239" s="9">
        <v>1029.8915999999999</v>
      </c>
    </row>
    <row r="240" spans="1:9" ht="25.5">
      <c r="A240" s="16" t="s">
        <v>467</v>
      </c>
      <c r="B240" s="15"/>
      <c r="C240" s="15"/>
      <c r="D240" s="5"/>
      <c r="E240" s="12" t="s">
        <v>468</v>
      </c>
      <c r="F240" s="8">
        <v>286.64090906249999</v>
      </c>
      <c r="G240" s="6"/>
      <c r="H240" s="8">
        <f t="shared" si="3"/>
        <v>303.83936360625</v>
      </c>
      <c r="I240" s="8">
        <v>1039.7568000000001</v>
      </c>
    </row>
    <row r="241" spans="1:9" ht="25.5">
      <c r="A241" s="14" t="s">
        <v>469</v>
      </c>
      <c r="B241" s="15"/>
      <c r="C241" s="15"/>
      <c r="D241" s="5"/>
      <c r="E241" s="13" t="s">
        <v>470</v>
      </c>
      <c r="F241" s="9">
        <v>179.50605093749999</v>
      </c>
      <c r="G241" s="7"/>
      <c r="H241" s="8">
        <f t="shared" si="3"/>
        <v>190.27641399375</v>
      </c>
      <c r="I241" s="9">
        <v>653.21600000000001</v>
      </c>
    </row>
    <row r="242" spans="1:9" ht="25.5">
      <c r="A242" s="16" t="s">
        <v>471</v>
      </c>
      <c r="B242" s="15"/>
      <c r="C242" s="15"/>
      <c r="D242" s="5"/>
      <c r="E242" s="12" t="s">
        <v>472</v>
      </c>
      <c r="F242" s="8">
        <v>181.8596351875</v>
      </c>
      <c r="G242" s="6"/>
      <c r="H242" s="8">
        <f t="shared" si="3"/>
        <v>192.77121329875001</v>
      </c>
      <c r="I242" s="8">
        <v>659.71040000000005</v>
      </c>
    </row>
    <row r="243" spans="1:9" ht="25.5">
      <c r="A243" s="14" t="s">
        <v>473</v>
      </c>
      <c r="B243" s="15"/>
      <c r="C243" s="15"/>
      <c r="D243" s="5"/>
      <c r="E243" s="13" t="s">
        <v>474</v>
      </c>
      <c r="F243" s="9">
        <v>105.51881874999999</v>
      </c>
      <c r="G243" s="7"/>
      <c r="H243" s="8">
        <f t="shared" si="3"/>
        <v>111.849947875</v>
      </c>
      <c r="I243" s="9">
        <v>261.93360000000001</v>
      </c>
    </row>
    <row r="244" spans="1:9" ht="25.5">
      <c r="A244" s="16" t="s">
        <v>475</v>
      </c>
      <c r="B244" s="15"/>
      <c r="C244" s="15"/>
      <c r="D244" s="5"/>
      <c r="E244" s="12" t="s">
        <v>476</v>
      </c>
      <c r="F244" s="8">
        <v>106.51881874999999</v>
      </c>
      <c r="G244" s="6"/>
      <c r="H244" s="8">
        <f t="shared" si="3"/>
        <v>112.909947875</v>
      </c>
      <c r="I244" s="8">
        <v>263.93360000000001</v>
      </c>
    </row>
    <row r="245" spans="1:9" ht="25.5">
      <c r="A245" s="14" t="s">
        <v>477</v>
      </c>
      <c r="B245" s="15"/>
      <c r="C245" s="15"/>
      <c r="D245" s="5"/>
      <c r="E245" s="13" t="s">
        <v>478</v>
      </c>
      <c r="F245" s="9">
        <v>6.9479540625</v>
      </c>
      <c r="G245" s="7"/>
      <c r="H245" s="8">
        <f t="shared" si="3"/>
        <v>7.3648313062500002</v>
      </c>
      <c r="I245" s="9">
        <v>21.730399999999999</v>
      </c>
    </row>
    <row r="246" spans="1:9" ht="25.5">
      <c r="A246" s="16" t="s">
        <v>479</v>
      </c>
      <c r="B246" s="15"/>
      <c r="C246" s="15"/>
      <c r="D246" s="5"/>
      <c r="E246" s="12" t="s">
        <v>480</v>
      </c>
      <c r="F246" s="8">
        <v>83.959081249999997</v>
      </c>
      <c r="G246" s="6"/>
      <c r="H246" s="8">
        <f t="shared" si="3"/>
        <v>88.996626125000006</v>
      </c>
      <c r="I246" s="8">
        <v>226.85480000000001</v>
      </c>
    </row>
    <row r="247" spans="1:9" ht="25.5">
      <c r="A247" s="14" t="s">
        <v>481</v>
      </c>
      <c r="B247" s="15"/>
      <c r="C247" s="15"/>
      <c r="D247" s="5"/>
      <c r="E247" s="13" t="s">
        <v>482</v>
      </c>
      <c r="F247" s="9">
        <v>83.959081249999997</v>
      </c>
      <c r="G247" s="7"/>
      <c r="H247" s="8">
        <f t="shared" si="3"/>
        <v>88.996626125000006</v>
      </c>
      <c r="I247" s="9">
        <v>226.85480000000001</v>
      </c>
    </row>
    <row r="248" spans="1:9" ht="25.5">
      <c r="A248" s="16" t="s">
        <v>483</v>
      </c>
      <c r="B248" s="15"/>
      <c r="C248" s="15"/>
      <c r="D248" s="5"/>
      <c r="E248" s="12" t="s">
        <v>484</v>
      </c>
      <c r="F248" s="8">
        <v>61.963337187500002</v>
      </c>
      <c r="G248" s="6"/>
      <c r="H248" s="8">
        <f t="shared" si="3"/>
        <v>65.681137418750012</v>
      </c>
      <c r="I248" s="8">
        <v>139.214</v>
      </c>
    </row>
    <row r="249" spans="1:9" ht="25.5">
      <c r="A249" s="14" t="s">
        <v>485</v>
      </c>
      <c r="B249" s="15"/>
      <c r="C249" s="15"/>
      <c r="D249" s="5"/>
      <c r="E249" s="13" t="s">
        <v>486</v>
      </c>
      <c r="F249" s="9">
        <v>59.143369999999997</v>
      </c>
      <c r="G249" s="7"/>
      <c r="H249" s="8">
        <f t="shared" si="3"/>
        <v>62.691972200000002</v>
      </c>
      <c r="I249" s="9">
        <v>132.47239999999999</v>
      </c>
    </row>
    <row r="250" spans="1:9" ht="25.5">
      <c r="A250" s="16" t="s">
        <v>487</v>
      </c>
      <c r="B250" s="15"/>
      <c r="C250" s="15"/>
      <c r="D250" s="5"/>
      <c r="E250" s="12" t="s">
        <v>488</v>
      </c>
      <c r="F250" s="8">
        <v>118.9114861875</v>
      </c>
      <c r="G250" s="6"/>
      <c r="H250" s="8">
        <f t="shared" si="3"/>
        <v>126.04617535875001</v>
      </c>
      <c r="I250" s="8">
        <v>243.4616</v>
      </c>
    </row>
    <row r="251" spans="1:9" ht="25.5">
      <c r="A251" s="14" t="s">
        <v>489</v>
      </c>
      <c r="B251" s="15"/>
      <c r="C251" s="15"/>
      <c r="D251" s="5"/>
      <c r="E251" s="13" t="s">
        <v>490</v>
      </c>
      <c r="F251" s="9">
        <v>90.37341825</v>
      </c>
      <c r="G251" s="7"/>
      <c r="H251" s="8">
        <f t="shared" si="3"/>
        <v>95.795823345000002</v>
      </c>
      <c r="I251" s="9">
        <v>185.03440000000001</v>
      </c>
    </row>
    <row r="252" spans="1:9" ht="25.5">
      <c r="A252" s="16" t="s">
        <v>491</v>
      </c>
      <c r="B252" s="15"/>
      <c r="C252" s="15"/>
      <c r="D252" s="5"/>
      <c r="E252" s="12" t="s">
        <v>492</v>
      </c>
      <c r="F252" s="8">
        <v>123.87462843749999</v>
      </c>
      <c r="G252" s="6"/>
      <c r="H252" s="8">
        <f t="shared" si="3"/>
        <v>131.30710614374999</v>
      </c>
      <c r="I252" s="8">
        <v>278.29320000000001</v>
      </c>
    </row>
    <row r="253" spans="1:9" ht="25.5">
      <c r="A253" s="14" t="s">
        <v>493</v>
      </c>
      <c r="B253" s="15"/>
      <c r="C253" s="15"/>
      <c r="D253" s="5"/>
      <c r="E253" s="13" t="s">
        <v>494</v>
      </c>
      <c r="F253" s="9">
        <v>133.46251687500001</v>
      </c>
      <c r="G253" s="7"/>
      <c r="H253" s="8">
        <f t="shared" si="3"/>
        <v>141.4702678875</v>
      </c>
      <c r="I253" s="9">
        <v>299.64159999999998</v>
      </c>
    </row>
    <row r="254" spans="1:9" ht="25.5">
      <c r="A254" s="16" t="s">
        <v>495</v>
      </c>
      <c r="B254" s="15"/>
      <c r="C254" s="15"/>
      <c r="D254" s="5"/>
      <c r="E254" s="12" t="s">
        <v>496</v>
      </c>
      <c r="F254" s="8">
        <v>92.854989375000002</v>
      </c>
      <c r="G254" s="6"/>
      <c r="H254" s="8">
        <f t="shared" si="3"/>
        <v>98.426288737500002</v>
      </c>
      <c r="I254" s="8">
        <v>208.63</v>
      </c>
    </row>
    <row r="255" spans="1:9" ht="25.5">
      <c r="A255" s="14" t="s">
        <v>497</v>
      </c>
      <c r="B255" s="15"/>
      <c r="C255" s="15"/>
      <c r="D255" s="5"/>
      <c r="E255" s="13" t="s">
        <v>498</v>
      </c>
      <c r="F255" s="9">
        <v>100.18690406250001</v>
      </c>
      <c r="G255" s="7"/>
      <c r="H255" s="8">
        <f t="shared" si="3"/>
        <v>106.19811830625001</v>
      </c>
      <c r="I255" s="9">
        <v>224.3604</v>
      </c>
    </row>
    <row r="256" spans="1:9" ht="25.5">
      <c r="A256" s="16" t="s">
        <v>499</v>
      </c>
      <c r="B256" s="15"/>
      <c r="C256" s="15"/>
      <c r="D256" s="5"/>
      <c r="E256" s="12" t="s">
        <v>500</v>
      </c>
      <c r="F256" s="8">
        <v>5.4815711250000003</v>
      </c>
      <c r="G256" s="6"/>
      <c r="H256" s="8">
        <f t="shared" si="3"/>
        <v>5.8104653925000003</v>
      </c>
      <c r="I256" s="8">
        <v>11.618</v>
      </c>
    </row>
    <row r="257" spans="1:9" ht="25.5">
      <c r="A257" s="14" t="s">
        <v>501</v>
      </c>
      <c r="B257" s="15"/>
      <c r="C257" s="15"/>
      <c r="D257" s="5"/>
      <c r="E257" s="13" t="s">
        <v>502</v>
      </c>
      <c r="F257" s="9">
        <v>67.941667624999994</v>
      </c>
      <c r="G257" s="7"/>
      <c r="H257" s="8">
        <f t="shared" si="3"/>
        <v>72.018167682499993</v>
      </c>
      <c r="I257" s="9">
        <v>129.10159999999999</v>
      </c>
    </row>
    <row r="258" spans="1:9" ht="25.5">
      <c r="A258" s="16" t="s">
        <v>503</v>
      </c>
      <c r="B258" s="15"/>
      <c r="C258" s="15"/>
      <c r="D258" s="5"/>
      <c r="E258" s="12" t="s">
        <v>504</v>
      </c>
      <c r="F258" s="8">
        <v>61.39934375</v>
      </c>
      <c r="G258" s="6"/>
      <c r="H258" s="8">
        <f t="shared" si="3"/>
        <v>65.083304374999997</v>
      </c>
      <c r="I258" s="8">
        <v>136.96680000000001</v>
      </c>
    </row>
    <row r="259" spans="1:9" ht="25.5">
      <c r="A259" s="14" t="s">
        <v>505</v>
      </c>
      <c r="B259" s="15"/>
      <c r="C259" s="15"/>
      <c r="D259" s="5"/>
      <c r="E259" s="13" t="s">
        <v>506</v>
      </c>
      <c r="F259" s="9">
        <v>55.759409374999997</v>
      </c>
      <c r="G259" s="7"/>
      <c r="H259" s="8">
        <f t="shared" si="3"/>
        <v>59.104973937499999</v>
      </c>
      <c r="I259" s="9">
        <v>124.60720000000001</v>
      </c>
    </row>
    <row r="260" spans="1:9" ht="25.5">
      <c r="A260" s="16" t="s">
        <v>507</v>
      </c>
      <c r="B260" s="15"/>
      <c r="C260" s="15"/>
      <c r="D260" s="5"/>
      <c r="E260" s="12" t="s">
        <v>508</v>
      </c>
      <c r="F260" s="8">
        <v>16.535842500000001</v>
      </c>
      <c r="G260" s="6"/>
      <c r="H260" s="8">
        <f t="shared" si="3"/>
        <v>17.527993050000003</v>
      </c>
      <c r="I260" s="8">
        <v>37.460799999999999</v>
      </c>
    </row>
    <row r="261" spans="1:9" ht="23.25" customHeight="1">
      <c r="A261" s="14" t="s">
        <v>509</v>
      </c>
      <c r="B261" s="15"/>
      <c r="C261" s="15"/>
      <c r="D261" s="5"/>
      <c r="E261" s="13" t="s">
        <v>510</v>
      </c>
      <c r="F261" s="9">
        <v>63.850538499999999</v>
      </c>
      <c r="G261" s="7"/>
      <c r="H261" s="8">
        <f t="shared" si="3"/>
        <v>67.681570809999997</v>
      </c>
      <c r="I261" s="9">
        <v>120.742</v>
      </c>
    </row>
    <row r="262" spans="1:9" ht="25.5">
      <c r="A262" s="16" t="s">
        <v>511</v>
      </c>
      <c r="B262" s="15"/>
      <c r="C262" s="15"/>
      <c r="D262" s="5"/>
      <c r="E262" s="12" t="s">
        <v>512</v>
      </c>
      <c r="F262" s="8">
        <v>157.35416906250001</v>
      </c>
      <c r="G262" s="6"/>
      <c r="H262" s="8">
        <f t="shared" si="3"/>
        <v>166.79541920625002</v>
      </c>
      <c r="I262" s="8">
        <v>355.05759999999998</v>
      </c>
    </row>
    <row r="263" spans="1:9" ht="25.5">
      <c r="A263" s="14" t="s">
        <v>513</v>
      </c>
      <c r="B263" s="15"/>
      <c r="C263" s="15"/>
      <c r="D263" s="5"/>
      <c r="E263" s="13" t="s">
        <v>514</v>
      </c>
      <c r="F263" s="9">
        <v>157.35416906250001</v>
      </c>
      <c r="G263" s="7"/>
      <c r="H263" s="8">
        <f t="shared" si="3"/>
        <v>166.79541920625002</v>
      </c>
      <c r="I263" s="9">
        <v>355.05759999999998</v>
      </c>
    </row>
    <row r="264" spans="1:9" ht="24.75" customHeight="1">
      <c r="A264" s="16" t="s">
        <v>515</v>
      </c>
      <c r="B264" s="15"/>
      <c r="C264" s="15"/>
      <c r="D264" s="5"/>
      <c r="E264" s="12" t="s">
        <v>516</v>
      </c>
      <c r="F264" s="8">
        <v>140.30637906250001</v>
      </c>
      <c r="G264" s="6"/>
      <c r="H264" s="8">
        <f t="shared" si="3"/>
        <v>148.72476180625003</v>
      </c>
      <c r="I264" s="8">
        <v>316.608</v>
      </c>
    </row>
    <row r="265" spans="1:9" ht="25.5">
      <c r="A265" s="14" t="s">
        <v>517</v>
      </c>
      <c r="B265" s="15"/>
      <c r="C265" s="15"/>
      <c r="D265" s="5"/>
      <c r="E265" s="13" t="s">
        <v>518</v>
      </c>
      <c r="F265" s="9">
        <v>140.30637906250001</v>
      </c>
      <c r="G265" s="7"/>
      <c r="H265" s="8">
        <f t="shared" ref="H265:H328" si="4">F265*1.06</f>
        <v>148.72476180625003</v>
      </c>
      <c r="I265" s="9">
        <v>316.608</v>
      </c>
    </row>
    <row r="266" spans="1:9" ht="25.5">
      <c r="A266" s="16" t="s">
        <v>519</v>
      </c>
      <c r="B266" s="15"/>
      <c r="C266" s="15"/>
      <c r="D266" s="5"/>
      <c r="E266" s="12" t="s">
        <v>520</v>
      </c>
      <c r="F266" s="8">
        <v>140.30637906250001</v>
      </c>
      <c r="G266" s="6"/>
      <c r="H266" s="8">
        <f t="shared" si="4"/>
        <v>148.72476180625003</v>
      </c>
      <c r="I266" s="8">
        <v>316.608</v>
      </c>
    </row>
    <row r="267" spans="1:9" ht="25.5">
      <c r="A267" s="14" t="s">
        <v>521</v>
      </c>
      <c r="B267" s="15"/>
      <c r="C267" s="15"/>
      <c r="D267" s="5"/>
      <c r="E267" s="13" t="s">
        <v>522</v>
      </c>
      <c r="F267" s="9">
        <v>140.30637906250001</v>
      </c>
      <c r="G267" s="7"/>
      <c r="H267" s="8">
        <f t="shared" si="4"/>
        <v>148.72476180625003</v>
      </c>
      <c r="I267" s="9">
        <v>316.608</v>
      </c>
    </row>
    <row r="268" spans="1:9" ht="25.5">
      <c r="A268" s="16" t="s">
        <v>523</v>
      </c>
      <c r="B268" s="15"/>
      <c r="C268" s="15"/>
      <c r="D268" s="5"/>
      <c r="E268" s="12" t="s">
        <v>524</v>
      </c>
      <c r="F268" s="8">
        <v>140.30637906250001</v>
      </c>
      <c r="G268" s="6"/>
      <c r="H268" s="8">
        <f t="shared" si="4"/>
        <v>148.72476180625003</v>
      </c>
      <c r="I268" s="8">
        <v>316.608</v>
      </c>
    </row>
    <row r="269" spans="1:9" ht="25.5">
      <c r="A269" s="14" t="s">
        <v>525</v>
      </c>
      <c r="B269" s="15"/>
      <c r="C269" s="15"/>
      <c r="D269" s="5"/>
      <c r="E269" s="13" t="s">
        <v>526</v>
      </c>
      <c r="F269" s="9">
        <v>140.30637906250001</v>
      </c>
      <c r="G269" s="7"/>
      <c r="H269" s="8">
        <f t="shared" si="4"/>
        <v>148.72476180625003</v>
      </c>
      <c r="I269" s="9">
        <v>316.608</v>
      </c>
    </row>
    <row r="270" spans="1:9" ht="25.5">
      <c r="A270" s="16" t="s">
        <v>527</v>
      </c>
      <c r="B270" s="15"/>
      <c r="C270" s="15"/>
      <c r="D270" s="5"/>
      <c r="E270" s="12" t="s">
        <v>528</v>
      </c>
      <c r="F270" s="8">
        <v>140.30637906250001</v>
      </c>
      <c r="G270" s="6"/>
      <c r="H270" s="8">
        <f t="shared" si="4"/>
        <v>148.72476180625003</v>
      </c>
      <c r="I270" s="8">
        <v>316.608</v>
      </c>
    </row>
    <row r="271" spans="1:9" ht="25.5">
      <c r="A271" s="14" t="s">
        <v>529</v>
      </c>
      <c r="B271" s="15"/>
      <c r="C271" s="15"/>
      <c r="D271" s="5"/>
      <c r="E271" s="13" t="s">
        <v>530</v>
      </c>
      <c r="F271" s="9">
        <v>141.30637906250001</v>
      </c>
      <c r="G271" s="7"/>
      <c r="H271" s="8">
        <f t="shared" si="4"/>
        <v>149.78476180625003</v>
      </c>
      <c r="I271" s="9">
        <v>318.608</v>
      </c>
    </row>
    <row r="272" spans="1:9" ht="25.5">
      <c r="A272" s="16" t="s">
        <v>531</v>
      </c>
      <c r="B272" s="15"/>
      <c r="C272" s="15"/>
      <c r="D272" s="5"/>
      <c r="E272" s="12" t="s">
        <v>532</v>
      </c>
      <c r="F272" s="8">
        <v>141.30637906250001</v>
      </c>
      <c r="G272" s="6"/>
      <c r="H272" s="8">
        <f t="shared" si="4"/>
        <v>149.78476180625003</v>
      </c>
      <c r="I272" s="8">
        <v>318.608</v>
      </c>
    </row>
    <row r="273" spans="1:9" ht="25.5">
      <c r="A273" s="14" t="s">
        <v>533</v>
      </c>
      <c r="B273" s="15"/>
      <c r="C273" s="15"/>
      <c r="D273" s="5"/>
      <c r="E273" s="13" t="s">
        <v>534</v>
      </c>
      <c r="F273" s="9">
        <v>141.30637906250001</v>
      </c>
      <c r="G273" s="7"/>
      <c r="H273" s="8">
        <f t="shared" si="4"/>
        <v>149.78476180625003</v>
      </c>
      <c r="I273" s="9">
        <v>318.608</v>
      </c>
    </row>
    <row r="274" spans="1:9" ht="25.5">
      <c r="A274" s="16" t="s">
        <v>535</v>
      </c>
      <c r="B274" s="15"/>
      <c r="C274" s="15"/>
      <c r="D274" s="5"/>
      <c r="E274" s="12" t="s">
        <v>536</v>
      </c>
      <c r="F274" s="8">
        <v>171.19803125000001</v>
      </c>
      <c r="G274" s="6"/>
      <c r="H274" s="8">
        <f t="shared" si="4"/>
        <v>181.46991312500003</v>
      </c>
      <c r="I274" s="8">
        <v>391.642</v>
      </c>
    </row>
    <row r="275" spans="1:9" ht="25.5">
      <c r="A275" s="14" t="s">
        <v>537</v>
      </c>
      <c r="B275" s="15"/>
      <c r="C275" s="15"/>
      <c r="D275" s="5"/>
      <c r="E275" s="13" t="s">
        <v>538</v>
      </c>
      <c r="F275" s="9">
        <v>171.19803125000001</v>
      </c>
      <c r="G275" s="7"/>
      <c r="H275" s="8">
        <f t="shared" si="4"/>
        <v>181.46991312500003</v>
      </c>
      <c r="I275" s="9">
        <v>391.642</v>
      </c>
    </row>
    <row r="276" spans="1:9" ht="25.5">
      <c r="A276" s="16" t="s">
        <v>539</v>
      </c>
      <c r="B276" s="15"/>
      <c r="C276" s="15"/>
      <c r="D276" s="5"/>
      <c r="E276" s="12" t="s">
        <v>540</v>
      </c>
      <c r="F276" s="8">
        <v>171.19803125000001</v>
      </c>
      <c r="G276" s="6"/>
      <c r="H276" s="8">
        <f t="shared" si="4"/>
        <v>181.46991312500003</v>
      </c>
      <c r="I276" s="8">
        <v>391.642</v>
      </c>
    </row>
    <row r="277" spans="1:9" ht="25.5">
      <c r="A277" s="14" t="s">
        <v>541</v>
      </c>
      <c r="B277" s="15"/>
      <c r="C277" s="15"/>
      <c r="D277" s="5"/>
      <c r="E277" s="13" t="s">
        <v>542</v>
      </c>
      <c r="F277" s="9">
        <v>171.19803125000001</v>
      </c>
      <c r="G277" s="7"/>
      <c r="H277" s="8">
        <f t="shared" si="4"/>
        <v>181.46991312500003</v>
      </c>
      <c r="I277" s="9">
        <v>391.642</v>
      </c>
    </row>
    <row r="278" spans="1:9" ht="25.5">
      <c r="A278" s="16" t="s">
        <v>543</v>
      </c>
      <c r="B278" s="15"/>
      <c r="C278" s="15"/>
      <c r="D278" s="5"/>
      <c r="E278" s="12" t="s">
        <v>544</v>
      </c>
      <c r="F278" s="8">
        <v>171.19803125000001</v>
      </c>
      <c r="G278" s="6"/>
      <c r="H278" s="8">
        <f t="shared" si="4"/>
        <v>181.46991312500003</v>
      </c>
      <c r="I278" s="8">
        <v>391.642</v>
      </c>
    </row>
    <row r="279" spans="1:9" ht="25.5">
      <c r="A279" s="14" t="s">
        <v>545</v>
      </c>
      <c r="B279" s="15"/>
      <c r="C279" s="15"/>
      <c r="D279" s="5"/>
      <c r="E279" s="13" t="s">
        <v>546</v>
      </c>
      <c r="F279" s="9">
        <v>155.19999999999999</v>
      </c>
      <c r="G279" s="7"/>
      <c r="H279" s="8">
        <f t="shared" si="4"/>
        <v>164.512</v>
      </c>
      <c r="I279" s="9">
        <v>361.61940800000002</v>
      </c>
    </row>
    <row r="280" spans="1:9" ht="25.5">
      <c r="A280" s="16" t="s">
        <v>547</v>
      </c>
      <c r="B280" s="15"/>
      <c r="C280" s="15"/>
      <c r="D280" s="5"/>
      <c r="E280" s="12" t="s">
        <v>548</v>
      </c>
      <c r="F280" s="8">
        <v>156.19999999999999</v>
      </c>
      <c r="G280" s="6"/>
      <c r="H280" s="8">
        <f t="shared" si="4"/>
        <v>165.572</v>
      </c>
      <c r="I280" s="8">
        <v>362.74300799999997</v>
      </c>
    </row>
    <row r="281" spans="1:9" ht="25.5">
      <c r="A281" s="14" t="s">
        <v>549</v>
      </c>
      <c r="B281" s="15"/>
      <c r="C281" s="15"/>
      <c r="D281" s="5"/>
      <c r="E281" s="13" t="s">
        <v>550</v>
      </c>
      <c r="F281" s="9">
        <v>157.19999999999999</v>
      </c>
      <c r="G281" s="7"/>
      <c r="H281" s="8">
        <f t="shared" si="4"/>
        <v>166.63200000000001</v>
      </c>
      <c r="I281" s="9">
        <v>363.86660799999999</v>
      </c>
    </row>
    <row r="282" spans="1:9" ht="38.25">
      <c r="A282" s="16" t="s">
        <v>551</v>
      </c>
      <c r="B282" s="15"/>
      <c r="C282" s="15"/>
      <c r="D282" s="5"/>
      <c r="E282" s="12" t="s">
        <v>552</v>
      </c>
      <c r="F282" s="8">
        <v>157.19999999999999</v>
      </c>
      <c r="G282" s="6"/>
      <c r="H282" s="8">
        <f t="shared" si="4"/>
        <v>166.63200000000001</v>
      </c>
      <c r="I282" s="8">
        <v>363.86660799999999</v>
      </c>
    </row>
    <row r="283" spans="1:9" ht="25.5">
      <c r="A283" s="14" t="s">
        <v>553</v>
      </c>
      <c r="B283" s="15"/>
      <c r="C283" s="15"/>
      <c r="D283" s="5"/>
      <c r="E283" s="13" t="s">
        <v>554</v>
      </c>
      <c r="F283" s="9">
        <v>157.19999999999999</v>
      </c>
      <c r="G283" s="7"/>
      <c r="H283" s="8">
        <f t="shared" si="4"/>
        <v>166.63200000000001</v>
      </c>
      <c r="I283" s="9">
        <v>363.86660799999999</v>
      </c>
    </row>
    <row r="284" spans="1:9" ht="25.5">
      <c r="A284" s="16" t="s">
        <v>555</v>
      </c>
      <c r="B284" s="15"/>
      <c r="C284" s="15"/>
      <c r="D284" s="5"/>
      <c r="E284" s="12" t="s">
        <v>556</v>
      </c>
      <c r="F284" s="8">
        <v>172.19803125000001</v>
      </c>
      <c r="G284" s="6"/>
      <c r="H284" s="8">
        <f t="shared" si="4"/>
        <v>182.52991312500004</v>
      </c>
      <c r="I284" s="8">
        <v>393.642</v>
      </c>
    </row>
    <row r="285" spans="1:9" ht="25.5">
      <c r="A285" s="14" t="s">
        <v>557</v>
      </c>
      <c r="B285" s="15"/>
      <c r="C285" s="15"/>
      <c r="D285" s="5"/>
      <c r="E285" s="13" t="s">
        <v>558</v>
      </c>
      <c r="F285" s="9">
        <v>172.19803125000001</v>
      </c>
      <c r="G285" s="7"/>
      <c r="H285" s="8">
        <f t="shared" si="4"/>
        <v>182.52991312500004</v>
      </c>
      <c r="I285" s="9">
        <v>393.642</v>
      </c>
    </row>
    <row r="286" spans="1:9" ht="25.5">
      <c r="A286" s="16" t="s">
        <v>559</v>
      </c>
      <c r="B286" s="15"/>
      <c r="C286" s="15"/>
      <c r="D286" s="5"/>
      <c r="E286" s="12" t="s">
        <v>560</v>
      </c>
      <c r="F286" s="8">
        <v>172.19803125000001</v>
      </c>
      <c r="G286" s="6"/>
      <c r="H286" s="8">
        <f t="shared" si="4"/>
        <v>182.52991312500004</v>
      </c>
      <c r="I286" s="8">
        <v>393.642</v>
      </c>
    </row>
    <row r="287" spans="1:9" ht="25.5">
      <c r="A287" s="14" t="s">
        <v>561</v>
      </c>
      <c r="B287" s="15"/>
      <c r="C287" s="15"/>
      <c r="D287" s="5"/>
      <c r="E287" s="13" t="s">
        <v>562</v>
      </c>
      <c r="F287" s="9">
        <v>171.19803125000001</v>
      </c>
      <c r="G287" s="7"/>
      <c r="H287" s="8">
        <f t="shared" si="4"/>
        <v>181.46991312500003</v>
      </c>
      <c r="I287" s="9">
        <v>391.642</v>
      </c>
    </row>
    <row r="288" spans="1:9" ht="25.5">
      <c r="A288" s="16" t="s">
        <v>563</v>
      </c>
      <c r="B288" s="15"/>
      <c r="C288" s="15"/>
      <c r="D288" s="5"/>
      <c r="E288" s="12" t="s">
        <v>564</v>
      </c>
      <c r="F288" s="8">
        <v>172.19803125000001</v>
      </c>
      <c r="G288" s="6"/>
      <c r="H288" s="8">
        <f t="shared" si="4"/>
        <v>182.52991312500004</v>
      </c>
      <c r="I288" s="8">
        <v>393.642</v>
      </c>
    </row>
    <row r="289" spans="1:9" ht="51">
      <c r="A289" s="14" t="s">
        <v>565</v>
      </c>
      <c r="B289" s="15"/>
      <c r="C289" s="15"/>
      <c r="D289" s="5"/>
      <c r="E289" s="13" t="s">
        <v>566</v>
      </c>
      <c r="F289" s="9">
        <v>159.91816249999999</v>
      </c>
      <c r="G289" s="7"/>
      <c r="H289" s="8">
        <f t="shared" si="4"/>
        <v>169.51325224999999</v>
      </c>
      <c r="I289" s="9">
        <v>366.9228</v>
      </c>
    </row>
    <row r="290" spans="1:9" ht="25.5">
      <c r="A290" s="16" t="s">
        <v>567</v>
      </c>
      <c r="B290" s="15"/>
      <c r="C290" s="15"/>
      <c r="D290" s="5"/>
      <c r="E290" s="12" t="s">
        <v>568</v>
      </c>
      <c r="F290" s="8">
        <v>159.91816249999999</v>
      </c>
      <c r="G290" s="6"/>
      <c r="H290" s="8">
        <f t="shared" si="4"/>
        <v>169.51325224999999</v>
      </c>
      <c r="I290" s="8">
        <v>366.9228</v>
      </c>
    </row>
    <row r="291" spans="1:9" ht="25.5">
      <c r="A291" s="14" t="s">
        <v>569</v>
      </c>
      <c r="B291" s="15"/>
      <c r="C291" s="15"/>
      <c r="D291" s="5"/>
      <c r="E291" s="13" t="s">
        <v>570</v>
      </c>
      <c r="F291" s="9">
        <v>159.91816249999999</v>
      </c>
      <c r="G291" s="7"/>
      <c r="H291" s="8">
        <f t="shared" si="4"/>
        <v>169.51325224999999</v>
      </c>
      <c r="I291" s="9">
        <v>366.9228</v>
      </c>
    </row>
    <row r="292" spans="1:9" ht="25.5">
      <c r="A292" s="16" t="s">
        <v>571</v>
      </c>
      <c r="B292" s="15"/>
      <c r="C292" s="15"/>
      <c r="D292" s="5"/>
      <c r="E292" s="12" t="s">
        <v>572</v>
      </c>
      <c r="F292" s="8">
        <v>159.91816249999999</v>
      </c>
      <c r="G292" s="6"/>
      <c r="H292" s="8">
        <f t="shared" si="4"/>
        <v>169.51325224999999</v>
      </c>
      <c r="I292" s="8">
        <v>366.9228</v>
      </c>
    </row>
    <row r="293" spans="1:9" ht="25.5">
      <c r="A293" s="14" t="s">
        <v>573</v>
      </c>
      <c r="B293" s="15"/>
      <c r="C293" s="15"/>
      <c r="D293" s="5"/>
      <c r="E293" s="13" t="s">
        <v>574</v>
      </c>
      <c r="F293" s="9">
        <v>159.91816249999999</v>
      </c>
      <c r="G293" s="7"/>
      <c r="H293" s="8">
        <f t="shared" si="4"/>
        <v>169.51325224999999</v>
      </c>
      <c r="I293" s="9">
        <v>366.9228</v>
      </c>
    </row>
    <row r="294" spans="1:9" ht="25.5">
      <c r="A294" s="16" t="s">
        <v>575</v>
      </c>
      <c r="B294" s="15"/>
      <c r="C294" s="15"/>
      <c r="D294" s="5"/>
      <c r="E294" s="12" t="s">
        <v>576</v>
      </c>
      <c r="F294" s="8">
        <v>170.2</v>
      </c>
      <c r="G294" s="6"/>
      <c r="H294" s="8">
        <f t="shared" si="4"/>
        <v>180.41200000000001</v>
      </c>
      <c r="I294" s="8">
        <v>390.51839999999999</v>
      </c>
    </row>
    <row r="295" spans="1:9" ht="25.5">
      <c r="A295" s="14" t="s">
        <v>577</v>
      </c>
      <c r="B295" s="15"/>
      <c r="C295" s="15"/>
      <c r="D295" s="5"/>
      <c r="E295" s="13" t="s">
        <v>578</v>
      </c>
      <c r="F295" s="9">
        <v>170.2</v>
      </c>
      <c r="G295" s="7"/>
      <c r="H295" s="8">
        <f t="shared" si="4"/>
        <v>180.41200000000001</v>
      </c>
      <c r="I295" s="9">
        <v>390.51839999999999</v>
      </c>
    </row>
    <row r="296" spans="1:9" ht="21" customHeight="1">
      <c r="A296" s="16" t="s">
        <v>579</v>
      </c>
      <c r="B296" s="15"/>
      <c r="C296" s="15"/>
      <c r="D296" s="5"/>
      <c r="E296" s="12" t="s">
        <v>580</v>
      </c>
      <c r="F296" s="8">
        <v>170.2</v>
      </c>
      <c r="G296" s="6"/>
      <c r="H296" s="8">
        <f t="shared" si="4"/>
        <v>180.41200000000001</v>
      </c>
      <c r="I296" s="8">
        <v>390.51839999999999</v>
      </c>
    </row>
    <row r="297" spans="1:9" ht="25.5">
      <c r="A297" s="14" t="s">
        <v>581</v>
      </c>
      <c r="B297" s="15"/>
      <c r="C297" s="15"/>
      <c r="D297" s="5"/>
      <c r="E297" s="13" t="s">
        <v>582</v>
      </c>
      <c r="F297" s="9">
        <v>170.2</v>
      </c>
      <c r="G297" s="7"/>
      <c r="H297" s="8">
        <f t="shared" si="4"/>
        <v>180.41200000000001</v>
      </c>
      <c r="I297" s="9">
        <v>390.51839999999999</v>
      </c>
    </row>
    <row r="298" spans="1:9" ht="25.5">
      <c r="A298" s="16" t="s">
        <v>583</v>
      </c>
      <c r="B298" s="15"/>
      <c r="C298" s="15"/>
      <c r="D298" s="5"/>
      <c r="E298" s="12" t="s">
        <v>584</v>
      </c>
      <c r="F298" s="8">
        <v>155.19999999999999</v>
      </c>
      <c r="G298" s="6"/>
      <c r="H298" s="8">
        <f t="shared" si="4"/>
        <v>164.512</v>
      </c>
      <c r="I298" s="8">
        <v>361.61940800000002</v>
      </c>
    </row>
    <row r="299" spans="1:9" ht="25.5">
      <c r="A299" s="14" t="s">
        <v>585</v>
      </c>
      <c r="B299" s="15"/>
      <c r="C299" s="15"/>
      <c r="D299" s="5"/>
      <c r="E299" s="13" t="s">
        <v>586</v>
      </c>
      <c r="F299" s="9">
        <v>155.19999999999999</v>
      </c>
      <c r="G299" s="7"/>
      <c r="H299" s="8">
        <f t="shared" si="4"/>
        <v>164.512</v>
      </c>
      <c r="I299" s="9">
        <v>361.61940800000002</v>
      </c>
    </row>
    <row r="300" spans="1:9" ht="24" customHeight="1">
      <c r="A300" s="16" t="s">
        <v>587</v>
      </c>
      <c r="B300" s="15"/>
      <c r="C300" s="15"/>
      <c r="D300" s="5"/>
      <c r="E300" s="12" t="s">
        <v>588</v>
      </c>
      <c r="F300" s="8">
        <v>155.19999999999999</v>
      </c>
      <c r="G300" s="6"/>
      <c r="H300" s="8">
        <f t="shared" si="4"/>
        <v>164.512</v>
      </c>
      <c r="I300" s="8">
        <v>361.61940800000002</v>
      </c>
    </row>
    <row r="301" spans="1:9" ht="23.25" customHeight="1">
      <c r="A301" s="14" t="s">
        <v>589</v>
      </c>
      <c r="B301" s="15"/>
      <c r="C301" s="15"/>
      <c r="D301" s="5"/>
      <c r="E301" s="13" t="s">
        <v>590</v>
      </c>
      <c r="F301" s="9">
        <v>155.19999999999999</v>
      </c>
      <c r="G301" s="7"/>
      <c r="H301" s="8">
        <f t="shared" si="4"/>
        <v>164.512</v>
      </c>
      <c r="I301" s="9">
        <v>361.61940800000002</v>
      </c>
    </row>
    <row r="302" spans="1:9" ht="25.5">
      <c r="A302" s="16" t="s">
        <v>591</v>
      </c>
      <c r="B302" s="15"/>
      <c r="C302" s="15"/>
      <c r="D302" s="5"/>
      <c r="E302" s="12" t="s">
        <v>592</v>
      </c>
      <c r="F302" s="8">
        <v>180.2</v>
      </c>
      <c r="G302" s="6"/>
      <c r="H302" s="8">
        <f t="shared" si="4"/>
        <v>191.012</v>
      </c>
      <c r="I302" s="8">
        <v>401.75439999999998</v>
      </c>
    </row>
    <row r="303" spans="1:9" ht="25.5">
      <c r="A303" s="14" t="s">
        <v>593</v>
      </c>
      <c r="B303" s="15"/>
      <c r="C303" s="15"/>
      <c r="D303" s="5"/>
      <c r="E303" s="13" t="s">
        <v>594</v>
      </c>
      <c r="F303" s="9">
        <v>180.2</v>
      </c>
      <c r="G303" s="7"/>
      <c r="H303" s="8">
        <f t="shared" si="4"/>
        <v>191.012</v>
      </c>
      <c r="I303" s="9">
        <v>401.75439999999998</v>
      </c>
    </row>
    <row r="304" spans="1:9" ht="24.75" customHeight="1">
      <c r="A304" s="16" t="s">
        <v>595</v>
      </c>
      <c r="B304" s="15"/>
      <c r="C304" s="15"/>
      <c r="D304" s="5"/>
      <c r="E304" s="12" t="s">
        <v>596</v>
      </c>
      <c r="F304" s="8">
        <v>180.2</v>
      </c>
      <c r="G304" s="6"/>
      <c r="H304" s="8">
        <f t="shared" si="4"/>
        <v>191.012</v>
      </c>
      <c r="I304" s="8">
        <v>401.75439999999998</v>
      </c>
    </row>
    <row r="305" spans="1:9" ht="27" customHeight="1">
      <c r="A305" s="14" t="s">
        <v>597</v>
      </c>
      <c r="B305" s="15"/>
      <c r="C305" s="15"/>
      <c r="D305" s="5"/>
      <c r="E305" s="13" t="s">
        <v>598</v>
      </c>
      <c r="F305" s="9">
        <v>180.2</v>
      </c>
      <c r="G305" s="7"/>
      <c r="H305" s="8">
        <f t="shared" si="4"/>
        <v>191.012</v>
      </c>
      <c r="I305" s="9">
        <v>389.709408</v>
      </c>
    </row>
    <row r="306" spans="1:9" ht="25.5">
      <c r="A306" s="16" t="s">
        <v>599</v>
      </c>
      <c r="B306" s="15"/>
      <c r="C306" s="15"/>
      <c r="D306" s="5"/>
      <c r="E306" s="12" t="s">
        <v>600</v>
      </c>
      <c r="F306" s="8">
        <v>159.19999999999999</v>
      </c>
      <c r="G306" s="6"/>
      <c r="H306" s="8">
        <f t="shared" si="4"/>
        <v>168.75200000000001</v>
      </c>
      <c r="I306" s="8">
        <v>366.11380800000001</v>
      </c>
    </row>
    <row r="307" spans="1:9" ht="25.5">
      <c r="A307" s="14" t="s">
        <v>601</v>
      </c>
      <c r="B307" s="15"/>
      <c r="C307" s="15"/>
      <c r="D307" s="5"/>
      <c r="E307" s="13" t="s">
        <v>602</v>
      </c>
      <c r="F307" s="9">
        <v>159.19999999999999</v>
      </c>
      <c r="G307" s="7"/>
      <c r="H307" s="8">
        <f t="shared" si="4"/>
        <v>168.75200000000001</v>
      </c>
      <c r="I307" s="9">
        <v>366.11380800000001</v>
      </c>
    </row>
    <row r="308" spans="1:9" ht="25.5">
      <c r="A308" s="16" t="s">
        <v>603</v>
      </c>
      <c r="B308" s="15"/>
      <c r="C308" s="15"/>
      <c r="D308" s="5"/>
      <c r="E308" s="12" t="s">
        <v>604</v>
      </c>
      <c r="F308" s="8">
        <v>158.19999999999999</v>
      </c>
      <c r="G308" s="6"/>
      <c r="H308" s="8">
        <f t="shared" si="4"/>
        <v>167.69200000000001</v>
      </c>
      <c r="I308" s="8">
        <v>364.11380800000001</v>
      </c>
    </row>
    <row r="309" spans="1:9" ht="30" customHeight="1">
      <c r="A309" s="14" t="s">
        <v>605</v>
      </c>
      <c r="B309" s="15"/>
      <c r="C309" s="15"/>
      <c r="D309" s="5"/>
      <c r="E309" s="13" t="s">
        <v>606</v>
      </c>
      <c r="F309" s="9">
        <v>159.19999999999999</v>
      </c>
      <c r="G309" s="7"/>
      <c r="H309" s="8">
        <f t="shared" si="4"/>
        <v>168.75200000000001</v>
      </c>
      <c r="I309" s="9">
        <v>366.11380800000001</v>
      </c>
    </row>
    <row r="310" spans="1:9" ht="25.5">
      <c r="A310" s="16" t="s">
        <v>607</v>
      </c>
      <c r="B310" s="15"/>
      <c r="C310" s="15"/>
      <c r="D310" s="5"/>
      <c r="E310" s="12" t="s">
        <v>608</v>
      </c>
      <c r="F310" s="8">
        <v>159.19999999999999</v>
      </c>
      <c r="G310" s="6"/>
      <c r="H310" s="8">
        <f t="shared" si="4"/>
        <v>168.75200000000001</v>
      </c>
      <c r="I310" s="8">
        <v>366.11380800000001</v>
      </c>
    </row>
    <row r="311" spans="1:9" ht="25.5">
      <c r="A311" s="14" t="s">
        <v>609</v>
      </c>
      <c r="B311" s="15"/>
      <c r="C311" s="15"/>
      <c r="D311" s="5"/>
      <c r="E311" s="13" t="s">
        <v>610</v>
      </c>
      <c r="F311" s="9">
        <v>191.2</v>
      </c>
      <c r="G311" s="7"/>
      <c r="H311" s="8">
        <f t="shared" si="4"/>
        <v>202.672</v>
      </c>
      <c r="I311" s="9">
        <v>414.99040000000002</v>
      </c>
    </row>
    <row r="312" spans="1:9" ht="25.5">
      <c r="A312" s="16" t="s">
        <v>611</v>
      </c>
      <c r="B312" s="15"/>
      <c r="C312" s="15"/>
      <c r="D312" s="5"/>
      <c r="E312" s="12" t="s">
        <v>612</v>
      </c>
      <c r="F312" s="8">
        <v>191.2</v>
      </c>
      <c r="G312" s="6"/>
      <c r="H312" s="8">
        <f t="shared" si="4"/>
        <v>202.672</v>
      </c>
      <c r="I312" s="8">
        <v>414.99040000000002</v>
      </c>
    </row>
    <row r="313" spans="1:9" ht="21.75" customHeight="1">
      <c r="A313" s="14" t="s">
        <v>613</v>
      </c>
      <c r="B313" s="15"/>
      <c r="C313" s="15"/>
      <c r="D313" s="5"/>
      <c r="E313" s="13" t="s">
        <v>614</v>
      </c>
      <c r="F313" s="9">
        <v>412.2</v>
      </c>
      <c r="G313" s="7"/>
      <c r="H313" s="8">
        <f t="shared" si="4"/>
        <v>436.93200000000002</v>
      </c>
      <c r="I313" s="9">
        <v>996.75400000000002</v>
      </c>
    </row>
    <row r="314" spans="1:9" ht="25.5">
      <c r="A314" s="16" t="s">
        <v>615</v>
      </c>
      <c r="B314" s="15"/>
      <c r="C314" s="15"/>
      <c r="D314" s="5"/>
      <c r="E314" s="12" t="s">
        <v>616</v>
      </c>
      <c r="F314" s="8">
        <v>191.2</v>
      </c>
      <c r="G314" s="6"/>
      <c r="H314" s="8">
        <f t="shared" si="4"/>
        <v>202.672</v>
      </c>
      <c r="I314" s="8">
        <v>414.99040000000002</v>
      </c>
    </row>
    <row r="315" spans="1:9" ht="25.5">
      <c r="A315" s="14" t="s">
        <v>617</v>
      </c>
      <c r="B315" s="15"/>
      <c r="C315" s="15"/>
      <c r="D315" s="5"/>
      <c r="E315" s="13" t="s">
        <v>618</v>
      </c>
      <c r="F315" s="9">
        <v>191.2</v>
      </c>
      <c r="G315" s="7"/>
      <c r="H315" s="8">
        <f t="shared" si="4"/>
        <v>202.672</v>
      </c>
      <c r="I315" s="9">
        <v>414.99040000000002</v>
      </c>
    </row>
    <row r="316" spans="1:9" ht="25.5">
      <c r="A316" s="16" t="s">
        <v>619</v>
      </c>
      <c r="B316" s="15"/>
      <c r="C316" s="15"/>
      <c r="D316" s="5"/>
      <c r="E316" s="12" t="s">
        <v>620</v>
      </c>
      <c r="F316" s="8">
        <v>178.2</v>
      </c>
      <c r="G316" s="6"/>
      <c r="H316" s="8">
        <f t="shared" si="4"/>
        <v>188.892</v>
      </c>
      <c r="I316" s="8">
        <v>388.33860800000002</v>
      </c>
    </row>
    <row r="317" spans="1:9" ht="25.5">
      <c r="A317" s="14" t="s">
        <v>621</v>
      </c>
      <c r="B317" s="15"/>
      <c r="C317" s="15"/>
      <c r="D317" s="5"/>
      <c r="E317" s="13" t="s">
        <v>622</v>
      </c>
      <c r="F317" s="9">
        <v>177.2</v>
      </c>
      <c r="G317" s="7"/>
      <c r="H317" s="8">
        <f t="shared" si="4"/>
        <v>187.83199999999999</v>
      </c>
      <c r="I317" s="9">
        <v>386.33860800000002</v>
      </c>
    </row>
    <row r="318" spans="1:9" ht="25.5">
      <c r="A318" s="16" t="s">
        <v>623</v>
      </c>
      <c r="B318" s="15"/>
      <c r="C318" s="15"/>
      <c r="D318" s="5"/>
      <c r="E318" s="12" t="s">
        <v>624</v>
      </c>
      <c r="F318" s="8">
        <v>178.2</v>
      </c>
      <c r="G318" s="6"/>
      <c r="H318" s="8">
        <f t="shared" si="4"/>
        <v>188.892</v>
      </c>
      <c r="I318" s="8">
        <v>388.33860800000002</v>
      </c>
    </row>
    <row r="319" spans="1:9" ht="25.5">
      <c r="A319" s="14" t="s">
        <v>625</v>
      </c>
      <c r="B319" s="15"/>
      <c r="C319" s="15"/>
      <c r="D319" s="5"/>
      <c r="E319" s="13" t="s">
        <v>626</v>
      </c>
      <c r="F319" s="9">
        <v>178.2</v>
      </c>
      <c r="G319" s="7"/>
      <c r="H319" s="8">
        <f t="shared" si="4"/>
        <v>188.892</v>
      </c>
      <c r="I319" s="9">
        <v>388.33860800000002</v>
      </c>
    </row>
    <row r="320" spans="1:9" ht="25.5">
      <c r="A320" s="16" t="s">
        <v>627</v>
      </c>
      <c r="B320" s="15"/>
      <c r="C320" s="15"/>
      <c r="D320" s="5"/>
      <c r="E320" s="12" t="s">
        <v>628</v>
      </c>
      <c r="F320" s="8">
        <v>201.2</v>
      </c>
      <c r="G320" s="6"/>
      <c r="H320" s="8">
        <f t="shared" si="4"/>
        <v>213.27199999999999</v>
      </c>
      <c r="I320" s="8">
        <v>426.22640000000001</v>
      </c>
    </row>
    <row r="321" spans="1:9" ht="25.5">
      <c r="A321" s="14" t="s">
        <v>629</v>
      </c>
      <c r="B321" s="15"/>
      <c r="C321" s="15"/>
      <c r="D321" s="5"/>
      <c r="E321" s="13" t="s">
        <v>630</v>
      </c>
      <c r="F321" s="9">
        <v>201.2</v>
      </c>
      <c r="G321" s="7"/>
      <c r="H321" s="8">
        <f t="shared" si="4"/>
        <v>213.27199999999999</v>
      </c>
      <c r="I321" s="9">
        <v>426.22640000000001</v>
      </c>
    </row>
    <row r="322" spans="1:9" ht="25.5">
      <c r="A322" s="16" t="s">
        <v>631</v>
      </c>
      <c r="B322" s="15"/>
      <c r="C322" s="15"/>
      <c r="D322" s="5"/>
      <c r="E322" s="12" t="s">
        <v>632</v>
      </c>
      <c r="F322" s="8">
        <v>201.2</v>
      </c>
      <c r="G322" s="6"/>
      <c r="H322" s="8">
        <f t="shared" si="4"/>
        <v>213.27199999999999</v>
      </c>
      <c r="I322" s="8">
        <v>426.22640000000001</v>
      </c>
    </row>
    <row r="323" spans="1:9" ht="25.5">
      <c r="A323" s="14" t="s">
        <v>633</v>
      </c>
      <c r="B323" s="15"/>
      <c r="C323" s="15"/>
      <c r="D323" s="5"/>
      <c r="E323" s="13" t="s">
        <v>634</v>
      </c>
      <c r="F323" s="9">
        <v>201.2</v>
      </c>
      <c r="G323" s="7"/>
      <c r="H323" s="8">
        <f t="shared" si="4"/>
        <v>213.27199999999999</v>
      </c>
      <c r="I323" s="9">
        <v>414.18140799999998</v>
      </c>
    </row>
    <row r="324" spans="1:9" ht="25.5">
      <c r="A324" s="16" t="s">
        <v>635</v>
      </c>
      <c r="B324" s="15"/>
      <c r="C324" s="15"/>
      <c r="D324" s="5"/>
      <c r="E324" s="12" t="s">
        <v>636</v>
      </c>
      <c r="F324" s="8">
        <v>179.2</v>
      </c>
      <c r="G324" s="6"/>
      <c r="H324" s="8">
        <f t="shared" si="4"/>
        <v>189.952</v>
      </c>
      <c r="I324" s="8">
        <v>388.58580799999999</v>
      </c>
    </row>
    <row r="325" spans="1:9" ht="25.5">
      <c r="A325" s="14" t="s">
        <v>637</v>
      </c>
      <c r="B325" s="15"/>
      <c r="C325" s="15"/>
      <c r="D325" s="5"/>
      <c r="E325" s="13" t="s">
        <v>638</v>
      </c>
      <c r="F325" s="9">
        <v>179.2</v>
      </c>
      <c r="G325" s="7"/>
      <c r="H325" s="8">
        <f t="shared" si="4"/>
        <v>189.952</v>
      </c>
      <c r="I325" s="9">
        <v>388.58580799999999</v>
      </c>
    </row>
    <row r="326" spans="1:9" ht="25.5">
      <c r="A326" s="16" t="s">
        <v>639</v>
      </c>
      <c r="B326" s="15"/>
      <c r="C326" s="15"/>
      <c r="D326" s="5"/>
      <c r="E326" s="12" t="s">
        <v>640</v>
      </c>
      <c r="F326" s="8">
        <v>179.2</v>
      </c>
      <c r="G326" s="6"/>
      <c r="H326" s="8">
        <f t="shared" si="4"/>
        <v>189.952</v>
      </c>
      <c r="I326" s="8">
        <v>388.58580799999999</v>
      </c>
    </row>
    <row r="327" spans="1:9" ht="27" customHeight="1">
      <c r="A327" s="14" t="s">
        <v>641</v>
      </c>
      <c r="B327" s="15"/>
      <c r="C327" s="15"/>
      <c r="D327" s="5"/>
      <c r="E327" s="13" t="s">
        <v>642</v>
      </c>
      <c r="F327" s="9">
        <v>392.2</v>
      </c>
      <c r="G327" s="7"/>
      <c r="H327" s="8">
        <f t="shared" si="4"/>
        <v>415.73200000000003</v>
      </c>
      <c r="I327" s="9">
        <v>928.63120000000004</v>
      </c>
    </row>
    <row r="328" spans="1:9" ht="25.5">
      <c r="A328" s="16" t="s">
        <v>643</v>
      </c>
      <c r="B328" s="15"/>
      <c r="C328" s="15"/>
      <c r="D328" s="5"/>
      <c r="E328" s="12" t="s">
        <v>644</v>
      </c>
      <c r="F328" s="8">
        <v>179.2</v>
      </c>
      <c r="G328" s="6"/>
      <c r="H328" s="8">
        <f t="shared" si="4"/>
        <v>189.952</v>
      </c>
      <c r="I328" s="8">
        <v>388.58580799999999</v>
      </c>
    </row>
    <row r="329" spans="1:9" ht="25.5">
      <c r="A329" s="14" t="s">
        <v>645</v>
      </c>
      <c r="B329" s="15"/>
      <c r="C329" s="15"/>
      <c r="D329" s="5"/>
      <c r="E329" s="13" t="s">
        <v>646</v>
      </c>
      <c r="F329" s="9">
        <v>179.2</v>
      </c>
      <c r="G329" s="7"/>
      <c r="H329" s="8">
        <f t="shared" ref="H329:H392" si="5">F329*1.06</f>
        <v>189.952</v>
      </c>
      <c r="I329" s="9">
        <v>388.58580799999999</v>
      </c>
    </row>
    <row r="330" spans="1:9" ht="25.5">
      <c r="A330" s="16" t="s">
        <v>647</v>
      </c>
      <c r="B330" s="15"/>
      <c r="C330" s="15"/>
      <c r="D330" s="5"/>
      <c r="E330" s="12" t="s">
        <v>648</v>
      </c>
      <c r="F330" s="8">
        <v>20.232176218749998</v>
      </c>
      <c r="G330" s="6"/>
      <c r="H330" s="8">
        <f t="shared" si="5"/>
        <v>21.446106791875</v>
      </c>
      <c r="I330" s="8">
        <v>46.49456</v>
      </c>
    </row>
    <row r="331" spans="1:9" ht="25.5">
      <c r="A331" s="14" t="s">
        <v>649</v>
      </c>
      <c r="B331" s="15"/>
      <c r="C331" s="15"/>
      <c r="D331" s="5"/>
      <c r="E331" s="13" t="s">
        <v>650</v>
      </c>
      <c r="F331" s="9">
        <v>16.509819531249999</v>
      </c>
      <c r="G331" s="7"/>
      <c r="H331" s="8">
        <f t="shared" si="5"/>
        <v>17.500408703125</v>
      </c>
      <c r="I331" s="9">
        <v>37.842840000000002</v>
      </c>
    </row>
    <row r="332" spans="1:9" ht="25.5">
      <c r="A332" s="16" t="s">
        <v>651</v>
      </c>
      <c r="B332" s="15"/>
      <c r="C332" s="15"/>
      <c r="D332" s="5"/>
      <c r="E332" s="12" t="s">
        <v>652</v>
      </c>
      <c r="F332" s="8">
        <v>27.056496812500001</v>
      </c>
      <c r="G332" s="6"/>
      <c r="H332" s="8">
        <f t="shared" si="5"/>
        <v>28.679886621250002</v>
      </c>
      <c r="I332" s="8">
        <v>61.326079999999997</v>
      </c>
    </row>
    <row r="333" spans="1:9" ht="25.5">
      <c r="A333" s="14" t="s">
        <v>653</v>
      </c>
      <c r="B333" s="15"/>
      <c r="C333" s="15"/>
      <c r="D333" s="5"/>
      <c r="E333" s="13" t="s">
        <v>654</v>
      </c>
      <c r="F333" s="9">
        <v>16.509819531249999</v>
      </c>
      <c r="G333" s="7"/>
      <c r="H333" s="8">
        <f t="shared" si="5"/>
        <v>17.500408703125</v>
      </c>
      <c r="I333" s="9">
        <v>37.842840000000002</v>
      </c>
    </row>
    <row r="334" spans="1:9" ht="24.75" customHeight="1">
      <c r="A334" s="16" t="s">
        <v>655</v>
      </c>
      <c r="B334" s="15"/>
      <c r="C334" s="15"/>
      <c r="D334" s="5"/>
      <c r="E334" s="12" t="s">
        <v>656</v>
      </c>
      <c r="F334" s="8">
        <v>445</v>
      </c>
      <c r="G334" s="6"/>
      <c r="H334" s="8">
        <f t="shared" si="5"/>
        <v>471.70000000000005</v>
      </c>
      <c r="I334" s="8">
        <v>667.5</v>
      </c>
    </row>
    <row r="335" spans="1:9" ht="25.5">
      <c r="A335" s="14" t="s">
        <v>657</v>
      </c>
      <c r="B335" s="15"/>
      <c r="C335" s="15"/>
      <c r="D335" s="5"/>
      <c r="E335" s="13" t="s">
        <v>658</v>
      </c>
      <c r="F335" s="9">
        <v>565</v>
      </c>
      <c r="G335" s="7"/>
      <c r="H335" s="8">
        <f t="shared" si="5"/>
        <v>598.9</v>
      </c>
      <c r="I335" s="9">
        <v>847.5</v>
      </c>
    </row>
    <row r="336" spans="1:9" ht="21" customHeight="1">
      <c r="A336" s="16" t="s">
        <v>659</v>
      </c>
      <c r="B336" s="15"/>
      <c r="C336" s="15"/>
      <c r="D336" s="5"/>
      <c r="E336" s="12" t="s">
        <v>660</v>
      </c>
      <c r="F336" s="8">
        <v>420</v>
      </c>
      <c r="G336" s="6"/>
      <c r="H336" s="8">
        <f t="shared" si="5"/>
        <v>445.20000000000005</v>
      </c>
      <c r="I336" s="8">
        <v>630</v>
      </c>
    </row>
    <row r="337" spans="1:9" ht="25.5">
      <c r="A337" s="14" t="s">
        <v>661</v>
      </c>
      <c r="B337" s="15"/>
      <c r="C337" s="15"/>
      <c r="D337" s="5"/>
      <c r="E337" s="13" t="s">
        <v>662</v>
      </c>
      <c r="F337" s="9">
        <v>560</v>
      </c>
      <c r="G337" s="7"/>
      <c r="H337" s="8">
        <f t="shared" si="5"/>
        <v>593.6</v>
      </c>
      <c r="I337" s="9">
        <v>840</v>
      </c>
    </row>
    <row r="338" spans="1:9" ht="25.5">
      <c r="A338" s="16" t="s">
        <v>663</v>
      </c>
      <c r="B338" s="15"/>
      <c r="C338" s="15"/>
      <c r="D338" s="5"/>
      <c r="E338" s="12" t="s">
        <v>664</v>
      </c>
      <c r="F338" s="8">
        <v>65.557706999999994</v>
      </c>
      <c r="G338" s="6"/>
      <c r="H338" s="8">
        <f t="shared" si="5"/>
        <v>69.491169419999991</v>
      </c>
      <c r="I338" s="8">
        <v>124.36</v>
      </c>
    </row>
    <row r="339" spans="1:9" ht="25.5">
      <c r="A339" s="14" t="s">
        <v>665</v>
      </c>
      <c r="B339" s="15"/>
      <c r="C339" s="15"/>
      <c r="D339" s="5"/>
      <c r="E339" s="13" t="s">
        <v>666</v>
      </c>
      <c r="F339" s="9">
        <v>35.019639062499998</v>
      </c>
      <c r="G339" s="7"/>
      <c r="H339" s="8">
        <f t="shared" si="5"/>
        <v>37.120817406249998</v>
      </c>
      <c r="I339" s="9">
        <v>78.786799999999999</v>
      </c>
    </row>
    <row r="340" spans="1:9" ht="25.5">
      <c r="A340" s="16" t="s">
        <v>667</v>
      </c>
      <c r="B340" s="15"/>
      <c r="C340" s="15"/>
      <c r="D340" s="5"/>
      <c r="E340" s="12" t="s">
        <v>668</v>
      </c>
      <c r="F340" s="8">
        <v>35.019639062499998</v>
      </c>
      <c r="G340" s="6"/>
      <c r="H340" s="8">
        <f t="shared" si="5"/>
        <v>37.120817406249998</v>
      </c>
      <c r="I340" s="8">
        <v>78.786799999999999</v>
      </c>
    </row>
    <row r="341" spans="1:9" ht="25.5">
      <c r="A341" s="14" t="s">
        <v>669</v>
      </c>
      <c r="B341" s="15"/>
      <c r="C341" s="15"/>
      <c r="D341" s="5"/>
      <c r="E341" s="13" t="s">
        <v>670</v>
      </c>
      <c r="F341" s="9">
        <v>35.019639062499998</v>
      </c>
      <c r="G341" s="7"/>
      <c r="H341" s="8">
        <f t="shared" si="5"/>
        <v>37.120817406249998</v>
      </c>
      <c r="I341" s="9">
        <v>78.786799999999999</v>
      </c>
    </row>
    <row r="342" spans="1:9" ht="25.5">
      <c r="A342" s="16" t="s">
        <v>671</v>
      </c>
      <c r="B342" s="15"/>
      <c r="C342" s="15"/>
      <c r="D342" s="5"/>
      <c r="E342" s="12" t="s">
        <v>672</v>
      </c>
      <c r="F342" s="8">
        <v>35.019639062499998</v>
      </c>
      <c r="G342" s="6"/>
      <c r="H342" s="8">
        <f t="shared" si="5"/>
        <v>37.120817406249998</v>
      </c>
      <c r="I342" s="8">
        <v>78.786799999999999</v>
      </c>
    </row>
    <row r="343" spans="1:9" ht="25.5">
      <c r="A343" s="14" t="s">
        <v>673</v>
      </c>
      <c r="B343" s="15"/>
      <c r="C343" s="15"/>
      <c r="D343" s="5"/>
      <c r="E343" s="13" t="s">
        <v>674</v>
      </c>
      <c r="F343" s="9">
        <v>35.019639062499998</v>
      </c>
      <c r="G343" s="7"/>
      <c r="H343" s="8">
        <f t="shared" si="5"/>
        <v>37.120817406249998</v>
      </c>
      <c r="I343" s="9">
        <v>78.786799999999999</v>
      </c>
    </row>
    <row r="344" spans="1:9" ht="25.5">
      <c r="A344" s="16" t="s">
        <v>675</v>
      </c>
      <c r="B344" s="15"/>
      <c r="C344" s="15"/>
      <c r="D344" s="5"/>
      <c r="E344" s="12" t="s">
        <v>676</v>
      </c>
      <c r="F344" s="8">
        <v>35.019639062499998</v>
      </c>
      <c r="G344" s="6"/>
      <c r="H344" s="8">
        <f t="shared" si="5"/>
        <v>37.120817406249998</v>
      </c>
      <c r="I344" s="8">
        <v>78.786799999999999</v>
      </c>
    </row>
    <row r="345" spans="1:9" ht="25.5">
      <c r="A345" s="14" t="s">
        <v>677</v>
      </c>
      <c r="B345" s="15"/>
      <c r="C345" s="15"/>
      <c r="D345" s="5"/>
      <c r="E345" s="13" t="s">
        <v>678</v>
      </c>
      <c r="F345" s="9">
        <v>35.019639062499998</v>
      </c>
      <c r="G345" s="7"/>
      <c r="H345" s="8">
        <f t="shared" si="5"/>
        <v>37.120817406249998</v>
      </c>
      <c r="I345" s="9">
        <v>78.786799999999999</v>
      </c>
    </row>
    <row r="346" spans="1:9" ht="25.5">
      <c r="A346" s="16" t="s">
        <v>679</v>
      </c>
      <c r="B346" s="15"/>
      <c r="C346" s="15"/>
      <c r="D346" s="5"/>
      <c r="E346" s="12" t="s">
        <v>680</v>
      </c>
      <c r="F346" s="8">
        <v>35.019639062499998</v>
      </c>
      <c r="G346" s="6"/>
      <c r="H346" s="8">
        <f t="shared" si="5"/>
        <v>37.120817406249998</v>
      </c>
      <c r="I346" s="8">
        <v>78.786799999999999</v>
      </c>
    </row>
    <row r="347" spans="1:9" ht="25.5">
      <c r="A347" s="14" t="s">
        <v>681</v>
      </c>
      <c r="B347" s="15"/>
      <c r="C347" s="15"/>
      <c r="D347" s="5"/>
      <c r="E347" s="13" t="s">
        <v>682</v>
      </c>
      <c r="F347" s="9">
        <v>36.019639062499998</v>
      </c>
      <c r="G347" s="7"/>
      <c r="H347" s="8">
        <f t="shared" si="5"/>
        <v>38.18081740625</v>
      </c>
      <c r="I347" s="9">
        <v>80.786799999999999</v>
      </c>
    </row>
    <row r="348" spans="1:9" ht="25.5">
      <c r="A348" s="16" t="s">
        <v>683</v>
      </c>
      <c r="B348" s="15"/>
      <c r="C348" s="15"/>
      <c r="D348" s="5"/>
      <c r="E348" s="12" t="s">
        <v>684</v>
      </c>
      <c r="F348" s="8">
        <v>35.455645625000002</v>
      </c>
      <c r="G348" s="6"/>
      <c r="H348" s="8">
        <f t="shared" si="5"/>
        <v>37.582984362500007</v>
      </c>
      <c r="I348" s="8">
        <v>80.786799999999999</v>
      </c>
    </row>
    <row r="349" spans="1:9" ht="25.5">
      <c r="A349" s="14" t="s">
        <v>685</v>
      </c>
      <c r="B349" s="15"/>
      <c r="C349" s="15"/>
      <c r="D349" s="5"/>
      <c r="E349" s="13" t="s">
        <v>686</v>
      </c>
      <c r="F349" s="9">
        <v>37.711619374999998</v>
      </c>
      <c r="G349" s="7"/>
      <c r="H349" s="8">
        <f t="shared" si="5"/>
        <v>39.974316537500002</v>
      </c>
      <c r="I349" s="9">
        <v>84.157600000000002</v>
      </c>
    </row>
    <row r="350" spans="1:9" ht="25.5">
      <c r="A350" s="16" t="s">
        <v>687</v>
      </c>
      <c r="B350" s="15"/>
      <c r="C350" s="15"/>
      <c r="D350" s="5"/>
      <c r="E350" s="12" t="s">
        <v>688</v>
      </c>
      <c r="F350" s="8">
        <v>41.659573437500001</v>
      </c>
      <c r="G350" s="6"/>
      <c r="H350" s="8">
        <f t="shared" si="5"/>
        <v>44.159147843750006</v>
      </c>
      <c r="I350" s="8">
        <v>93.1464</v>
      </c>
    </row>
    <row r="351" spans="1:9" ht="25.5">
      <c r="A351" s="14" t="s">
        <v>689</v>
      </c>
      <c r="B351" s="15"/>
      <c r="C351" s="15"/>
      <c r="D351" s="5"/>
      <c r="E351" s="13" t="s">
        <v>690</v>
      </c>
      <c r="F351" s="9">
        <v>41.659573437500001</v>
      </c>
      <c r="G351" s="7"/>
      <c r="H351" s="8">
        <f t="shared" si="5"/>
        <v>44.159147843750006</v>
      </c>
      <c r="I351" s="9">
        <v>93.1464</v>
      </c>
    </row>
    <row r="352" spans="1:9" ht="25.5">
      <c r="A352" s="16" t="s">
        <v>691</v>
      </c>
      <c r="B352" s="15"/>
      <c r="C352" s="15"/>
      <c r="D352" s="5"/>
      <c r="E352" s="12" t="s">
        <v>692</v>
      </c>
      <c r="F352" s="8">
        <v>41.659573437500001</v>
      </c>
      <c r="G352" s="6"/>
      <c r="H352" s="8">
        <f t="shared" si="5"/>
        <v>44.159147843750006</v>
      </c>
      <c r="I352" s="8">
        <v>93.1464</v>
      </c>
    </row>
    <row r="353" spans="1:9" ht="25.5">
      <c r="A353" s="14" t="s">
        <v>693</v>
      </c>
      <c r="B353" s="15"/>
      <c r="C353" s="15"/>
      <c r="D353" s="5"/>
      <c r="E353" s="13" t="s">
        <v>694</v>
      </c>
      <c r="F353" s="9">
        <v>41.659573437500001</v>
      </c>
      <c r="G353" s="7"/>
      <c r="H353" s="8">
        <f t="shared" si="5"/>
        <v>44.159147843750006</v>
      </c>
      <c r="I353" s="9">
        <v>93.1464</v>
      </c>
    </row>
    <row r="354" spans="1:9" ht="25.5">
      <c r="A354" s="16" t="s">
        <v>695</v>
      </c>
      <c r="B354" s="15"/>
      <c r="C354" s="15"/>
      <c r="D354" s="5"/>
      <c r="E354" s="12" t="s">
        <v>696</v>
      </c>
      <c r="F354" s="8">
        <v>40.531586562500003</v>
      </c>
      <c r="G354" s="6"/>
      <c r="H354" s="8">
        <f t="shared" si="5"/>
        <v>42.963481756250005</v>
      </c>
      <c r="I354" s="8">
        <v>90.899199999999993</v>
      </c>
    </row>
    <row r="355" spans="1:9" ht="25.5">
      <c r="A355" s="14" t="s">
        <v>697</v>
      </c>
      <c r="B355" s="15"/>
      <c r="C355" s="15"/>
      <c r="D355" s="5"/>
      <c r="E355" s="13" t="s">
        <v>698</v>
      </c>
      <c r="F355" s="9">
        <v>39.531586562500003</v>
      </c>
      <c r="G355" s="7"/>
      <c r="H355" s="8">
        <f t="shared" si="5"/>
        <v>41.903481756250002</v>
      </c>
      <c r="I355" s="9">
        <v>88.899199999999993</v>
      </c>
    </row>
    <row r="356" spans="1:9" ht="25.5">
      <c r="A356" s="16" t="s">
        <v>699</v>
      </c>
      <c r="B356" s="15"/>
      <c r="C356" s="15"/>
      <c r="D356" s="5"/>
      <c r="E356" s="12" t="s">
        <v>700</v>
      </c>
      <c r="F356" s="8">
        <v>40.531586562500003</v>
      </c>
      <c r="G356" s="6"/>
      <c r="H356" s="8">
        <f t="shared" si="5"/>
        <v>42.963481756250005</v>
      </c>
      <c r="I356" s="8">
        <v>90.899199999999993</v>
      </c>
    </row>
    <row r="357" spans="1:9" ht="25.5">
      <c r="A357" s="14" t="s">
        <v>701</v>
      </c>
      <c r="B357" s="15"/>
      <c r="C357" s="15"/>
      <c r="D357" s="5"/>
      <c r="E357" s="13" t="s">
        <v>702</v>
      </c>
      <c r="F357" s="9">
        <v>39.531586562500003</v>
      </c>
      <c r="G357" s="7"/>
      <c r="H357" s="8">
        <f t="shared" si="5"/>
        <v>41.903481756250002</v>
      </c>
      <c r="I357" s="9">
        <v>88.899199999999993</v>
      </c>
    </row>
    <row r="358" spans="1:9" ht="25.5">
      <c r="A358" s="16" t="s">
        <v>703</v>
      </c>
      <c r="B358" s="15"/>
      <c r="C358" s="15"/>
      <c r="D358" s="5"/>
      <c r="E358" s="12" t="s">
        <v>704</v>
      </c>
      <c r="F358" s="8">
        <v>34.455645625000002</v>
      </c>
      <c r="G358" s="6"/>
      <c r="H358" s="8">
        <f t="shared" si="5"/>
        <v>36.522984362500004</v>
      </c>
      <c r="I358" s="8">
        <v>77.663200000000003</v>
      </c>
    </row>
    <row r="359" spans="1:9" ht="25.5">
      <c r="A359" s="14" t="s">
        <v>705</v>
      </c>
      <c r="B359" s="15"/>
      <c r="C359" s="15"/>
      <c r="D359" s="5"/>
      <c r="E359" s="13" t="s">
        <v>706</v>
      </c>
      <c r="F359" s="9">
        <v>34.455645625000002</v>
      </c>
      <c r="G359" s="7"/>
      <c r="H359" s="8">
        <f t="shared" si="5"/>
        <v>36.522984362500004</v>
      </c>
      <c r="I359" s="9">
        <v>77.663200000000003</v>
      </c>
    </row>
    <row r="360" spans="1:9" ht="25.5">
      <c r="A360" s="16" t="s">
        <v>707</v>
      </c>
      <c r="B360" s="15"/>
      <c r="C360" s="15"/>
      <c r="D360" s="5"/>
      <c r="E360" s="12" t="s">
        <v>708</v>
      </c>
      <c r="F360" s="8">
        <v>34.455645625000002</v>
      </c>
      <c r="G360" s="6"/>
      <c r="H360" s="8">
        <f t="shared" si="5"/>
        <v>36.522984362500004</v>
      </c>
      <c r="I360" s="8">
        <v>77.663200000000003</v>
      </c>
    </row>
    <row r="361" spans="1:9" ht="25.5">
      <c r="A361" s="14" t="s">
        <v>709</v>
      </c>
      <c r="B361" s="15"/>
      <c r="C361" s="15"/>
      <c r="D361" s="5"/>
      <c r="E361" s="13" t="s">
        <v>710</v>
      </c>
      <c r="F361" s="9">
        <v>34.455645625000002</v>
      </c>
      <c r="G361" s="7"/>
      <c r="H361" s="8">
        <f t="shared" si="5"/>
        <v>36.522984362500004</v>
      </c>
      <c r="I361" s="9">
        <v>77.663200000000003</v>
      </c>
    </row>
    <row r="362" spans="1:9" ht="25.5">
      <c r="A362" s="16" t="s">
        <v>711</v>
      </c>
      <c r="B362" s="15"/>
      <c r="C362" s="15"/>
      <c r="D362" s="5"/>
      <c r="E362" s="12" t="s">
        <v>712</v>
      </c>
      <c r="F362" s="8">
        <v>39.531586562500003</v>
      </c>
      <c r="G362" s="6"/>
      <c r="H362" s="8">
        <f t="shared" si="5"/>
        <v>41.903481756250002</v>
      </c>
      <c r="I362" s="8">
        <v>88.899199999999993</v>
      </c>
    </row>
    <row r="363" spans="1:9" ht="25.5">
      <c r="A363" s="14" t="s">
        <v>713</v>
      </c>
      <c r="B363" s="15"/>
      <c r="C363" s="15"/>
      <c r="D363" s="5"/>
      <c r="E363" s="13" t="s">
        <v>714</v>
      </c>
      <c r="F363" s="9">
        <v>39.531586562500003</v>
      </c>
      <c r="G363" s="7"/>
      <c r="H363" s="8">
        <f t="shared" si="5"/>
        <v>41.903481756250002</v>
      </c>
      <c r="I363" s="9">
        <v>88.899199999999993</v>
      </c>
    </row>
    <row r="364" spans="1:9" ht="25.5">
      <c r="A364" s="16" t="s">
        <v>715</v>
      </c>
      <c r="B364" s="15"/>
      <c r="C364" s="15"/>
      <c r="D364" s="5"/>
      <c r="E364" s="12" t="s">
        <v>716</v>
      </c>
      <c r="F364" s="8">
        <v>39.531586562500003</v>
      </c>
      <c r="G364" s="6"/>
      <c r="H364" s="8">
        <f t="shared" si="5"/>
        <v>41.903481756250002</v>
      </c>
      <c r="I364" s="8">
        <v>88.899199999999993</v>
      </c>
    </row>
    <row r="365" spans="1:9" ht="25.5">
      <c r="A365" s="14" t="s">
        <v>717</v>
      </c>
      <c r="B365" s="15"/>
      <c r="C365" s="15"/>
      <c r="D365" s="5"/>
      <c r="E365" s="13" t="s">
        <v>718</v>
      </c>
      <c r="F365" s="9">
        <v>39.531586562500003</v>
      </c>
      <c r="G365" s="7"/>
      <c r="H365" s="8">
        <f t="shared" si="5"/>
        <v>41.903481756250002</v>
      </c>
      <c r="I365" s="9">
        <v>88.899199999999993</v>
      </c>
    </row>
    <row r="366" spans="1:9" ht="25.5">
      <c r="A366" s="16" t="s">
        <v>719</v>
      </c>
      <c r="B366" s="15"/>
      <c r="C366" s="15"/>
      <c r="D366" s="5"/>
      <c r="E366" s="12" t="s">
        <v>720</v>
      </c>
      <c r="F366" s="8">
        <v>39.531586562500003</v>
      </c>
      <c r="G366" s="6"/>
      <c r="H366" s="8">
        <f t="shared" si="5"/>
        <v>41.903481756250002</v>
      </c>
      <c r="I366" s="8">
        <v>88.899199999999993</v>
      </c>
    </row>
    <row r="367" spans="1:9" ht="25.5">
      <c r="A367" s="14" t="s">
        <v>721</v>
      </c>
      <c r="B367" s="15"/>
      <c r="C367" s="15"/>
      <c r="D367" s="5"/>
      <c r="E367" s="13" t="s">
        <v>722</v>
      </c>
      <c r="F367" s="9">
        <v>40.531586562500003</v>
      </c>
      <c r="G367" s="7"/>
      <c r="H367" s="8">
        <f t="shared" si="5"/>
        <v>42.963481756250005</v>
      </c>
      <c r="I367" s="9">
        <v>90.899199999999993</v>
      </c>
    </row>
    <row r="368" spans="1:9" ht="25.5">
      <c r="A368" s="16" t="s">
        <v>723</v>
      </c>
      <c r="B368" s="15"/>
      <c r="C368" s="15"/>
      <c r="D368" s="5"/>
      <c r="E368" s="12" t="s">
        <v>724</v>
      </c>
      <c r="F368" s="8">
        <v>125.438621875</v>
      </c>
      <c r="G368" s="6"/>
      <c r="H368" s="8">
        <f t="shared" si="5"/>
        <v>132.96493918749999</v>
      </c>
      <c r="I368" s="8">
        <v>281.41680000000002</v>
      </c>
    </row>
    <row r="369" spans="1:9" ht="25.5">
      <c r="A369" s="14" t="s">
        <v>725</v>
      </c>
      <c r="B369" s="15"/>
      <c r="C369" s="15"/>
      <c r="D369" s="5"/>
      <c r="E369" s="13" t="s">
        <v>726</v>
      </c>
      <c r="F369" s="9">
        <v>37.711619374999998</v>
      </c>
      <c r="G369" s="7"/>
      <c r="H369" s="8">
        <f t="shared" si="5"/>
        <v>39.974316537500002</v>
      </c>
      <c r="I369" s="9">
        <v>84.157600000000002</v>
      </c>
    </row>
    <row r="370" spans="1:9" ht="38.25">
      <c r="A370" s="16" t="s">
        <v>727</v>
      </c>
      <c r="B370" s="15"/>
      <c r="C370" s="15"/>
      <c r="D370" s="5"/>
      <c r="E370" s="12" t="s">
        <v>728</v>
      </c>
      <c r="F370" s="8">
        <v>37.711619374999998</v>
      </c>
      <c r="G370" s="6"/>
      <c r="H370" s="8">
        <f t="shared" si="5"/>
        <v>39.974316537500002</v>
      </c>
      <c r="I370" s="8">
        <v>84.157600000000002</v>
      </c>
    </row>
    <row r="371" spans="1:9" ht="25.5">
      <c r="A371" s="14" t="s">
        <v>729</v>
      </c>
      <c r="B371" s="15"/>
      <c r="C371" s="15"/>
      <c r="D371" s="5"/>
      <c r="E371" s="13" t="s">
        <v>730</v>
      </c>
      <c r="F371" s="9">
        <v>37.711619374999998</v>
      </c>
      <c r="G371" s="7"/>
      <c r="H371" s="8">
        <f t="shared" si="5"/>
        <v>39.974316537500002</v>
      </c>
      <c r="I371" s="9">
        <v>84.157600000000002</v>
      </c>
    </row>
    <row r="372" spans="1:9" ht="25.5">
      <c r="A372" s="16" t="s">
        <v>731</v>
      </c>
      <c r="B372" s="15"/>
      <c r="C372" s="15"/>
      <c r="D372" s="5"/>
      <c r="E372" s="12" t="s">
        <v>732</v>
      </c>
      <c r="F372" s="8">
        <v>37.711619374999998</v>
      </c>
      <c r="G372" s="6"/>
      <c r="H372" s="8">
        <f t="shared" si="5"/>
        <v>39.974316537500002</v>
      </c>
      <c r="I372" s="8">
        <v>84.157600000000002</v>
      </c>
    </row>
    <row r="373" spans="1:9" ht="25.5">
      <c r="A373" s="14" t="s">
        <v>733</v>
      </c>
      <c r="B373" s="15"/>
      <c r="C373" s="15"/>
      <c r="D373" s="5"/>
      <c r="E373" s="13" t="s">
        <v>734</v>
      </c>
      <c r="F373" s="9">
        <v>37.711619374999998</v>
      </c>
      <c r="G373" s="7"/>
      <c r="H373" s="8">
        <f t="shared" si="5"/>
        <v>39.974316537500002</v>
      </c>
      <c r="I373" s="9">
        <v>84.157600000000002</v>
      </c>
    </row>
    <row r="374" spans="1:9" ht="25.5">
      <c r="A374" s="16" t="s">
        <v>735</v>
      </c>
      <c r="B374" s="15"/>
      <c r="C374" s="15"/>
      <c r="D374" s="5"/>
      <c r="E374" s="12" t="s">
        <v>736</v>
      </c>
      <c r="F374" s="8">
        <v>37.711619374999998</v>
      </c>
      <c r="G374" s="6"/>
      <c r="H374" s="8">
        <f t="shared" si="5"/>
        <v>39.974316537500002</v>
      </c>
      <c r="I374" s="8">
        <v>84.157600000000002</v>
      </c>
    </row>
    <row r="375" spans="1:9" ht="25.5">
      <c r="A375" s="14" t="s">
        <v>737</v>
      </c>
      <c r="B375" s="15"/>
      <c r="C375" s="15"/>
      <c r="D375" s="5"/>
      <c r="E375" s="13" t="s">
        <v>738</v>
      </c>
      <c r="F375" s="9">
        <v>37.711619374999998</v>
      </c>
      <c r="G375" s="7"/>
      <c r="H375" s="8">
        <f t="shared" si="5"/>
        <v>39.974316537500002</v>
      </c>
      <c r="I375" s="9">
        <v>84.157600000000002</v>
      </c>
    </row>
    <row r="376" spans="1:9" ht="25.5">
      <c r="A376" s="16" t="s">
        <v>739</v>
      </c>
      <c r="B376" s="15"/>
      <c r="C376" s="15"/>
      <c r="D376" s="5"/>
      <c r="E376" s="12" t="s">
        <v>740</v>
      </c>
      <c r="F376" s="8">
        <v>37.711619374999998</v>
      </c>
      <c r="G376" s="6"/>
      <c r="H376" s="8">
        <f t="shared" si="5"/>
        <v>39.974316537500002</v>
      </c>
      <c r="I376" s="8">
        <v>84.157600000000002</v>
      </c>
    </row>
    <row r="377" spans="1:9" ht="25.5">
      <c r="A377" s="14" t="s">
        <v>741</v>
      </c>
      <c r="B377" s="15"/>
      <c r="C377" s="15"/>
      <c r="D377" s="5"/>
      <c r="E377" s="13" t="s">
        <v>742</v>
      </c>
      <c r="F377" s="9">
        <v>40.531586562500003</v>
      </c>
      <c r="G377" s="7"/>
      <c r="H377" s="8">
        <f t="shared" si="5"/>
        <v>42.963481756250005</v>
      </c>
      <c r="I377" s="9">
        <v>90.899199999999993</v>
      </c>
    </row>
    <row r="378" spans="1:9" ht="25.5">
      <c r="A378" s="16" t="s">
        <v>743</v>
      </c>
      <c r="B378" s="15"/>
      <c r="C378" s="15"/>
      <c r="D378" s="5"/>
      <c r="E378" s="12" t="s">
        <v>744</v>
      </c>
      <c r="F378" s="8">
        <v>40.531586562500003</v>
      </c>
      <c r="G378" s="6"/>
      <c r="H378" s="8">
        <f t="shared" si="5"/>
        <v>42.963481756250005</v>
      </c>
      <c r="I378" s="8">
        <v>90.899199999999993</v>
      </c>
    </row>
    <row r="379" spans="1:9" ht="25.5">
      <c r="A379" s="14" t="s">
        <v>745</v>
      </c>
      <c r="B379" s="15"/>
      <c r="C379" s="15"/>
      <c r="D379" s="5"/>
      <c r="E379" s="13" t="s">
        <v>746</v>
      </c>
      <c r="F379" s="9">
        <v>40.531586562500003</v>
      </c>
      <c r="G379" s="7"/>
      <c r="H379" s="8">
        <f t="shared" si="5"/>
        <v>42.963481756250005</v>
      </c>
      <c r="I379" s="9">
        <v>90.899199999999993</v>
      </c>
    </row>
    <row r="380" spans="1:9" ht="25.5">
      <c r="A380" s="16" t="s">
        <v>747</v>
      </c>
      <c r="B380" s="15"/>
      <c r="C380" s="15"/>
      <c r="D380" s="5"/>
      <c r="E380" s="12" t="s">
        <v>748</v>
      </c>
      <c r="F380" s="8">
        <v>40.531586562500003</v>
      </c>
      <c r="G380" s="6"/>
      <c r="H380" s="8">
        <f t="shared" si="5"/>
        <v>42.963481756250005</v>
      </c>
      <c r="I380" s="8">
        <v>90.899199999999993</v>
      </c>
    </row>
    <row r="381" spans="1:9" ht="25.5">
      <c r="A381" s="14" t="s">
        <v>749</v>
      </c>
      <c r="B381" s="15"/>
      <c r="C381" s="15"/>
      <c r="D381" s="5"/>
      <c r="E381" s="13" t="s">
        <v>750</v>
      </c>
      <c r="F381" s="9">
        <v>39.531586562500003</v>
      </c>
      <c r="G381" s="7"/>
      <c r="H381" s="8">
        <f t="shared" si="5"/>
        <v>41.903481756250002</v>
      </c>
      <c r="I381" s="9">
        <v>88.899199999999993</v>
      </c>
    </row>
    <row r="382" spans="1:9" ht="25.5">
      <c r="A382" s="16" t="s">
        <v>751</v>
      </c>
      <c r="B382" s="15"/>
      <c r="C382" s="15"/>
      <c r="D382" s="5"/>
      <c r="E382" s="12" t="s">
        <v>752</v>
      </c>
      <c r="F382" s="8">
        <v>39.531586562500003</v>
      </c>
      <c r="G382" s="6"/>
      <c r="H382" s="8">
        <f t="shared" si="5"/>
        <v>41.903481756250002</v>
      </c>
      <c r="I382" s="8">
        <v>88.899199999999993</v>
      </c>
    </row>
    <row r="383" spans="1:9" ht="25.5">
      <c r="A383" s="14" t="s">
        <v>753</v>
      </c>
      <c r="B383" s="15"/>
      <c r="C383" s="15"/>
      <c r="D383" s="5"/>
      <c r="E383" s="13" t="s">
        <v>754</v>
      </c>
      <c r="F383" s="9">
        <v>1707.3511154375001</v>
      </c>
      <c r="G383" s="7"/>
      <c r="H383" s="8">
        <f t="shared" si="5"/>
        <v>1809.7921823637503</v>
      </c>
      <c r="I383" s="9">
        <v>2765.1792</v>
      </c>
    </row>
    <row r="384" spans="1:9" ht="25.5">
      <c r="A384" s="16" t="s">
        <v>755</v>
      </c>
      <c r="B384" s="15"/>
      <c r="C384" s="15"/>
      <c r="D384" s="5"/>
      <c r="E384" s="12" t="s">
        <v>756</v>
      </c>
      <c r="F384" s="8">
        <v>1707.3511154375001</v>
      </c>
      <c r="G384" s="6"/>
      <c r="H384" s="8">
        <f t="shared" si="5"/>
        <v>1809.7921823637503</v>
      </c>
      <c r="I384" s="8">
        <v>2765.1792</v>
      </c>
    </row>
    <row r="385" spans="1:9" ht="25.5">
      <c r="A385" s="14" t="s">
        <v>757</v>
      </c>
      <c r="B385" s="15"/>
      <c r="C385" s="15"/>
      <c r="D385" s="5"/>
      <c r="E385" s="13" t="s">
        <v>758</v>
      </c>
      <c r="F385" s="9">
        <v>1707.3511154375001</v>
      </c>
      <c r="G385" s="7"/>
      <c r="H385" s="8">
        <f t="shared" si="5"/>
        <v>1809.7921823637503</v>
      </c>
      <c r="I385" s="9">
        <v>2638.2123999999999</v>
      </c>
    </row>
    <row r="386" spans="1:9" ht="26.25" customHeight="1">
      <c r="A386" s="16" t="s">
        <v>759</v>
      </c>
      <c r="B386" s="15"/>
      <c r="C386" s="15"/>
      <c r="D386" s="5"/>
      <c r="E386" s="12" t="s">
        <v>760</v>
      </c>
      <c r="F386" s="8">
        <v>1707.3511154375001</v>
      </c>
      <c r="G386" s="6"/>
      <c r="H386" s="8">
        <f t="shared" si="5"/>
        <v>1809.7921823637503</v>
      </c>
      <c r="I386" s="8">
        <v>2638.2123999999999</v>
      </c>
    </row>
    <row r="387" spans="1:9" ht="25.5">
      <c r="A387" s="14" t="s">
        <v>761</v>
      </c>
      <c r="B387" s="15"/>
      <c r="C387" s="15"/>
      <c r="D387" s="5"/>
      <c r="E387" s="13" t="s">
        <v>762</v>
      </c>
      <c r="F387" s="9">
        <v>1707.3511154375001</v>
      </c>
      <c r="G387" s="7"/>
      <c r="H387" s="8">
        <f t="shared" si="5"/>
        <v>1809.7921823637503</v>
      </c>
      <c r="I387" s="9">
        <v>2638.2123999999999</v>
      </c>
    </row>
    <row r="388" spans="1:9" ht="25.5">
      <c r="A388" s="16" t="s">
        <v>763</v>
      </c>
      <c r="B388" s="15"/>
      <c r="C388" s="15"/>
      <c r="D388" s="5"/>
      <c r="E388" s="12" t="s">
        <v>764</v>
      </c>
      <c r="F388" s="8">
        <v>1707.3511154375001</v>
      </c>
      <c r="G388" s="6"/>
      <c r="H388" s="8">
        <f t="shared" si="5"/>
        <v>1809.7921823637503</v>
      </c>
      <c r="I388" s="8">
        <v>2638.2123999999999</v>
      </c>
    </row>
    <row r="389" spans="1:9" ht="63.75">
      <c r="A389" s="14" t="s">
        <v>765</v>
      </c>
      <c r="B389" s="15"/>
      <c r="C389" s="15"/>
      <c r="D389" s="5"/>
      <c r="E389" s="13" t="s">
        <v>766</v>
      </c>
      <c r="F389" s="9">
        <v>132.23469406250001</v>
      </c>
      <c r="G389" s="7"/>
      <c r="H389" s="8">
        <f t="shared" si="5"/>
        <v>140.16877570625002</v>
      </c>
      <c r="I389" s="9">
        <v>292.81</v>
      </c>
    </row>
    <row r="390" spans="1:9" ht="25.5">
      <c r="A390" s="16" t="s">
        <v>767</v>
      </c>
      <c r="B390" s="15"/>
      <c r="C390" s="15"/>
      <c r="D390" s="5"/>
      <c r="E390" s="12" t="s">
        <v>768</v>
      </c>
      <c r="F390" s="8">
        <v>102.878884375</v>
      </c>
      <c r="G390" s="6"/>
      <c r="H390" s="8">
        <f t="shared" si="5"/>
        <v>109.0516174375</v>
      </c>
      <c r="I390" s="8">
        <v>521.86720000000003</v>
      </c>
    </row>
    <row r="391" spans="1:9" ht="25.5">
      <c r="A391" s="14" t="s">
        <v>769</v>
      </c>
      <c r="B391" s="15"/>
      <c r="C391" s="15"/>
      <c r="D391" s="5"/>
      <c r="E391" s="13" t="s">
        <v>770</v>
      </c>
      <c r="F391" s="9">
        <v>178.278228125</v>
      </c>
      <c r="G391" s="7"/>
      <c r="H391" s="8">
        <f t="shared" si="5"/>
        <v>188.97492181250001</v>
      </c>
      <c r="I391" s="9">
        <v>395.82159999999999</v>
      </c>
    </row>
    <row r="392" spans="1:9" ht="25.5">
      <c r="A392" s="16" t="s">
        <v>771</v>
      </c>
      <c r="B392" s="15"/>
      <c r="C392" s="15"/>
      <c r="D392" s="5"/>
      <c r="E392" s="12" t="s">
        <v>772</v>
      </c>
      <c r="F392" s="8">
        <v>193.55809687499999</v>
      </c>
      <c r="G392" s="6"/>
      <c r="H392" s="8">
        <f t="shared" si="5"/>
        <v>205.17158268750001</v>
      </c>
      <c r="I392" s="8">
        <v>428.54079999999999</v>
      </c>
    </row>
    <row r="393" spans="1:9" ht="38.25">
      <c r="A393" s="14" t="s">
        <v>773</v>
      </c>
      <c r="B393" s="15"/>
      <c r="C393" s="15"/>
      <c r="D393" s="5"/>
      <c r="E393" s="13" t="s">
        <v>774</v>
      </c>
      <c r="F393" s="9">
        <v>48.299507812500003</v>
      </c>
      <c r="G393" s="7"/>
      <c r="H393" s="8">
        <f t="shared" ref="H393:H456" si="6">F393*1.06</f>
        <v>51.197478281250007</v>
      </c>
      <c r="I393" s="9">
        <v>107.506</v>
      </c>
    </row>
    <row r="394" spans="1:9" ht="25.5">
      <c r="A394" s="16" t="s">
        <v>775</v>
      </c>
      <c r="B394" s="15"/>
      <c r="C394" s="15"/>
      <c r="D394" s="5"/>
      <c r="E394" s="12" t="s">
        <v>776</v>
      </c>
      <c r="F394" s="8">
        <v>46.299849999999999</v>
      </c>
      <c r="G394" s="6"/>
      <c r="H394" s="8">
        <f t="shared" si="6"/>
        <v>49.077840999999999</v>
      </c>
      <c r="I394" s="8">
        <v>103.506</v>
      </c>
    </row>
    <row r="395" spans="1:9" ht="25.5">
      <c r="A395" s="14" t="s">
        <v>777</v>
      </c>
      <c r="B395" s="15"/>
      <c r="C395" s="15"/>
      <c r="D395" s="5"/>
      <c r="E395" s="13" t="s">
        <v>778</v>
      </c>
      <c r="F395" s="9">
        <v>86.703107500000002</v>
      </c>
      <c r="G395" s="7"/>
      <c r="H395" s="8">
        <f t="shared" si="6"/>
        <v>91.905293950000001</v>
      </c>
      <c r="I395" s="9">
        <v>350.33839999999998</v>
      </c>
    </row>
    <row r="396" spans="1:9" ht="25.5">
      <c r="A396" s="16" t="s">
        <v>779</v>
      </c>
      <c r="B396" s="15"/>
      <c r="C396" s="15"/>
      <c r="D396" s="5"/>
      <c r="E396" s="12" t="s">
        <v>780</v>
      </c>
      <c r="F396" s="8">
        <v>39.479540624999998</v>
      </c>
      <c r="G396" s="6"/>
      <c r="H396" s="8">
        <f t="shared" si="6"/>
        <v>41.848313062499997</v>
      </c>
      <c r="I396" s="8">
        <v>82.022800000000004</v>
      </c>
    </row>
    <row r="397" spans="1:9" ht="27.75" customHeight="1">
      <c r="A397" s="14" t="s">
        <v>781</v>
      </c>
      <c r="B397" s="15"/>
      <c r="C397" s="15"/>
      <c r="D397" s="5"/>
      <c r="E397" s="13" t="s">
        <v>782</v>
      </c>
      <c r="F397" s="9">
        <v>177.65793281250001</v>
      </c>
      <c r="G397" s="7"/>
      <c r="H397" s="8">
        <f t="shared" si="6"/>
        <v>188.31740878125001</v>
      </c>
      <c r="I397" s="9">
        <v>400.0016</v>
      </c>
    </row>
    <row r="398" spans="1:9" ht="25.5">
      <c r="A398" s="16" t="s">
        <v>783</v>
      </c>
      <c r="B398" s="15"/>
      <c r="C398" s="15"/>
      <c r="D398" s="5"/>
      <c r="E398" s="12" t="s">
        <v>784</v>
      </c>
      <c r="F398" s="8">
        <v>189.50179499999999</v>
      </c>
      <c r="G398" s="6"/>
      <c r="H398" s="8">
        <f t="shared" si="6"/>
        <v>200.87190269999999</v>
      </c>
      <c r="I398" s="8">
        <v>426.96800000000002</v>
      </c>
    </row>
    <row r="399" spans="1:9" ht="25.5">
      <c r="A399" s="14" t="s">
        <v>785</v>
      </c>
      <c r="B399" s="15"/>
      <c r="C399" s="15"/>
      <c r="D399" s="5"/>
      <c r="E399" s="13" t="s">
        <v>786</v>
      </c>
      <c r="F399" s="9">
        <v>195.8185215</v>
      </c>
      <c r="G399" s="7"/>
      <c r="H399" s="8">
        <f t="shared" si="6"/>
        <v>207.56763279</v>
      </c>
      <c r="I399" s="9">
        <v>444.94560000000001</v>
      </c>
    </row>
    <row r="400" spans="1:9" ht="25.5">
      <c r="A400" s="16" t="s">
        <v>787</v>
      </c>
      <c r="B400" s="15"/>
      <c r="C400" s="15"/>
      <c r="D400" s="5"/>
      <c r="E400" s="12" t="s">
        <v>788</v>
      </c>
      <c r="F400" s="8">
        <v>290.56941899999998</v>
      </c>
      <c r="G400" s="6"/>
      <c r="H400" s="8">
        <f t="shared" si="6"/>
        <v>308.00358413999999</v>
      </c>
      <c r="I400" s="8">
        <v>653.93520000000001</v>
      </c>
    </row>
    <row r="401" spans="1:9" ht="25.5">
      <c r="A401" s="14" t="s">
        <v>789</v>
      </c>
      <c r="B401" s="15"/>
      <c r="C401" s="15"/>
      <c r="D401" s="5"/>
      <c r="E401" s="13" t="s">
        <v>790</v>
      </c>
      <c r="F401" s="9">
        <v>304.55645625</v>
      </c>
      <c r="G401" s="7"/>
      <c r="H401" s="8">
        <f t="shared" si="6"/>
        <v>322.82984362500002</v>
      </c>
      <c r="I401" s="9">
        <v>686.51959999999997</v>
      </c>
    </row>
    <row r="402" spans="1:9" ht="25.5">
      <c r="A402" s="16" t="s">
        <v>791</v>
      </c>
      <c r="B402" s="15"/>
      <c r="C402" s="15"/>
      <c r="D402" s="5"/>
      <c r="E402" s="12" t="s">
        <v>792</v>
      </c>
      <c r="F402" s="8">
        <v>310.19639062499999</v>
      </c>
      <c r="G402" s="6"/>
      <c r="H402" s="8">
        <f t="shared" si="6"/>
        <v>328.80817406250003</v>
      </c>
      <c r="I402" s="8">
        <v>698.87919999999997</v>
      </c>
    </row>
    <row r="403" spans="1:9" ht="25.5">
      <c r="A403" s="14" t="s">
        <v>793</v>
      </c>
      <c r="B403" s="15"/>
      <c r="C403" s="15"/>
      <c r="D403" s="5"/>
      <c r="E403" s="13" t="s">
        <v>794</v>
      </c>
      <c r="F403" s="9">
        <v>87.447133750000006</v>
      </c>
      <c r="G403" s="7"/>
      <c r="H403" s="8">
        <f t="shared" si="6"/>
        <v>92.693961775000005</v>
      </c>
      <c r="I403" s="9">
        <v>194.54</v>
      </c>
    </row>
    <row r="404" spans="1:9" ht="24" customHeight="1">
      <c r="A404" s="16" t="s">
        <v>795</v>
      </c>
      <c r="B404" s="15"/>
      <c r="C404" s="15"/>
      <c r="D404" s="5"/>
      <c r="E404" s="12" t="s">
        <v>796</v>
      </c>
      <c r="F404" s="8">
        <v>73.497550000000004</v>
      </c>
      <c r="G404" s="6"/>
      <c r="H404" s="8">
        <f t="shared" si="6"/>
        <v>77.907403000000002</v>
      </c>
      <c r="I404" s="8">
        <v>142.1352</v>
      </c>
    </row>
    <row r="405" spans="1:9" ht="25.5">
      <c r="A405" s="14" t="s">
        <v>797</v>
      </c>
      <c r="B405" s="15"/>
      <c r="C405" s="15"/>
      <c r="D405" s="5"/>
      <c r="E405" s="13" t="s">
        <v>798</v>
      </c>
      <c r="F405" s="9">
        <v>36.2756128125</v>
      </c>
      <c r="G405" s="7"/>
      <c r="H405" s="8">
        <f t="shared" si="6"/>
        <v>38.452149581250005</v>
      </c>
      <c r="I405" s="9">
        <v>81.281199999999998</v>
      </c>
    </row>
    <row r="406" spans="1:9" ht="25.5">
      <c r="A406" s="16" t="s">
        <v>799</v>
      </c>
      <c r="B406" s="15"/>
      <c r="C406" s="15"/>
      <c r="D406" s="5"/>
      <c r="E406" s="12" t="s">
        <v>800</v>
      </c>
      <c r="F406" s="8">
        <v>36.2756128125</v>
      </c>
      <c r="G406" s="6"/>
      <c r="H406" s="8">
        <f t="shared" si="6"/>
        <v>38.452149581250005</v>
      </c>
      <c r="I406" s="8">
        <v>81.281199999999998</v>
      </c>
    </row>
    <row r="407" spans="1:9" ht="26.25" customHeight="1">
      <c r="A407" s="14" t="s">
        <v>801</v>
      </c>
      <c r="B407" s="15"/>
      <c r="C407" s="15"/>
      <c r="D407" s="5"/>
      <c r="E407" s="13" t="s">
        <v>802</v>
      </c>
      <c r="F407" s="9">
        <v>35.967593125</v>
      </c>
      <c r="G407" s="7"/>
      <c r="H407" s="8">
        <f t="shared" si="6"/>
        <v>38.125648712500002</v>
      </c>
      <c r="I407" s="9">
        <v>81.775599999999997</v>
      </c>
    </row>
    <row r="408" spans="1:9" ht="25.5">
      <c r="A408" s="16" t="s">
        <v>803</v>
      </c>
      <c r="B408" s="15"/>
      <c r="C408" s="15"/>
      <c r="D408" s="5"/>
      <c r="E408" s="12" t="s">
        <v>804</v>
      </c>
      <c r="F408" s="8">
        <v>27.687724374999998</v>
      </c>
      <c r="G408" s="6"/>
      <c r="H408" s="8">
        <f t="shared" si="6"/>
        <v>29.348987837500001</v>
      </c>
      <c r="I408" s="8">
        <v>52.944000000000003</v>
      </c>
    </row>
    <row r="409" spans="1:9" ht="25.5">
      <c r="A409" s="14" t="s">
        <v>805</v>
      </c>
      <c r="B409" s="15"/>
      <c r="C409" s="15"/>
      <c r="D409" s="5"/>
      <c r="E409" s="13" t="s">
        <v>806</v>
      </c>
      <c r="F409" s="9">
        <v>25.687724374999998</v>
      </c>
      <c r="G409" s="7"/>
      <c r="H409" s="8">
        <f t="shared" si="6"/>
        <v>27.2289878375</v>
      </c>
      <c r="I409" s="9">
        <v>48.944000000000003</v>
      </c>
    </row>
    <row r="410" spans="1:9" ht="25.5">
      <c r="A410" s="16" t="s">
        <v>807</v>
      </c>
      <c r="B410" s="15"/>
      <c r="C410" s="15"/>
      <c r="D410" s="5"/>
      <c r="E410" s="12" t="s">
        <v>808</v>
      </c>
      <c r="F410" s="8">
        <v>20.273387374999999</v>
      </c>
      <c r="G410" s="6"/>
      <c r="H410" s="8">
        <f t="shared" si="6"/>
        <v>21.489790617499999</v>
      </c>
      <c r="I410" s="8">
        <v>38.831600000000002</v>
      </c>
    </row>
    <row r="411" spans="1:9" ht="25.5">
      <c r="A411" s="14" t="s">
        <v>809</v>
      </c>
      <c r="B411" s="15"/>
      <c r="C411" s="15"/>
      <c r="D411" s="5"/>
      <c r="E411" s="13" t="s">
        <v>810</v>
      </c>
      <c r="F411" s="9">
        <v>20.950179500000001</v>
      </c>
      <c r="G411" s="7"/>
      <c r="H411" s="8">
        <f t="shared" si="6"/>
        <v>22.207190270000002</v>
      </c>
      <c r="I411" s="9">
        <v>39.955199999999998</v>
      </c>
    </row>
    <row r="412" spans="1:9" ht="25.5">
      <c r="A412" s="16" t="s">
        <v>811</v>
      </c>
      <c r="B412" s="15"/>
      <c r="C412" s="15"/>
      <c r="D412" s="5"/>
      <c r="E412" s="12" t="s">
        <v>812</v>
      </c>
      <c r="F412" s="8">
        <v>35.839606250000003</v>
      </c>
      <c r="G412" s="6"/>
      <c r="H412" s="8">
        <f t="shared" si="6"/>
        <v>37.989982625000003</v>
      </c>
      <c r="I412" s="8">
        <v>80.404799999999994</v>
      </c>
    </row>
    <row r="413" spans="1:9" ht="25.5" customHeight="1">
      <c r="A413" s="14" t="s">
        <v>813</v>
      </c>
      <c r="B413" s="15"/>
      <c r="C413" s="15"/>
      <c r="D413" s="5"/>
      <c r="E413" s="13" t="s">
        <v>814</v>
      </c>
      <c r="F413" s="9">
        <v>73.352986481249999</v>
      </c>
      <c r="G413" s="7"/>
      <c r="H413" s="8">
        <f t="shared" si="6"/>
        <v>77.754165670125005</v>
      </c>
      <c r="I413" s="9">
        <v>330.33839999999998</v>
      </c>
    </row>
    <row r="414" spans="1:9" ht="25.5">
      <c r="A414" s="16" t="s">
        <v>815</v>
      </c>
      <c r="B414" s="15"/>
      <c r="C414" s="15"/>
      <c r="D414" s="5"/>
      <c r="E414" s="12" t="s">
        <v>816</v>
      </c>
      <c r="F414" s="8">
        <v>30</v>
      </c>
      <c r="G414" s="6"/>
      <c r="H414" s="8">
        <f t="shared" si="6"/>
        <v>31.8</v>
      </c>
      <c r="I414" s="8">
        <v>67.415999999999997</v>
      </c>
    </row>
    <row r="415" spans="1:9" ht="25.5">
      <c r="A415" s="14" t="s">
        <v>817</v>
      </c>
      <c r="B415" s="15"/>
      <c r="C415" s="15"/>
      <c r="D415" s="5"/>
      <c r="E415" s="13" t="s">
        <v>818</v>
      </c>
      <c r="F415" s="9">
        <v>24.364516500000001</v>
      </c>
      <c r="G415" s="7"/>
      <c r="H415" s="8">
        <f t="shared" si="6"/>
        <v>25.826387490000002</v>
      </c>
      <c r="I415" s="9">
        <v>46.067599999999999</v>
      </c>
    </row>
    <row r="416" spans="1:9" ht="25.5">
      <c r="A416" s="16" t="s">
        <v>819</v>
      </c>
      <c r="B416" s="15"/>
      <c r="C416" s="15"/>
      <c r="D416" s="5"/>
      <c r="E416" s="12" t="s">
        <v>820</v>
      </c>
      <c r="F416" s="8">
        <v>24.364516500000001</v>
      </c>
      <c r="G416" s="6"/>
      <c r="H416" s="8">
        <f t="shared" si="6"/>
        <v>25.826387490000002</v>
      </c>
      <c r="I416" s="8">
        <v>46.067599999999999</v>
      </c>
    </row>
    <row r="417" spans="1:9" ht="25.5">
      <c r="A417" s="14" t="s">
        <v>821</v>
      </c>
      <c r="B417" s="15"/>
      <c r="C417" s="15"/>
      <c r="D417" s="5"/>
      <c r="E417" s="13" t="s">
        <v>822</v>
      </c>
      <c r="F417" s="9">
        <v>170.32601812499999</v>
      </c>
      <c r="G417" s="7"/>
      <c r="H417" s="8">
        <f t="shared" si="6"/>
        <v>180.5455792125</v>
      </c>
      <c r="I417" s="9">
        <v>384.27120000000002</v>
      </c>
    </row>
    <row r="418" spans="1:9" ht="25.5">
      <c r="A418" s="16" t="s">
        <v>823</v>
      </c>
      <c r="B418" s="15"/>
      <c r="C418" s="15"/>
      <c r="D418" s="5"/>
      <c r="E418" s="12" t="s">
        <v>824</v>
      </c>
      <c r="F418" s="8">
        <v>20.980555875</v>
      </c>
      <c r="G418" s="6"/>
      <c r="H418" s="8">
        <f t="shared" si="6"/>
        <v>22.239389227500002</v>
      </c>
      <c r="I418" s="8">
        <v>40.449599999999997</v>
      </c>
    </row>
    <row r="419" spans="1:9" ht="25.5">
      <c r="A419" s="14" t="s">
        <v>825</v>
      </c>
      <c r="B419" s="15"/>
      <c r="C419" s="15"/>
      <c r="D419" s="5"/>
      <c r="E419" s="13" t="s">
        <v>826</v>
      </c>
      <c r="F419" s="9">
        <v>21.273387374999999</v>
      </c>
      <c r="G419" s="7"/>
      <c r="H419" s="8">
        <f t="shared" si="6"/>
        <v>22.549790617500001</v>
      </c>
      <c r="I419" s="9">
        <v>40.831600000000002</v>
      </c>
    </row>
    <row r="420" spans="1:9" ht="25.5">
      <c r="A420" s="16" t="s">
        <v>827</v>
      </c>
      <c r="B420" s="15"/>
      <c r="C420" s="15"/>
      <c r="D420" s="5"/>
      <c r="E420" s="12" t="s">
        <v>828</v>
      </c>
      <c r="F420" s="8">
        <v>21.273387374999999</v>
      </c>
      <c r="G420" s="6"/>
      <c r="H420" s="8">
        <f t="shared" si="6"/>
        <v>22.549790617500001</v>
      </c>
      <c r="I420" s="8">
        <v>40.831600000000002</v>
      </c>
    </row>
    <row r="421" spans="1:9" ht="25.5">
      <c r="A421" s="14" t="s">
        <v>829</v>
      </c>
      <c r="B421" s="15"/>
      <c r="C421" s="15"/>
      <c r="D421" s="5"/>
      <c r="E421" s="13" t="s">
        <v>830</v>
      </c>
      <c r="F421" s="9">
        <v>21.273387374999999</v>
      </c>
      <c r="G421" s="7"/>
      <c r="H421" s="8">
        <f t="shared" si="6"/>
        <v>22.549790617500001</v>
      </c>
      <c r="I421" s="9">
        <v>40.831600000000002</v>
      </c>
    </row>
    <row r="422" spans="1:9" ht="28.5" customHeight="1">
      <c r="A422" s="16" t="s">
        <v>831</v>
      </c>
      <c r="B422" s="15"/>
      <c r="C422" s="15"/>
      <c r="D422" s="5"/>
      <c r="E422" s="12" t="s">
        <v>832</v>
      </c>
      <c r="F422" s="8">
        <v>208.67757187500001</v>
      </c>
      <c r="G422" s="6"/>
      <c r="H422" s="8">
        <f t="shared" si="6"/>
        <v>221.19822618750001</v>
      </c>
      <c r="I422" s="8">
        <v>470.78840000000002</v>
      </c>
    </row>
    <row r="423" spans="1:9" ht="25.5">
      <c r="A423" s="14" t="s">
        <v>833</v>
      </c>
      <c r="B423" s="15"/>
      <c r="C423" s="15"/>
      <c r="D423" s="5"/>
      <c r="E423" s="13" t="s">
        <v>834</v>
      </c>
      <c r="F423" s="9">
        <v>32.635678437499998</v>
      </c>
      <c r="G423" s="7"/>
      <c r="H423" s="8">
        <f t="shared" si="6"/>
        <v>34.593819143749997</v>
      </c>
      <c r="I423" s="9">
        <v>72.921599999999998</v>
      </c>
    </row>
    <row r="424" spans="1:9" ht="25.5">
      <c r="A424" s="16" t="s">
        <v>835</v>
      </c>
      <c r="B424" s="15"/>
      <c r="C424" s="15"/>
      <c r="D424" s="5"/>
      <c r="E424" s="12" t="s">
        <v>836</v>
      </c>
      <c r="F424" s="8">
        <v>8.0911291250000001</v>
      </c>
      <c r="G424" s="6"/>
      <c r="H424" s="8">
        <f t="shared" si="6"/>
        <v>8.5765968725000015</v>
      </c>
      <c r="I424" s="8">
        <v>16.3596</v>
      </c>
    </row>
    <row r="425" spans="1:9" ht="25.5">
      <c r="A425" s="14" t="s">
        <v>837</v>
      </c>
      <c r="B425" s="15"/>
      <c r="C425" s="15"/>
      <c r="D425" s="5"/>
      <c r="E425" s="13" t="s">
        <v>838</v>
      </c>
      <c r="F425" s="9">
        <v>31.425269249999999</v>
      </c>
      <c r="G425" s="7"/>
      <c r="H425" s="8">
        <f t="shared" si="6"/>
        <v>33.310785405000004</v>
      </c>
      <c r="I425" s="9">
        <v>59.9328</v>
      </c>
    </row>
    <row r="426" spans="1:9" ht="25.5">
      <c r="A426" s="16" t="s">
        <v>839</v>
      </c>
      <c r="B426" s="15"/>
      <c r="C426" s="15"/>
      <c r="D426" s="5"/>
      <c r="E426" s="12" t="s">
        <v>840</v>
      </c>
      <c r="F426" s="8">
        <v>177.91816249999999</v>
      </c>
      <c r="G426" s="6"/>
      <c r="H426" s="8">
        <f t="shared" si="6"/>
        <v>188.59325225000001</v>
      </c>
      <c r="I426" s="8">
        <v>396.18119999999999</v>
      </c>
    </row>
    <row r="427" spans="1:9" ht="25.5">
      <c r="A427" s="14" t="s">
        <v>841</v>
      </c>
      <c r="B427" s="15"/>
      <c r="C427" s="15"/>
      <c r="D427" s="5"/>
      <c r="E427" s="13" t="s">
        <v>842</v>
      </c>
      <c r="F427" s="9">
        <v>160.99835937500001</v>
      </c>
      <c r="G427" s="7"/>
      <c r="H427" s="8">
        <f t="shared" si="6"/>
        <v>170.65826093750002</v>
      </c>
      <c r="I427" s="9">
        <v>383.82159999999999</v>
      </c>
    </row>
    <row r="428" spans="1:9" ht="25.5">
      <c r="A428" s="16" t="s">
        <v>843</v>
      </c>
      <c r="B428" s="15"/>
      <c r="C428" s="15"/>
      <c r="D428" s="5"/>
      <c r="E428" s="12" t="s">
        <v>844</v>
      </c>
      <c r="F428" s="8">
        <v>189.19803125000001</v>
      </c>
      <c r="G428" s="6"/>
      <c r="H428" s="8">
        <f t="shared" si="6"/>
        <v>200.54991312500002</v>
      </c>
      <c r="I428" s="8">
        <v>420.90039999999999</v>
      </c>
    </row>
    <row r="429" spans="1:9" ht="25.5">
      <c r="A429" s="14" t="s">
        <v>845</v>
      </c>
      <c r="B429" s="15"/>
      <c r="C429" s="15"/>
      <c r="D429" s="5"/>
      <c r="E429" s="13" t="s">
        <v>846</v>
      </c>
      <c r="F429" s="9">
        <v>197.65793281250001</v>
      </c>
      <c r="G429" s="7"/>
      <c r="H429" s="8">
        <f t="shared" si="6"/>
        <v>209.51740878125003</v>
      </c>
      <c r="I429" s="9">
        <v>440.0016</v>
      </c>
    </row>
    <row r="430" spans="1:9" ht="25.5">
      <c r="A430" s="16" t="s">
        <v>847</v>
      </c>
      <c r="B430" s="15"/>
      <c r="C430" s="15"/>
      <c r="D430" s="5"/>
      <c r="E430" s="12" t="s">
        <v>848</v>
      </c>
      <c r="F430" s="8">
        <v>203.2978671875</v>
      </c>
      <c r="G430" s="6"/>
      <c r="H430" s="8">
        <f t="shared" si="6"/>
        <v>215.49573921875</v>
      </c>
      <c r="I430" s="8">
        <v>453.48480000000001</v>
      </c>
    </row>
    <row r="431" spans="1:9" ht="25.5">
      <c r="A431" s="14" t="s">
        <v>849</v>
      </c>
      <c r="B431" s="15"/>
      <c r="C431" s="15"/>
      <c r="D431" s="5"/>
      <c r="E431" s="13" t="s">
        <v>850</v>
      </c>
      <c r="F431" s="9">
        <v>209.50179499999999</v>
      </c>
      <c r="G431" s="7"/>
      <c r="H431" s="8">
        <f t="shared" si="6"/>
        <v>222.07190270000001</v>
      </c>
      <c r="I431" s="9">
        <v>466.96800000000002</v>
      </c>
    </row>
    <row r="432" spans="1:9" ht="25.5">
      <c r="A432" s="16" t="s">
        <v>851</v>
      </c>
      <c r="B432" s="15"/>
      <c r="C432" s="15"/>
      <c r="D432" s="5"/>
      <c r="E432" s="12" t="s">
        <v>852</v>
      </c>
      <c r="F432" s="8">
        <v>275.66906</v>
      </c>
      <c r="G432" s="6"/>
      <c r="H432" s="8">
        <f t="shared" si="6"/>
        <v>292.20920360000002</v>
      </c>
      <c r="I432" s="8">
        <v>615.66520000000003</v>
      </c>
    </row>
    <row r="433" spans="1:9" ht="25.5">
      <c r="A433" s="14" t="s">
        <v>853</v>
      </c>
      <c r="B433" s="15"/>
      <c r="C433" s="15"/>
      <c r="D433" s="5"/>
      <c r="E433" s="13" t="s">
        <v>854</v>
      </c>
      <c r="F433" s="9">
        <v>289.07691562500003</v>
      </c>
      <c r="G433" s="7"/>
      <c r="H433" s="8">
        <f t="shared" si="6"/>
        <v>306.42153056250004</v>
      </c>
      <c r="I433" s="9">
        <v>645.75519999999995</v>
      </c>
    </row>
    <row r="434" spans="1:9" ht="25.5">
      <c r="A434" s="16" t="s">
        <v>855</v>
      </c>
      <c r="B434" s="15"/>
      <c r="C434" s="15"/>
      <c r="D434" s="5"/>
      <c r="E434" s="12" t="s">
        <v>856</v>
      </c>
      <c r="F434" s="8">
        <v>294.71685000000002</v>
      </c>
      <c r="G434" s="6"/>
      <c r="H434" s="8">
        <f t="shared" si="6"/>
        <v>312.39986100000004</v>
      </c>
      <c r="I434" s="8">
        <v>658.11479999999995</v>
      </c>
    </row>
    <row r="435" spans="1:9" ht="25.5">
      <c r="A435" s="14" t="s">
        <v>857</v>
      </c>
      <c r="B435" s="15"/>
      <c r="C435" s="15"/>
      <c r="D435" s="5"/>
      <c r="E435" s="13" t="s">
        <v>858</v>
      </c>
      <c r="F435" s="9">
        <v>301.48477124999999</v>
      </c>
      <c r="G435" s="7"/>
      <c r="H435" s="8">
        <f t="shared" si="6"/>
        <v>319.57385752499999</v>
      </c>
      <c r="I435" s="9">
        <v>672.72159999999997</v>
      </c>
    </row>
    <row r="436" spans="1:9" ht="25.5">
      <c r="A436" s="16" t="s">
        <v>859</v>
      </c>
      <c r="B436" s="15"/>
      <c r="C436" s="15"/>
      <c r="D436" s="5"/>
      <c r="E436" s="12" t="s">
        <v>860</v>
      </c>
      <c r="F436" s="8">
        <v>314.45662031249998</v>
      </c>
      <c r="G436" s="6"/>
      <c r="H436" s="8">
        <f t="shared" si="6"/>
        <v>333.32401753124998</v>
      </c>
      <c r="I436" s="8">
        <v>701.93520000000001</v>
      </c>
    </row>
    <row r="437" spans="1:9" ht="25.5">
      <c r="A437" s="14" t="s">
        <v>861</v>
      </c>
      <c r="B437" s="15"/>
      <c r="C437" s="15"/>
      <c r="D437" s="5"/>
      <c r="E437" s="13" t="s">
        <v>862</v>
      </c>
      <c r="F437" s="9">
        <v>334.06840375000002</v>
      </c>
      <c r="G437" s="7"/>
      <c r="H437" s="8">
        <f t="shared" si="6"/>
        <v>354.11250797500003</v>
      </c>
      <c r="I437" s="9">
        <v>746.63199999999995</v>
      </c>
    </row>
    <row r="438" spans="1:9" ht="25.5">
      <c r="A438" s="16" t="s">
        <v>863</v>
      </c>
      <c r="B438" s="15"/>
      <c r="C438" s="15"/>
      <c r="D438" s="5"/>
      <c r="E438" s="12" t="s">
        <v>864</v>
      </c>
      <c r="F438" s="8">
        <v>456.19900593749998</v>
      </c>
      <c r="G438" s="6"/>
      <c r="H438" s="8">
        <f t="shared" si="6"/>
        <v>483.57094629375001</v>
      </c>
      <c r="I438" s="8">
        <v>1020.296</v>
      </c>
    </row>
    <row r="439" spans="1:9" ht="25.5">
      <c r="A439" s="14" t="s">
        <v>865</v>
      </c>
      <c r="B439" s="15"/>
      <c r="C439" s="15"/>
      <c r="D439" s="5"/>
      <c r="E439" s="13" t="s">
        <v>866</v>
      </c>
      <c r="F439" s="9">
        <v>463.40293374999999</v>
      </c>
      <c r="G439" s="7"/>
      <c r="H439" s="8">
        <f t="shared" si="6"/>
        <v>491.20710977499999</v>
      </c>
      <c r="I439" s="9">
        <v>1036.9028000000001</v>
      </c>
    </row>
    <row r="440" spans="1:9" ht="25.5">
      <c r="A440" s="16" t="s">
        <v>867</v>
      </c>
      <c r="B440" s="15"/>
      <c r="C440" s="15"/>
      <c r="D440" s="5"/>
      <c r="E440" s="12" t="s">
        <v>868</v>
      </c>
      <c r="F440" s="8">
        <v>582.53353593750001</v>
      </c>
      <c r="G440" s="6"/>
      <c r="H440" s="8">
        <f t="shared" si="6"/>
        <v>617.48554809375003</v>
      </c>
      <c r="I440" s="8">
        <v>1305.6904</v>
      </c>
    </row>
    <row r="441" spans="1:9" ht="25.5">
      <c r="A441" s="14" t="s">
        <v>869</v>
      </c>
      <c r="B441" s="15"/>
      <c r="C441" s="15"/>
      <c r="D441" s="5"/>
      <c r="E441" s="13" t="s">
        <v>870</v>
      </c>
      <c r="F441" s="9">
        <v>152.99835937500001</v>
      </c>
      <c r="G441" s="7"/>
      <c r="H441" s="8">
        <f t="shared" si="6"/>
        <v>162.17826093750003</v>
      </c>
      <c r="I441" s="9">
        <v>341.97879999999998</v>
      </c>
    </row>
    <row r="442" spans="1:9" ht="25.5">
      <c r="A442" s="16" t="s">
        <v>871</v>
      </c>
      <c r="B442" s="15"/>
      <c r="C442" s="15"/>
      <c r="D442" s="5"/>
      <c r="E442" s="12" t="s">
        <v>872</v>
      </c>
      <c r="F442" s="8">
        <v>133.529751</v>
      </c>
      <c r="G442" s="6"/>
      <c r="H442" s="8">
        <f t="shared" si="6"/>
        <v>141.54153606</v>
      </c>
      <c r="I442" s="8">
        <v>251.7088</v>
      </c>
    </row>
    <row r="443" spans="1:9" ht="51">
      <c r="A443" s="14" t="s">
        <v>873</v>
      </c>
      <c r="B443" s="15"/>
      <c r="C443" s="15"/>
      <c r="D443" s="5"/>
      <c r="E443" s="13" t="s">
        <v>874</v>
      </c>
      <c r="F443" s="9">
        <v>145.71849062499999</v>
      </c>
      <c r="G443" s="7"/>
      <c r="H443" s="8">
        <f t="shared" si="6"/>
        <v>154.4616000625</v>
      </c>
      <c r="I443" s="9">
        <v>324.13600000000002</v>
      </c>
    </row>
    <row r="444" spans="1:9" ht="24.75" customHeight="1">
      <c r="A444" s="16" t="s">
        <v>875</v>
      </c>
      <c r="B444" s="15"/>
      <c r="C444" s="15"/>
      <c r="D444" s="5"/>
      <c r="E444" s="12" t="s">
        <v>876</v>
      </c>
      <c r="F444" s="8">
        <v>123.97499999999999</v>
      </c>
      <c r="G444" s="6"/>
      <c r="H444" s="8">
        <f t="shared" si="6"/>
        <v>131.4135</v>
      </c>
      <c r="I444" s="8">
        <v>285.41680000000002</v>
      </c>
    </row>
    <row r="445" spans="1:9" ht="25.5">
      <c r="A445" s="14" t="s">
        <v>877</v>
      </c>
      <c r="B445" s="15"/>
      <c r="C445" s="15"/>
      <c r="D445" s="5"/>
      <c r="E445" s="13" t="s">
        <v>878</v>
      </c>
      <c r="F445" s="9">
        <v>308.35678437500002</v>
      </c>
      <c r="G445" s="7"/>
      <c r="H445" s="8">
        <f t="shared" si="6"/>
        <v>326.85819143750001</v>
      </c>
      <c r="I445" s="9">
        <v>686.47439999999995</v>
      </c>
    </row>
    <row r="446" spans="1:9" ht="24.75" customHeight="1">
      <c r="A446" s="16" t="s">
        <v>879</v>
      </c>
      <c r="B446" s="15"/>
      <c r="C446" s="15"/>
      <c r="D446" s="5"/>
      <c r="E446" s="12" t="s">
        <v>880</v>
      </c>
      <c r="F446" s="8">
        <v>265.89999999999998</v>
      </c>
      <c r="G446" s="6"/>
      <c r="H446" s="8">
        <f t="shared" si="6"/>
        <v>281.85399999999998</v>
      </c>
      <c r="I446" s="8">
        <v>609.55280000000005</v>
      </c>
    </row>
    <row r="447" spans="1:9" ht="22.5" customHeight="1">
      <c r="A447" s="14" t="s">
        <v>881</v>
      </c>
      <c r="B447" s="15"/>
      <c r="C447" s="15"/>
      <c r="D447" s="5"/>
      <c r="E447" s="13" t="s">
        <v>882</v>
      </c>
      <c r="F447" s="9">
        <v>264.89999999999998</v>
      </c>
      <c r="G447" s="7"/>
      <c r="H447" s="8">
        <f t="shared" si="6"/>
        <v>280.79399999999998</v>
      </c>
      <c r="I447" s="9">
        <v>607.55280000000005</v>
      </c>
    </row>
    <row r="448" spans="1:9" ht="25.5">
      <c r="A448" s="16" t="s">
        <v>883</v>
      </c>
      <c r="B448" s="15"/>
      <c r="C448" s="15"/>
      <c r="D448" s="5"/>
      <c r="E448" s="12" t="s">
        <v>884</v>
      </c>
      <c r="F448" s="8">
        <v>27.394892875</v>
      </c>
      <c r="G448" s="6"/>
      <c r="H448" s="8">
        <f t="shared" si="6"/>
        <v>29.038586447500002</v>
      </c>
      <c r="I448" s="8">
        <v>52.561999999999998</v>
      </c>
    </row>
    <row r="449" spans="1:9" ht="51">
      <c r="A449" s="14" t="s">
        <v>885</v>
      </c>
      <c r="B449" s="15"/>
      <c r="C449" s="15"/>
      <c r="D449" s="5"/>
      <c r="E449" s="13" t="s">
        <v>886</v>
      </c>
      <c r="F449" s="9">
        <v>8.4447133749999992</v>
      </c>
      <c r="G449" s="7"/>
      <c r="H449" s="8">
        <f t="shared" si="6"/>
        <v>8.9513961774999995</v>
      </c>
      <c r="I449" s="9">
        <v>16.6068</v>
      </c>
    </row>
    <row r="450" spans="1:9" ht="51">
      <c r="A450" s="16" t="s">
        <v>887</v>
      </c>
      <c r="B450" s="15"/>
      <c r="C450" s="15"/>
      <c r="D450" s="5"/>
      <c r="E450" s="12" t="s">
        <v>888</v>
      </c>
      <c r="F450" s="8">
        <v>17.919803125000001</v>
      </c>
      <c r="G450" s="6"/>
      <c r="H450" s="8">
        <f t="shared" si="6"/>
        <v>18.994991312500002</v>
      </c>
      <c r="I450" s="8">
        <v>34.584400000000002</v>
      </c>
    </row>
    <row r="451" spans="1:9" ht="51">
      <c r="A451" s="14" t="s">
        <v>889</v>
      </c>
      <c r="B451" s="15"/>
      <c r="C451" s="15"/>
      <c r="D451" s="5"/>
      <c r="E451" s="13" t="s">
        <v>890</v>
      </c>
      <c r="F451" s="9">
        <v>8.4447133749999992</v>
      </c>
      <c r="G451" s="7"/>
      <c r="H451" s="8">
        <f t="shared" si="6"/>
        <v>8.9513961774999995</v>
      </c>
      <c r="I451" s="9">
        <v>16.6068</v>
      </c>
    </row>
    <row r="452" spans="1:9" ht="25.5">
      <c r="A452" s="16" t="s">
        <v>891</v>
      </c>
      <c r="B452" s="15"/>
      <c r="C452" s="15"/>
      <c r="D452" s="5"/>
      <c r="E452" s="12" t="s">
        <v>892</v>
      </c>
      <c r="F452" s="8">
        <v>60.043534062500001</v>
      </c>
      <c r="G452" s="6"/>
      <c r="H452" s="8">
        <f t="shared" si="6"/>
        <v>63.646146106250001</v>
      </c>
      <c r="I452" s="8">
        <v>131.01159999999999</v>
      </c>
    </row>
    <row r="453" spans="1:9" ht="25.5">
      <c r="A453" s="14" t="s">
        <v>893</v>
      </c>
      <c r="B453" s="15"/>
      <c r="C453" s="15"/>
      <c r="D453" s="5"/>
      <c r="E453" s="13" t="s">
        <v>894</v>
      </c>
      <c r="F453" s="9">
        <v>60.043534062500001</v>
      </c>
      <c r="G453" s="7"/>
      <c r="H453" s="8">
        <f t="shared" si="6"/>
        <v>63.646146106250001</v>
      </c>
      <c r="I453" s="9">
        <v>131.01159999999999</v>
      </c>
    </row>
    <row r="454" spans="1:9" ht="25.5">
      <c r="A454" s="16" t="s">
        <v>895</v>
      </c>
      <c r="B454" s="15"/>
      <c r="C454" s="15"/>
      <c r="D454" s="5"/>
      <c r="E454" s="12" t="s">
        <v>896</v>
      </c>
      <c r="F454" s="8">
        <v>57.787560312499998</v>
      </c>
      <c r="G454" s="6"/>
      <c r="H454" s="8">
        <f t="shared" si="6"/>
        <v>61.254813931249998</v>
      </c>
      <c r="I454" s="8">
        <v>125.39360000000001</v>
      </c>
    </row>
    <row r="455" spans="1:9" ht="25.5">
      <c r="A455" s="14" t="s">
        <v>897</v>
      </c>
      <c r="B455" s="15"/>
      <c r="C455" s="15"/>
      <c r="D455" s="5"/>
      <c r="E455" s="13" t="s">
        <v>898</v>
      </c>
      <c r="F455" s="9">
        <v>60.043534062500001</v>
      </c>
      <c r="G455" s="7"/>
      <c r="H455" s="8">
        <f t="shared" si="6"/>
        <v>63.646146106250001</v>
      </c>
      <c r="I455" s="9">
        <v>131.01159999999999</v>
      </c>
    </row>
    <row r="456" spans="1:9" ht="25.5">
      <c r="A456" s="16" t="s">
        <v>899</v>
      </c>
      <c r="B456" s="15"/>
      <c r="C456" s="15"/>
      <c r="D456" s="5"/>
      <c r="E456" s="12" t="s">
        <v>900</v>
      </c>
      <c r="F456" s="8">
        <v>60.043534062500001</v>
      </c>
      <c r="G456" s="6"/>
      <c r="H456" s="8">
        <f t="shared" si="6"/>
        <v>63.646146106250001</v>
      </c>
      <c r="I456" s="8">
        <v>131.01159999999999</v>
      </c>
    </row>
    <row r="457" spans="1:9" ht="25.5">
      <c r="A457" s="14" t="s">
        <v>901</v>
      </c>
      <c r="B457" s="15"/>
      <c r="C457" s="15"/>
      <c r="D457" s="5"/>
      <c r="E457" s="13" t="s">
        <v>902</v>
      </c>
      <c r="F457" s="9">
        <v>59.403599687499998</v>
      </c>
      <c r="G457" s="7"/>
      <c r="H457" s="8">
        <f t="shared" ref="H457:H520" si="7">F457*1.06</f>
        <v>62.967815668749999</v>
      </c>
      <c r="I457" s="9">
        <v>127.5284</v>
      </c>
    </row>
    <row r="458" spans="1:9" ht="63.75">
      <c r="A458" s="16" t="s">
        <v>903</v>
      </c>
      <c r="B458" s="15"/>
      <c r="C458" s="15"/>
      <c r="D458" s="5"/>
      <c r="E458" s="12" t="s">
        <v>904</v>
      </c>
      <c r="F458" s="8">
        <v>30.8916521875</v>
      </c>
      <c r="G458" s="6"/>
      <c r="H458" s="8">
        <f t="shared" si="7"/>
        <v>32.745151318750004</v>
      </c>
      <c r="I458" s="8">
        <v>69.415999999999997</v>
      </c>
    </row>
    <row r="459" spans="1:9" ht="25.5">
      <c r="A459" s="14" t="s">
        <v>905</v>
      </c>
      <c r="B459" s="15"/>
      <c r="C459" s="15"/>
      <c r="D459" s="5"/>
      <c r="E459" s="13" t="s">
        <v>906</v>
      </c>
      <c r="F459" s="9">
        <v>39.915547187500003</v>
      </c>
      <c r="G459" s="7"/>
      <c r="H459" s="8">
        <f t="shared" si="7"/>
        <v>42.310480018750006</v>
      </c>
      <c r="I459" s="9">
        <v>89.640799999999999</v>
      </c>
    </row>
    <row r="460" spans="1:9" ht="25.5">
      <c r="A460" s="16" t="s">
        <v>907</v>
      </c>
      <c r="B460" s="15"/>
      <c r="C460" s="15"/>
      <c r="D460" s="5"/>
      <c r="E460" s="12" t="s">
        <v>908</v>
      </c>
      <c r="F460" s="8">
        <v>41.043534062500001</v>
      </c>
      <c r="G460" s="6"/>
      <c r="H460" s="8">
        <f t="shared" si="7"/>
        <v>43.50614610625</v>
      </c>
      <c r="I460" s="8">
        <v>93.011600000000001</v>
      </c>
    </row>
    <row r="461" spans="1:9" ht="25.5">
      <c r="A461" s="14" t="s">
        <v>909</v>
      </c>
      <c r="B461" s="15"/>
      <c r="C461" s="15"/>
      <c r="D461" s="5"/>
      <c r="E461" s="13" t="s">
        <v>910</v>
      </c>
      <c r="F461" s="9">
        <v>42.171520937499999</v>
      </c>
      <c r="G461" s="7"/>
      <c r="H461" s="8">
        <f t="shared" si="7"/>
        <v>44.701812193750001</v>
      </c>
      <c r="I461" s="9">
        <v>95.258799999999994</v>
      </c>
    </row>
    <row r="462" spans="1:9" ht="25.5">
      <c r="A462" s="16" t="s">
        <v>911</v>
      </c>
      <c r="B462" s="15"/>
      <c r="C462" s="15"/>
      <c r="D462" s="5"/>
      <c r="E462" s="12" t="s">
        <v>912</v>
      </c>
      <c r="F462" s="8">
        <v>30.8916521875</v>
      </c>
      <c r="G462" s="6"/>
      <c r="H462" s="8">
        <f t="shared" si="7"/>
        <v>32.745151318750004</v>
      </c>
      <c r="I462" s="8">
        <v>69.415999999999997</v>
      </c>
    </row>
    <row r="463" spans="1:9" ht="25.5">
      <c r="A463" s="14" t="s">
        <v>913</v>
      </c>
      <c r="B463" s="15"/>
      <c r="C463" s="15"/>
      <c r="D463" s="5"/>
      <c r="E463" s="13" t="s">
        <v>914</v>
      </c>
      <c r="F463" s="9">
        <v>31.8916521875</v>
      </c>
      <c r="G463" s="7"/>
      <c r="H463" s="8">
        <f t="shared" si="7"/>
        <v>33.805151318749999</v>
      </c>
      <c r="I463" s="9">
        <v>71.415999999999997</v>
      </c>
    </row>
    <row r="464" spans="1:9" ht="25.5">
      <c r="A464" s="16" t="s">
        <v>915</v>
      </c>
      <c r="B464" s="15"/>
      <c r="C464" s="15"/>
      <c r="D464" s="5"/>
      <c r="E464" s="12" t="s">
        <v>916</v>
      </c>
      <c r="F464" s="8">
        <v>37.531586562500003</v>
      </c>
      <c r="G464" s="6"/>
      <c r="H464" s="8">
        <f t="shared" si="7"/>
        <v>39.783481756250005</v>
      </c>
      <c r="I464" s="8">
        <v>84.899199999999993</v>
      </c>
    </row>
    <row r="465" spans="1:9" ht="25.5">
      <c r="A465" s="14" t="s">
        <v>917</v>
      </c>
      <c r="B465" s="15"/>
      <c r="C465" s="15"/>
      <c r="D465" s="5"/>
      <c r="E465" s="13" t="s">
        <v>918</v>
      </c>
      <c r="F465" s="9">
        <v>39.223566875000003</v>
      </c>
      <c r="G465" s="7"/>
      <c r="H465" s="8">
        <f t="shared" si="7"/>
        <v>41.576980887500007</v>
      </c>
      <c r="I465" s="9">
        <v>88.27</v>
      </c>
    </row>
    <row r="466" spans="1:9" ht="25.5">
      <c r="A466" s="16" t="s">
        <v>919</v>
      </c>
      <c r="B466" s="15"/>
      <c r="C466" s="15"/>
      <c r="D466" s="5"/>
      <c r="E466" s="12" t="s">
        <v>920</v>
      </c>
      <c r="F466" s="8">
        <v>44.863501249999999</v>
      </c>
      <c r="G466" s="6"/>
      <c r="H466" s="8">
        <f t="shared" si="7"/>
        <v>47.555311324999998</v>
      </c>
      <c r="I466" s="8">
        <v>100.6296</v>
      </c>
    </row>
    <row r="467" spans="1:9" ht="25.5">
      <c r="A467" s="14" t="s">
        <v>921</v>
      </c>
      <c r="B467" s="15"/>
      <c r="C467" s="15"/>
      <c r="D467" s="5"/>
      <c r="E467" s="13" t="s">
        <v>922</v>
      </c>
      <c r="F467" s="9">
        <v>45.991488124999997</v>
      </c>
      <c r="G467" s="7"/>
      <c r="H467" s="8">
        <f t="shared" si="7"/>
        <v>48.750977412499999</v>
      </c>
      <c r="I467" s="9">
        <v>104.0004</v>
      </c>
    </row>
    <row r="468" spans="1:9" ht="25.5">
      <c r="A468" s="16" t="s">
        <v>923</v>
      </c>
      <c r="B468" s="15"/>
      <c r="C468" s="15"/>
      <c r="D468" s="5"/>
      <c r="E468" s="12" t="s">
        <v>924</v>
      </c>
      <c r="F468" s="8">
        <v>47.119475000000001</v>
      </c>
      <c r="G468" s="6"/>
      <c r="H468" s="8">
        <f t="shared" si="7"/>
        <v>49.9466435</v>
      </c>
      <c r="I468" s="8">
        <v>106.24760000000001</v>
      </c>
    </row>
    <row r="469" spans="1:9" ht="23.25" customHeight="1">
      <c r="A469" s="14" t="s">
        <v>925</v>
      </c>
      <c r="B469" s="15"/>
      <c r="C469" s="15"/>
      <c r="D469" s="5"/>
      <c r="E469" s="13" t="s">
        <v>926</v>
      </c>
      <c r="F469" s="9">
        <v>40.351553750000001</v>
      </c>
      <c r="G469" s="7"/>
      <c r="H469" s="8">
        <f t="shared" si="7"/>
        <v>42.772646975000001</v>
      </c>
      <c r="I469" s="9">
        <v>90.517200000000003</v>
      </c>
    </row>
    <row r="470" spans="1:9" ht="27" customHeight="1">
      <c r="A470" s="16" t="s">
        <v>927</v>
      </c>
      <c r="B470" s="15"/>
      <c r="C470" s="15"/>
      <c r="D470" s="5"/>
      <c r="E470" s="12" t="s">
        <v>928</v>
      </c>
      <c r="F470" s="8">
        <v>47.683468437499997</v>
      </c>
      <c r="G470" s="6"/>
      <c r="H470" s="8">
        <f t="shared" si="7"/>
        <v>50.544476543750001</v>
      </c>
      <c r="I470" s="8">
        <v>107.3712</v>
      </c>
    </row>
    <row r="471" spans="1:9" ht="25.5" customHeight="1">
      <c r="A471" s="14" t="s">
        <v>929</v>
      </c>
      <c r="B471" s="15"/>
      <c r="C471" s="15"/>
      <c r="D471" s="5"/>
      <c r="E471" s="13" t="s">
        <v>930</v>
      </c>
      <c r="F471" s="9">
        <v>48.811455312500001</v>
      </c>
      <c r="G471" s="7"/>
      <c r="H471" s="8">
        <f t="shared" si="7"/>
        <v>51.740142631250002</v>
      </c>
      <c r="I471" s="9">
        <v>109.61839999999999</v>
      </c>
    </row>
    <row r="472" spans="1:9" ht="26.25" customHeight="1">
      <c r="A472" s="16" t="s">
        <v>931</v>
      </c>
      <c r="B472" s="15"/>
      <c r="C472" s="15"/>
      <c r="D472" s="5"/>
      <c r="E472" s="12" t="s">
        <v>932</v>
      </c>
      <c r="F472" s="8">
        <v>49.939442187499999</v>
      </c>
      <c r="G472" s="6"/>
      <c r="H472" s="8">
        <f t="shared" si="7"/>
        <v>52.935808718750003</v>
      </c>
      <c r="I472" s="8">
        <v>112.9892</v>
      </c>
    </row>
    <row r="473" spans="1:9" ht="25.5">
      <c r="A473" s="14" t="s">
        <v>933</v>
      </c>
      <c r="B473" s="15"/>
      <c r="C473" s="15"/>
      <c r="D473" s="5"/>
      <c r="E473" s="13" t="s">
        <v>934</v>
      </c>
      <c r="F473" s="9">
        <v>36.531586562500003</v>
      </c>
      <c r="G473" s="7"/>
      <c r="H473" s="8">
        <f t="shared" si="7"/>
        <v>38.723481756250003</v>
      </c>
      <c r="I473" s="9">
        <v>78.404799999999994</v>
      </c>
    </row>
    <row r="474" spans="1:9" ht="25.5">
      <c r="A474" s="16" t="s">
        <v>935</v>
      </c>
      <c r="B474" s="15"/>
      <c r="C474" s="15"/>
      <c r="D474" s="5"/>
      <c r="E474" s="12" t="s">
        <v>936</v>
      </c>
      <c r="F474" s="8">
        <v>38.659573437500001</v>
      </c>
      <c r="G474" s="6"/>
      <c r="H474" s="8">
        <f t="shared" si="7"/>
        <v>40.979147843750006</v>
      </c>
      <c r="I474" s="8">
        <v>87.1464</v>
      </c>
    </row>
    <row r="475" spans="1:9" ht="25.5">
      <c r="A475" s="14" t="s">
        <v>937</v>
      </c>
      <c r="B475" s="15"/>
      <c r="C475" s="15"/>
      <c r="D475" s="5"/>
      <c r="E475" s="13" t="s">
        <v>938</v>
      </c>
      <c r="F475" s="9">
        <v>130</v>
      </c>
      <c r="G475" s="7"/>
      <c r="H475" s="8">
        <f t="shared" si="7"/>
        <v>137.80000000000001</v>
      </c>
      <c r="I475" s="9">
        <v>275.60000000000002</v>
      </c>
    </row>
    <row r="476" spans="1:9" ht="25.5">
      <c r="A476" s="16" t="s">
        <v>939</v>
      </c>
      <c r="B476" s="15"/>
      <c r="C476" s="15"/>
      <c r="D476" s="5"/>
      <c r="E476" s="12" t="s">
        <v>940</v>
      </c>
      <c r="F476" s="8">
        <v>37.223566875000003</v>
      </c>
      <c r="G476" s="6"/>
      <c r="H476" s="8">
        <f t="shared" si="7"/>
        <v>39.456980887500002</v>
      </c>
      <c r="I476" s="8">
        <v>70.786799999999999</v>
      </c>
    </row>
    <row r="477" spans="1:9" ht="24" customHeight="1">
      <c r="A477" s="14" t="s">
        <v>941</v>
      </c>
      <c r="B477" s="15"/>
      <c r="C477" s="15"/>
      <c r="D477" s="5"/>
      <c r="E477" s="13" t="s">
        <v>942</v>
      </c>
      <c r="F477" s="9">
        <v>195.88810000000001</v>
      </c>
      <c r="G477" s="7"/>
      <c r="H477" s="8">
        <f t="shared" si="7"/>
        <v>207.64138600000001</v>
      </c>
      <c r="I477" s="9">
        <v>749.19399999999996</v>
      </c>
    </row>
    <row r="478" spans="1:9" ht="27.75" customHeight="1">
      <c r="A478" s="16" t="s">
        <v>943</v>
      </c>
      <c r="B478" s="15"/>
      <c r="C478" s="15"/>
      <c r="D478" s="5"/>
      <c r="E478" s="12" t="s">
        <v>944</v>
      </c>
      <c r="F478" s="8">
        <v>21</v>
      </c>
      <c r="G478" s="6"/>
      <c r="H478" s="8">
        <f t="shared" si="7"/>
        <v>22.26</v>
      </c>
      <c r="I478" s="8">
        <v>46.944000000000003</v>
      </c>
    </row>
    <row r="479" spans="1:9" ht="24.75" customHeight="1">
      <c r="A479" s="14" t="s">
        <v>945</v>
      </c>
      <c r="B479" s="15"/>
      <c r="C479" s="15"/>
      <c r="D479" s="5"/>
      <c r="E479" s="13" t="s">
        <v>946</v>
      </c>
      <c r="F479" s="9">
        <v>20</v>
      </c>
      <c r="G479" s="7"/>
      <c r="H479" s="8">
        <f t="shared" si="7"/>
        <v>21.200000000000003</v>
      </c>
      <c r="I479" s="9">
        <v>44.944000000000003</v>
      </c>
    </row>
    <row r="480" spans="1:9" ht="38.25">
      <c r="A480" s="16" t="s">
        <v>947</v>
      </c>
      <c r="B480" s="15"/>
      <c r="C480" s="15"/>
      <c r="D480" s="5"/>
      <c r="E480" s="12" t="s">
        <v>948</v>
      </c>
      <c r="F480" s="8">
        <v>31</v>
      </c>
      <c r="G480" s="6"/>
      <c r="H480" s="8">
        <f t="shared" si="7"/>
        <v>32.86</v>
      </c>
      <c r="I480" s="8">
        <v>69.415999999999997</v>
      </c>
    </row>
    <row r="481" spans="1:9" ht="25.5">
      <c r="A481" s="14" t="s">
        <v>949</v>
      </c>
      <c r="B481" s="15"/>
      <c r="C481" s="15"/>
      <c r="D481" s="5"/>
      <c r="E481" s="13" t="s">
        <v>950</v>
      </c>
      <c r="F481" s="9">
        <v>29.199671875</v>
      </c>
      <c r="G481" s="7"/>
      <c r="H481" s="8">
        <f t="shared" si="7"/>
        <v>30.951652187500002</v>
      </c>
      <c r="I481" s="9">
        <v>66.045199999999994</v>
      </c>
    </row>
    <row r="482" spans="1:9" ht="26.25" customHeight="1">
      <c r="A482" s="16" t="s">
        <v>951</v>
      </c>
      <c r="B482" s="15"/>
      <c r="C482" s="15"/>
      <c r="D482" s="5"/>
      <c r="E482" s="12" t="s">
        <v>952</v>
      </c>
      <c r="F482" s="8">
        <v>119.51881874999999</v>
      </c>
      <c r="G482" s="6"/>
      <c r="H482" s="8">
        <f t="shared" si="7"/>
        <v>126.689947875</v>
      </c>
      <c r="I482" s="8">
        <v>265.21440000000001</v>
      </c>
    </row>
    <row r="483" spans="1:9" ht="25.5">
      <c r="A483" s="14" t="s">
        <v>953</v>
      </c>
      <c r="B483" s="15"/>
      <c r="C483" s="15"/>
      <c r="D483" s="5"/>
      <c r="E483" s="13" t="s">
        <v>954</v>
      </c>
      <c r="F483" s="9">
        <v>29.102061375000002</v>
      </c>
      <c r="G483" s="7"/>
      <c r="H483" s="8">
        <f t="shared" si="7"/>
        <v>30.848185057500004</v>
      </c>
      <c r="I483" s="9">
        <v>66.292400000000001</v>
      </c>
    </row>
    <row r="484" spans="1:9" ht="24.75" customHeight="1">
      <c r="A484" s="16" t="s">
        <v>955</v>
      </c>
      <c r="B484" s="15"/>
      <c r="C484" s="15"/>
      <c r="D484" s="5"/>
      <c r="E484" s="12" t="s">
        <v>956</v>
      </c>
      <c r="F484" s="8">
        <v>73.319146875000001</v>
      </c>
      <c r="G484" s="6"/>
      <c r="H484" s="8">
        <f t="shared" si="7"/>
        <v>77.718295687500003</v>
      </c>
      <c r="I484" s="8">
        <v>165.16919999999999</v>
      </c>
    </row>
    <row r="485" spans="1:9" ht="25.5">
      <c r="A485" s="14" t="s">
        <v>957</v>
      </c>
      <c r="B485" s="15"/>
      <c r="C485" s="15"/>
      <c r="D485" s="5"/>
      <c r="E485" s="13" t="s">
        <v>958</v>
      </c>
      <c r="F485" s="9">
        <v>21.42915</v>
      </c>
      <c r="G485" s="7"/>
      <c r="H485" s="8">
        <f t="shared" si="7"/>
        <v>22.714899000000003</v>
      </c>
      <c r="I485" s="9">
        <v>48.314799999999998</v>
      </c>
    </row>
    <row r="486" spans="1:9" ht="25.5">
      <c r="A486" s="16" t="s">
        <v>959</v>
      </c>
      <c r="B486" s="15"/>
      <c r="C486" s="15"/>
      <c r="D486" s="5"/>
      <c r="E486" s="12" t="s">
        <v>960</v>
      </c>
      <c r="F486" s="8">
        <v>42.299849999999999</v>
      </c>
      <c r="G486" s="6"/>
      <c r="H486" s="8">
        <f t="shared" si="7"/>
        <v>44.837841000000004</v>
      </c>
      <c r="I486" s="8">
        <v>95.506</v>
      </c>
    </row>
    <row r="487" spans="1:9" ht="25.5">
      <c r="A487" s="14" t="s">
        <v>961</v>
      </c>
      <c r="B487" s="15"/>
      <c r="C487" s="15"/>
      <c r="D487" s="5"/>
      <c r="E487" s="13" t="s">
        <v>962</v>
      </c>
      <c r="F487" s="9">
        <v>11.27986875</v>
      </c>
      <c r="G487" s="7"/>
      <c r="H487" s="8">
        <f t="shared" si="7"/>
        <v>11.956660875000001</v>
      </c>
      <c r="I487" s="9">
        <v>25.8428</v>
      </c>
    </row>
    <row r="488" spans="1:9" ht="25.5">
      <c r="A488" s="16" t="s">
        <v>963</v>
      </c>
      <c r="B488" s="15"/>
      <c r="C488" s="15"/>
      <c r="D488" s="5"/>
      <c r="E488" s="12" t="s">
        <v>964</v>
      </c>
      <c r="F488" s="8">
        <v>3.8199671875000001</v>
      </c>
      <c r="G488" s="6"/>
      <c r="H488" s="8">
        <f t="shared" si="7"/>
        <v>4.0491652187500007</v>
      </c>
      <c r="I488" s="8">
        <v>8.7416</v>
      </c>
    </row>
    <row r="489" spans="1:9" ht="23.25" customHeight="1">
      <c r="A489" s="14" t="s">
        <v>965</v>
      </c>
      <c r="B489" s="15"/>
      <c r="C489" s="15"/>
      <c r="D489" s="5"/>
      <c r="E489" s="13" t="s">
        <v>966</v>
      </c>
      <c r="F489" s="9">
        <v>3.8199671875000001</v>
      </c>
      <c r="G489" s="7"/>
      <c r="H489" s="8">
        <f t="shared" si="7"/>
        <v>4.0491652187500007</v>
      </c>
      <c r="I489" s="9">
        <v>8.7416</v>
      </c>
    </row>
    <row r="490" spans="1:9" ht="25.5">
      <c r="A490" s="16" t="s">
        <v>967</v>
      </c>
      <c r="B490" s="15"/>
      <c r="C490" s="15"/>
      <c r="D490" s="5"/>
      <c r="E490" s="12" t="s">
        <v>968</v>
      </c>
      <c r="F490" s="8">
        <v>3.8199671875000001</v>
      </c>
      <c r="G490" s="6"/>
      <c r="H490" s="8">
        <f t="shared" si="7"/>
        <v>4.0491652187500007</v>
      </c>
      <c r="I490" s="8">
        <v>8.7416</v>
      </c>
    </row>
    <row r="491" spans="1:9" ht="25.5">
      <c r="A491" s="14" t="s">
        <v>969</v>
      </c>
      <c r="B491" s="15"/>
      <c r="C491" s="15"/>
      <c r="D491" s="5"/>
      <c r="E491" s="13" t="s">
        <v>970</v>
      </c>
      <c r="F491" s="9">
        <v>3.8199671875000001</v>
      </c>
      <c r="G491" s="7"/>
      <c r="H491" s="8">
        <f t="shared" si="7"/>
        <v>4.0491652187500007</v>
      </c>
      <c r="I491" s="9">
        <v>7.6180000000000003</v>
      </c>
    </row>
    <row r="492" spans="1:9" ht="25.5">
      <c r="A492" s="16" t="s">
        <v>971</v>
      </c>
      <c r="B492" s="15"/>
      <c r="C492" s="15"/>
      <c r="D492" s="5"/>
      <c r="E492" s="12" t="s">
        <v>972</v>
      </c>
      <c r="F492" s="8">
        <v>3.7071684999999999</v>
      </c>
      <c r="G492" s="6"/>
      <c r="H492" s="8">
        <f t="shared" si="7"/>
        <v>3.9295986100000002</v>
      </c>
      <c r="I492" s="8">
        <v>7.6180000000000003</v>
      </c>
    </row>
    <row r="493" spans="1:9" ht="25.5">
      <c r="A493" s="14" t="s">
        <v>973</v>
      </c>
      <c r="B493" s="15"/>
      <c r="C493" s="15"/>
      <c r="D493" s="5"/>
      <c r="E493" s="13" t="s">
        <v>974</v>
      </c>
      <c r="F493" s="9">
        <v>3.8199671875000001</v>
      </c>
      <c r="G493" s="7"/>
      <c r="H493" s="8">
        <f t="shared" si="7"/>
        <v>4.0491652187500007</v>
      </c>
      <c r="I493" s="9">
        <v>7.6180000000000003</v>
      </c>
    </row>
    <row r="494" spans="1:9" ht="25.5">
      <c r="A494" s="16" t="s">
        <v>975</v>
      </c>
      <c r="B494" s="15"/>
      <c r="C494" s="15"/>
      <c r="D494" s="5"/>
      <c r="E494" s="12" t="s">
        <v>976</v>
      </c>
      <c r="F494" s="8">
        <v>3.7071684999999999</v>
      </c>
      <c r="G494" s="6"/>
      <c r="H494" s="8">
        <f t="shared" si="7"/>
        <v>3.9295986100000002</v>
      </c>
      <c r="I494" s="8">
        <v>7.6180000000000003</v>
      </c>
    </row>
    <row r="495" spans="1:9" ht="25.5">
      <c r="A495" s="14" t="s">
        <v>977</v>
      </c>
      <c r="B495" s="15"/>
      <c r="C495" s="15"/>
      <c r="D495" s="5"/>
      <c r="E495" s="13" t="s">
        <v>978</v>
      </c>
      <c r="F495" s="9">
        <v>3.7071684999999999</v>
      </c>
      <c r="G495" s="7"/>
      <c r="H495" s="8">
        <f t="shared" si="7"/>
        <v>3.9295986100000002</v>
      </c>
      <c r="I495" s="9">
        <v>7.6180000000000003</v>
      </c>
    </row>
    <row r="496" spans="1:9" ht="25.5">
      <c r="A496" s="16" t="s">
        <v>979</v>
      </c>
      <c r="B496" s="15"/>
      <c r="C496" s="15"/>
      <c r="D496" s="5"/>
      <c r="E496" s="12" t="s">
        <v>980</v>
      </c>
      <c r="F496" s="8">
        <v>12.828673999999999</v>
      </c>
      <c r="G496" s="6"/>
      <c r="H496" s="8">
        <f t="shared" si="7"/>
        <v>13.59839444</v>
      </c>
      <c r="I496" s="8">
        <v>25.348400000000002</v>
      </c>
    </row>
    <row r="497" spans="1:9" ht="25.5">
      <c r="A497" s="14" t="s">
        <v>981</v>
      </c>
      <c r="B497" s="15"/>
      <c r="C497" s="15"/>
      <c r="D497" s="5"/>
      <c r="E497" s="13" t="s">
        <v>982</v>
      </c>
      <c r="F497" s="9">
        <v>31.425269249999999</v>
      </c>
      <c r="G497" s="7"/>
      <c r="H497" s="8">
        <f t="shared" si="7"/>
        <v>33.310785405000004</v>
      </c>
      <c r="I497" s="9">
        <v>59.9328</v>
      </c>
    </row>
    <row r="498" spans="1:9" ht="22.5" customHeight="1">
      <c r="A498" s="16" t="s">
        <v>983</v>
      </c>
      <c r="B498" s="15"/>
      <c r="C498" s="15"/>
      <c r="D498" s="5"/>
      <c r="E498" s="12" t="s">
        <v>984</v>
      </c>
      <c r="F498" s="8">
        <v>39.1931905</v>
      </c>
      <c r="G498" s="6"/>
      <c r="H498" s="8">
        <f t="shared" si="7"/>
        <v>41.544781929999999</v>
      </c>
      <c r="I498" s="8">
        <v>74.292400000000001</v>
      </c>
    </row>
    <row r="499" spans="1:9" ht="21.75" customHeight="1">
      <c r="A499" s="14" t="s">
        <v>985</v>
      </c>
      <c r="B499" s="15"/>
      <c r="C499" s="15"/>
      <c r="D499" s="5"/>
      <c r="E499" s="13" t="s">
        <v>986</v>
      </c>
      <c r="F499" s="9">
        <v>51.0218645</v>
      </c>
      <c r="G499" s="7"/>
      <c r="H499" s="8">
        <f t="shared" si="7"/>
        <v>54.083176370000004</v>
      </c>
      <c r="I499" s="9">
        <v>96.517200000000003</v>
      </c>
    </row>
    <row r="500" spans="1:9" ht="38.25">
      <c r="A500" s="16" t="s">
        <v>987</v>
      </c>
      <c r="B500" s="15"/>
      <c r="C500" s="15"/>
      <c r="D500" s="5"/>
      <c r="E500" s="12" t="s">
        <v>988</v>
      </c>
      <c r="F500" s="8">
        <v>2.2407855625000002</v>
      </c>
      <c r="G500" s="6"/>
      <c r="H500" s="8">
        <f t="shared" si="7"/>
        <v>2.3752326962500003</v>
      </c>
      <c r="I500" s="8">
        <v>5.3708</v>
      </c>
    </row>
    <row r="501" spans="1:9" ht="25.5">
      <c r="A501" s="14" t="s">
        <v>989</v>
      </c>
      <c r="B501" s="15"/>
      <c r="C501" s="15"/>
      <c r="D501" s="5"/>
      <c r="E501" s="13" t="s">
        <v>990</v>
      </c>
      <c r="F501" s="9">
        <v>8.1063173124999999</v>
      </c>
      <c r="G501" s="7"/>
      <c r="H501" s="8">
        <f t="shared" si="7"/>
        <v>8.5926963512499999</v>
      </c>
      <c r="I501" s="9">
        <v>15.4832</v>
      </c>
    </row>
    <row r="502" spans="1:9" ht="25.5">
      <c r="A502" s="16" t="s">
        <v>991</v>
      </c>
      <c r="B502" s="15"/>
      <c r="C502" s="15"/>
      <c r="D502" s="5"/>
      <c r="E502" s="12" t="s">
        <v>992</v>
      </c>
      <c r="F502" s="8">
        <v>19.934991312499999</v>
      </c>
      <c r="G502" s="6"/>
      <c r="H502" s="8">
        <f t="shared" si="7"/>
        <v>21.131090791249999</v>
      </c>
      <c r="I502" s="8">
        <v>37.707999999999998</v>
      </c>
    </row>
    <row r="503" spans="1:9" ht="25.5">
      <c r="A503" s="14" t="s">
        <v>993</v>
      </c>
      <c r="B503" s="15"/>
      <c r="C503" s="15"/>
      <c r="D503" s="5"/>
      <c r="E503" s="13" t="s">
        <v>994</v>
      </c>
      <c r="F503" s="9">
        <v>12.151881875000001</v>
      </c>
      <c r="G503" s="7"/>
      <c r="H503" s="8">
        <f t="shared" si="7"/>
        <v>12.880994787500002</v>
      </c>
      <c r="I503" s="9">
        <v>23.101199999999999</v>
      </c>
    </row>
    <row r="504" spans="1:9" ht="25.5">
      <c r="A504" s="16" t="s">
        <v>995</v>
      </c>
      <c r="B504" s="15"/>
      <c r="C504" s="15"/>
      <c r="D504" s="5"/>
      <c r="E504" s="12" t="s">
        <v>996</v>
      </c>
      <c r="F504" s="8">
        <v>7.0911291250000001</v>
      </c>
      <c r="G504" s="6"/>
      <c r="H504" s="8">
        <f t="shared" si="7"/>
        <v>7.516596872500001</v>
      </c>
      <c r="I504" s="8">
        <v>14.3596</v>
      </c>
    </row>
    <row r="505" spans="1:9" ht="25.5">
      <c r="A505" s="14" t="s">
        <v>997</v>
      </c>
      <c r="B505" s="15"/>
      <c r="C505" s="15"/>
      <c r="D505" s="5"/>
      <c r="E505" s="13" t="s">
        <v>998</v>
      </c>
      <c r="F505" s="9">
        <v>4.0455645625000001</v>
      </c>
      <c r="G505" s="7"/>
      <c r="H505" s="8">
        <f t="shared" si="7"/>
        <v>4.2882984362500007</v>
      </c>
      <c r="I505" s="9">
        <v>8.7416</v>
      </c>
    </row>
    <row r="506" spans="1:9" ht="51">
      <c r="A506" s="16" t="s">
        <v>999</v>
      </c>
      <c r="B506" s="15"/>
      <c r="C506" s="15"/>
      <c r="D506" s="5"/>
      <c r="E506" s="12" t="s">
        <v>1000</v>
      </c>
      <c r="F506" s="8">
        <v>25.38</v>
      </c>
      <c r="G506" s="6"/>
      <c r="H506" s="8">
        <f t="shared" si="7"/>
        <v>26.902799999999999</v>
      </c>
      <c r="I506" s="8">
        <v>53.445599999999999</v>
      </c>
    </row>
    <row r="507" spans="1:9" ht="38.25">
      <c r="A507" s="14" t="s">
        <v>1001</v>
      </c>
      <c r="B507" s="15"/>
      <c r="C507" s="15"/>
      <c r="D507" s="5"/>
      <c r="E507" s="13" t="s">
        <v>1002</v>
      </c>
      <c r="F507" s="9">
        <v>23.980555875</v>
      </c>
      <c r="G507" s="7"/>
      <c r="H507" s="8">
        <f t="shared" si="7"/>
        <v>25.419389227500002</v>
      </c>
      <c r="I507" s="9">
        <v>46.449599999999997</v>
      </c>
    </row>
    <row r="508" spans="1:9" ht="51">
      <c r="A508" s="16" t="s">
        <v>1003</v>
      </c>
      <c r="B508" s="15"/>
      <c r="C508" s="15"/>
      <c r="D508" s="5"/>
      <c r="E508" s="12" t="s">
        <v>1004</v>
      </c>
      <c r="F508" s="8">
        <v>32.199671875</v>
      </c>
      <c r="G508" s="6"/>
      <c r="H508" s="8">
        <f t="shared" si="7"/>
        <v>34.131652187500002</v>
      </c>
      <c r="I508" s="8">
        <v>78.786799999999999</v>
      </c>
    </row>
    <row r="509" spans="1:9" ht="25.5">
      <c r="A509" s="14" t="s">
        <v>1005</v>
      </c>
      <c r="B509" s="15"/>
      <c r="C509" s="15"/>
      <c r="D509" s="5"/>
      <c r="E509" s="13" t="s">
        <v>1006</v>
      </c>
      <c r="F509" s="9">
        <v>3.2559737499999999</v>
      </c>
      <c r="G509" s="7"/>
      <c r="H509" s="8">
        <f t="shared" si="7"/>
        <v>3.4513321750000001</v>
      </c>
      <c r="I509" s="9">
        <v>7.6180000000000003</v>
      </c>
    </row>
    <row r="510" spans="1:9" ht="25.5">
      <c r="A510" s="16" t="s">
        <v>1007</v>
      </c>
      <c r="B510" s="15"/>
      <c r="C510" s="15"/>
      <c r="D510" s="5"/>
      <c r="E510" s="12" t="s">
        <v>1008</v>
      </c>
      <c r="F510" s="8">
        <v>27.36375</v>
      </c>
      <c r="G510" s="6"/>
      <c r="H510" s="8">
        <f t="shared" si="7"/>
        <v>29.005575</v>
      </c>
      <c r="I510" s="8">
        <v>52.067599999999999</v>
      </c>
    </row>
    <row r="511" spans="1:9" ht="25.5">
      <c r="A511" s="14" t="s">
        <v>1009</v>
      </c>
      <c r="B511" s="15"/>
      <c r="C511" s="15"/>
      <c r="D511" s="5"/>
      <c r="E511" s="13" t="s">
        <v>1010</v>
      </c>
      <c r="F511" s="9">
        <v>27.36375</v>
      </c>
      <c r="G511" s="7"/>
      <c r="H511" s="8">
        <f t="shared" si="7"/>
        <v>29.005575</v>
      </c>
      <c r="I511" s="9">
        <v>52.067599999999999</v>
      </c>
    </row>
    <row r="512" spans="1:9" ht="28.5" customHeight="1">
      <c r="A512" s="16" t="s">
        <v>1011</v>
      </c>
      <c r="B512" s="15"/>
      <c r="C512" s="15"/>
      <c r="D512" s="5"/>
      <c r="E512" s="12" t="s">
        <v>1012</v>
      </c>
      <c r="F512" s="8">
        <v>8.04991796875</v>
      </c>
      <c r="G512" s="6"/>
      <c r="H512" s="8">
        <f t="shared" si="7"/>
        <v>8.5329130468750005</v>
      </c>
      <c r="I512" s="8">
        <v>18.853999999999999</v>
      </c>
    </row>
    <row r="513" spans="1:9" ht="25.5">
      <c r="A513" s="14" t="s">
        <v>1013</v>
      </c>
      <c r="B513" s="15"/>
      <c r="C513" s="15"/>
      <c r="D513" s="5"/>
      <c r="E513" s="13" t="s">
        <v>1014</v>
      </c>
      <c r="F513" s="9">
        <v>3.8199671875000001</v>
      </c>
      <c r="G513" s="7"/>
      <c r="H513" s="8">
        <f t="shared" si="7"/>
        <v>4.0491652187500007</v>
      </c>
      <c r="I513" s="9">
        <v>8.7416</v>
      </c>
    </row>
    <row r="514" spans="1:9" ht="25.5">
      <c r="A514" s="16" t="s">
        <v>1015</v>
      </c>
      <c r="B514" s="15"/>
      <c r="C514" s="15"/>
      <c r="D514" s="5"/>
      <c r="E514" s="12" t="s">
        <v>1016</v>
      </c>
      <c r="F514" s="8">
        <v>8.04991796875</v>
      </c>
      <c r="G514" s="6"/>
      <c r="H514" s="8">
        <f t="shared" si="7"/>
        <v>8.5329130468750005</v>
      </c>
      <c r="I514" s="8">
        <v>18.853999999999999</v>
      </c>
    </row>
    <row r="515" spans="1:9" ht="25.5">
      <c r="A515" s="14" t="s">
        <v>1017</v>
      </c>
      <c r="B515" s="15"/>
      <c r="C515" s="15"/>
      <c r="D515" s="5"/>
      <c r="E515" s="13" t="s">
        <v>1018</v>
      </c>
      <c r="F515" s="9">
        <v>12.828673999999999</v>
      </c>
      <c r="G515" s="7"/>
      <c r="H515" s="8">
        <f t="shared" si="7"/>
        <v>13.59839444</v>
      </c>
      <c r="I515" s="9">
        <v>25.348400000000002</v>
      </c>
    </row>
    <row r="516" spans="1:9" ht="25.5">
      <c r="A516" s="16" t="s">
        <v>1019</v>
      </c>
      <c r="B516" s="15"/>
      <c r="C516" s="15"/>
      <c r="D516" s="5"/>
      <c r="E516" s="12" t="s">
        <v>1020</v>
      </c>
      <c r="F516" s="8">
        <v>8.1063173124999999</v>
      </c>
      <c r="G516" s="6"/>
      <c r="H516" s="8">
        <f t="shared" si="7"/>
        <v>8.5926963512499999</v>
      </c>
      <c r="I516" s="8">
        <v>15.4832</v>
      </c>
    </row>
    <row r="517" spans="1:9" ht="27" customHeight="1">
      <c r="A517" s="14" t="s">
        <v>1021</v>
      </c>
      <c r="B517" s="15"/>
      <c r="C517" s="15"/>
      <c r="D517" s="5"/>
      <c r="E517" s="13" t="s">
        <v>1022</v>
      </c>
      <c r="F517" s="9">
        <v>8.04991796875</v>
      </c>
      <c r="G517" s="7"/>
      <c r="H517" s="8">
        <f t="shared" si="7"/>
        <v>8.5329130468750005</v>
      </c>
      <c r="I517" s="9">
        <v>18.853999999999999</v>
      </c>
    </row>
    <row r="518" spans="1:9" ht="25.5">
      <c r="A518" s="16" t="s">
        <v>1023</v>
      </c>
      <c r="B518" s="15"/>
      <c r="C518" s="15"/>
      <c r="D518" s="5"/>
      <c r="E518" s="12" t="s">
        <v>1024</v>
      </c>
      <c r="F518" s="8">
        <v>4.524958984375</v>
      </c>
      <c r="G518" s="6"/>
      <c r="H518" s="8">
        <f t="shared" si="7"/>
        <v>4.7964565234375005</v>
      </c>
      <c r="I518" s="8">
        <v>10.988799999999999</v>
      </c>
    </row>
    <row r="519" spans="1:9" ht="25.5">
      <c r="A519" s="14" t="s">
        <v>1025</v>
      </c>
      <c r="B519" s="15"/>
      <c r="C519" s="15"/>
      <c r="D519" s="5"/>
      <c r="E519" s="13" t="s">
        <v>1026</v>
      </c>
      <c r="F519" s="9">
        <v>4.3839606250000003</v>
      </c>
      <c r="G519" s="7"/>
      <c r="H519" s="8">
        <f t="shared" si="7"/>
        <v>4.6469982625000004</v>
      </c>
      <c r="I519" s="9">
        <v>8.7416</v>
      </c>
    </row>
    <row r="520" spans="1:9" ht="51">
      <c r="A520" s="16" t="s">
        <v>1027</v>
      </c>
      <c r="B520" s="15"/>
      <c r="C520" s="15"/>
      <c r="D520" s="5"/>
      <c r="E520" s="12" t="s">
        <v>1028</v>
      </c>
      <c r="F520" s="8">
        <v>16.0998359375</v>
      </c>
      <c r="G520" s="6"/>
      <c r="H520" s="8">
        <f t="shared" si="7"/>
        <v>17.065826093750001</v>
      </c>
      <c r="I520" s="8">
        <v>36.584400000000002</v>
      </c>
    </row>
    <row r="521" spans="1:9" ht="25.5">
      <c r="A521" s="14" t="s">
        <v>1029</v>
      </c>
      <c r="B521" s="15"/>
      <c r="C521" s="15"/>
      <c r="D521" s="5"/>
      <c r="E521" s="13" t="s">
        <v>1030</v>
      </c>
      <c r="F521" s="9">
        <v>24.149753906250002</v>
      </c>
      <c r="G521" s="7"/>
      <c r="H521" s="8">
        <f t="shared" ref="H521:H584" si="8">F521*1.06</f>
        <v>25.598739140625003</v>
      </c>
      <c r="I521" s="9">
        <v>54.314799999999998</v>
      </c>
    </row>
    <row r="522" spans="1:9" ht="25.5">
      <c r="A522" s="16" t="s">
        <v>1031</v>
      </c>
      <c r="B522" s="15"/>
      <c r="C522" s="15"/>
      <c r="D522" s="5"/>
      <c r="E522" s="12" t="s">
        <v>1032</v>
      </c>
      <c r="F522" s="8">
        <v>9.798297625</v>
      </c>
      <c r="G522" s="6"/>
      <c r="H522" s="8">
        <f t="shared" si="8"/>
        <v>10.3861954825</v>
      </c>
      <c r="I522" s="8">
        <v>18.853999999999999</v>
      </c>
    </row>
    <row r="523" spans="1:9" ht="24.75" customHeight="1">
      <c r="A523" s="14" t="s">
        <v>1033</v>
      </c>
      <c r="B523" s="15"/>
      <c r="C523" s="15"/>
      <c r="D523" s="5"/>
      <c r="E523" s="13" t="s">
        <v>1034</v>
      </c>
      <c r="F523" s="9">
        <v>16.0998359375</v>
      </c>
      <c r="G523" s="7"/>
      <c r="H523" s="8">
        <f t="shared" si="8"/>
        <v>17.065826093750001</v>
      </c>
      <c r="I523" s="9">
        <v>29.8428</v>
      </c>
    </row>
    <row r="524" spans="1:9" ht="25.5">
      <c r="A524" s="16" t="s">
        <v>1035</v>
      </c>
      <c r="B524" s="15"/>
      <c r="C524" s="15"/>
      <c r="D524" s="5"/>
      <c r="E524" s="12" t="s">
        <v>1036</v>
      </c>
      <c r="F524" s="8">
        <v>62.850538499999999</v>
      </c>
      <c r="G524" s="6"/>
      <c r="H524" s="8">
        <f t="shared" si="8"/>
        <v>66.621570810000009</v>
      </c>
      <c r="I524" s="8">
        <v>118.742</v>
      </c>
    </row>
    <row r="525" spans="1:9" ht="26.25" customHeight="1">
      <c r="A525" s="14" t="s">
        <v>1037</v>
      </c>
      <c r="B525" s="15"/>
      <c r="C525" s="15"/>
      <c r="D525" s="5"/>
      <c r="E525" s="13" t="s">
        <v>1038</v>
      </c>
      <c r="F525" s="9">
        <v>10.5878884375</v>
      </c>
      <c r="G525" s="7"/>
      <c r="H525" s="8">
        <f t="shared" si="8"/>
        <v>11.223161743750001</v>
      </c>
      <c r="I525" s="9">
        <v>24.472000000000001</v>
      </c>
    </row>
    <row r="526" spans="1:9" ht="30" customHeight="1">
      <c r="A526" s="16" t="s">
        <v>1039</v>
      </c>
      <c r="B526" s="15"/>
      <c r="C526" s="15"/>
      <c r="D526" s="5"/>
      <c r="E526" s="12" t="s">
        <v>1040</v>
      </c>
      <c r="F526" s="8">
        <v>44</v>
      </c>
      <c r="G526" s="6"/>
      <c r="H526" s="8">
        <f t="shared" si="8"/>
        <v>46.64</v>
      </c>
      <c r="I526" s="8">
        <v>97.888000000000005</v>
      </c>
    </row>
    <row r="527" spans="1:9" ht="21" customHeight="1">
      <c r="A527" s="14" t="s">
        <v>1041</v>
      </c>
      <c r="B527" s="15"/>
      <c r="C527" s="15"/>
      <c r="D527" s="5"/>
      <c r="E527" s="13" t="s">
        <v>1042</v>
      </c>
      <c r="F527" s="9">
        <v>7.3167264999999997</v>
      </c>
      <c r="G527" s="7"/>
      <c r="H527" s="8">
        <f t="shared" si="8"/>
        <v>7.7557300900000001</v>
      </c>
      <c r="I527" s="9">
        <v>16.6068</v>
      </c>
    </row>
    <row r="528" spans="1:9" ht="29.25" customHeight="1">
      <c r="A528" s="16" t="s">
        <v>1043</v>
      </c>
      <c r="B528" s="15"/>
      <c r="C528" s="15"/>
      <c r="D528" s="5"/>
      <c r="E528" s="12" t="s">
        <v>1044</v>
      </c>
      <c r="F528" s="8">
        <v>3.8199671875000001</v>
      </c>
      <c r="G528" s="6"/>
      <c r="H528" s="8">
        <f t="shared" si="8"/>
        <v>4.0491652187500007</v>
      </c>
      <c r="I528" s="8">
        <v>8.7416</v>
      </c>
    </row>
    <row r="529" spans="1:9" ht="25.5">
      <c r="A529" s="14" t="s">
        <v>1045</v>
      </c>
      <c r="B529" s="15"/>
      <c r="C529" s="15"/>
      <c r="D529" s="5"/>
      <c r="E529" s="13" t="s">
        <v>1046</v>
      </c>
      <c r="F529" s="9">
        <v>18.919803125000001</v>
      </c>
      <c r="G529" s="7"/>
      <c r="H529" s="8">
        <f t="shared" si="8"/>
        <v>20.054991312500004</v>
      </c>
      <c r="I529" s="9">
        <v>42.202399999999997</v>
      </c>
    </row>
    <row r="530" spans="1:9" ht="25.5">
      <c r="A530" s="16" t="s">
        <v>1047</v>
      </c>
      <c r="B530" s="15"/>
      <c r="C530" s="15"/>
      <c r="D530" s="5"/>
      <c r="E530" s="12" t="s">
        <v>1048</v>
      </c>
      <c r="F530" s="8">
        <v>3.8199671875000001</v>
      </c>
      <c r="G530" s="6"/>
      <c r="H530" s="8">
        <f t="shared" si="8"/>
        <v>4.0491652187500007</v>
      </c>
      <c r="I530" s="8">
        <v>8.7416</v>
      </c>
    </row>
    <row r="531" spans="1:9" ht="25.5">
      <c r="A531" s="14" t="s">
        <v>1049</v>
      </c>
      <c r="B531" s="15"/>
      <c r="C531" s="15"/>
      <c r="D531" s="5"/>
      <c r="E531" s="13" t="s">
        <v>1050</v>
      </c>
      <c r="F531" s="9">
        <v>3.8199671875000001</v>
      </c>
      <c r="G531" s="7"/>
      <c r="H531" s="8">
        <f t="shared" si="8"/>
        <v>4.0491652187500007</v>
      </c>
      <c r="I531" s="9">
        <v>8.7416</v>
      </c>
    </row>
    <row r="532" spans="1:9" ht="25.5">
      <c r="A532" s="16" t="s">
        <v>1051</v>
      </c>
      <c r="B532" s="15"/>
      <c r="C532" s="15"/>
      <c r="D532" s="5"/>
      <c r="E532" s="12" t="s">
        <v>1052</v>
      </c>
      <c r="F532" s="8">
        <v>47.299507812500003</v>
      </c>
      <c r="G532" s="6"/>
      <c r="H532" s="8">
        <f t="shared" si="8"/>
        <v>50.137478281250004</v>
      </c>
      <c r="I532" s="8">
        <v>105.506</v>
      </c>
    </row>
    <row r="533" spans="1:9" ht="25.5">
      <c r="A533" s="14" t="s">
        <v>1053</v>
      </c>
      <c r="B533" s="15"/>
      <c r="C533" s="15"/>
      <c r="D533" s="5"/>
      <c r="E533" s="13" t="s">
        <v>1054</v>
      </c>
      <c r="F533" s="9">
        <v>8.04991796875</v>
      </c>
      <c r="G533" s="7"/>
      <c r="H533" s="8">
        <f t="shared" si="8"/>
        <v>8.5329130468750005</v>
      </c>
      <c r="I533" s="9">
        <v>18.853999999999999</v>
      </c>
    </row>
    <row r="534" spans="1:9" ht="25.5">
      <c r="A534" s="16" t="s">
        <v>1055</v>
      </c>
      <c r="B534" s="15"/>
      <c r="C534" s="15"/>
      <c r="D534" s="5"/>
      <c r="E534" s="12" t="s">
        <v>1056</v>
      </c>
      <c r="F534" s="8">
        <v>8.3319146874999994</v>
      </c>
      <c r="G534" s="6"/>
      <c r="H534" s="8">
        <f t="shared" si="8"/>
        <v>8.831829568749999</v>
      </c>
      <c r="I534" s="8">
        <v>18.853999999999999</v>
      </c>
    </row>
    <row r="535" spans="1:9" ht="25.5">
      <c r="A535" s="14" t="s">
        <v>1057</v>
      </c>
      <c r="B535" s="15"/>
      <c r="C535" s="15"/>
      <c r="D535" s="5"/>
      <c r="E535" s="13" t="s">
        <v>1058</v>
      </c>
      <c r="F535" s="9">
        <v>8.3319146874999994</v>
      </c>
      <c r="G535" s="7"/>
      <c r="H535" s="8">
        <f t="shared" si="8"/>
        <v>8.831829568749999</v>
      </c>
      <c r="I535" s="9">
        <v>18.853999999999999</v>
      </c>
    </row>
    <row r="536" spans="1:9" ht="25.5">
      <c r="A536" s="16" t="s">
        <v>1059</v>
      </c>
      <c r="B536" s="15"/>
      <c r="C536" s="15"/>
      <c r="D536" s="5"/>
      <c r="E536" s="12" t="s">
        <v>1060</v>
      </c>
      <c r="F536" s="8">
        <v>11</v>
      </c>
      <c r="G536" s="6"/>
      <c r="H536" s="8">
        <f t="shared" si="8"/>
        <v>11.66</v>
      </c>
      <c r="I536" s="8">
        <v>24.472000000000001</v>
      </c>
    </row>
    <row r="537" spans="1:9" ht="25.5">
      <c r="A537" s="14" t="s">
        <v>1061</v>
      </c>
      <c r="B537" s="15"/>
      <c r="C537" s="15"/>
      <c r="D537" s="5"/>
      <c r="E537" s="13" t="s">
        <v>1062</v>
      </c>
      <c r="F537" s="9">
        <v>11</v>
      </c>
      <c r="G537" s="7"/>
      <c r="H537" s="8">
        <f t="shared" si="8"/>
        <v>11.66</v>
      </c>
      <c r="I537" s="9">
        <v>24.472000000000001</v>
      </c>
    </row>
    <row r="538" spans="1:9" ht="25.5">
      <c r="A538" s="16" t="s">
        <v>1063</v>
      </c>
      <c r="B538" s="15"/>
      <c r="C538" s="15"/>
      <c r="D538" s="5"/>
      <c r="E538" s="12" t="s">
        <v>1064</v>
      </c>
      <c r="F538" s="8">
        <v>9.4937411687500006</v>
      </c>
      <c r="G538" s="6"/>
      <c r="H538" s="8">
        <f t="shared" si="8"/>
        <v>10.063365638875002</v>
      </c>
      <c r="I538" s="8">
        <v>22.224799999999998</v>
      </c>
    </row>
    <row r="539" spans="1:9" ht="25.5">
      <c r="A539" s="14" t="s">
        <v>1065</v>
      </c>
      <c r="B539" s="15"/>
      <c r="C539" s="15"/>
      <c r="D539" s="5"/>
      <c r="E539" s="13" t="s">
        <v>1066</v>
      </c>
      <c r="F539" s="9">
        <v>11</v>
      </c>
      <c r="G539" s="7"/>
      <c r="H539" s="8">
        <f t="shared" si="8"/>
        <v>11.66</v>
      </c>
      <c r="I539" s="9">
        <v>24.472000000000001</v>
      </c>
    </row>
    <row r="540" spans="1:9" ht="25.5">
      <c r="A540" s="16" t="s">
        <v>1067</v>
      </c>
      <c r="B540" s="15"/>
      <c r="C540" s="15"/>
      <c r="D540" s="5"/>
      <c r="E540" s="12" t="s">
        <v>1068</v>
      </c>
      <c r="F540" s="8">
        <v>11</v>
      </c>
      <c r="G540" s="6"/>
      <c r="H540" s="8">
        <f t="shared" si="8"/>
        <v>11.66</v>
      </c>
      <c r="I540" s="8">
        <v>24.472000000000001</v>
      </c>
    </row>
    <row r="541" spans="1:9" ht="25.5">
      <c r="A541" s="14" t="s">
        <v>1069</v>
      </c>
      <c r="B541" s="15"/>
      <c r="C541" s="15"/>
      <c r="D541" s="5"/>
      <c r="E541" s="13" t="s">
        <v>1070</v>
      </c>
      <c r="F541" s="9">
        <v>12.264680562500001</v>
      </c>
      <c r="G541" s="7"/>
      <c r="H541" s="8">
        <f t="shared" si="8"/>
        <v>13.000561396250001</v>
      </c>
      <c r="I541" s="9">
        <v>27.595600000000001</v>
      </c>
    </row>
    <row r="542" spans="1:9" ht="22.5" customHeight="1">
      <c r="A542" s="16" t="s">
        <v>1071</v>
      </c>
      <c r="B542" s="15"/>
      <c r="C542" s="15"/>
      <c r="D542" s="5"/>
      <c r="E542" s="12" t="s">
        <v>1072</v>
      </c>
      <c r="F542" s="8">
        <v>9.798297625</v>
      </c>
      <c r="G542" s="6"/>
      <c r="H542" s="8">
        <f t="shared" si="8"/>
        <v>10.3861954825</v>
      </c>
      <c r="I542" s="8">
        <v>18.853999999999999</v>
      </c>
    </row>
    <row r="543" spans="1:9" ht="25.5" customHeight="1">
      <c r="A543" s="14" t="s">
        <v>1073</v>
      </c>
      <c r="B543" s="15"/>
      <c r="C543" s="15"/>
      <c r="D543" s="5"/>
      <c r="E543" s="13" t="s">
        <v>1074</v>
      </c>
      <c r="F543" s="9">
        <v>32.102061374999998</v>
      </c>
      <c r="G543" s="7"/>
      <c r="H543" s="8">
        <f t="shared" si="8"/>
        <v>34.028185057499996</v>
      </c>
      <c r="I543" s="9">
        <v>61.056399999999996</v>
      </c>
    </row>
    <row r="544" spans="1:9" ht="25.5">
      <c r="A544" s="16" t="s">
        <v>1075</v>
      </c>
      <c r="B544" s="15"/>
      <c r="C544" s="15"/>
      <c r="D544" s="5"/>
      <c r="E544" s="12" t="s">
        <v>1076</v>
      </c>
      <c r="F544" s="8">
        <v>5.3314696000000001</v>
      </c>
      <c r="G544" s="6"/>
      <c r="H544" s="8">
        <f t="shared" si="8"/>
        <v>5.6513577760000002</v>
      </c>
      <c r="I544" s="8">
        <v>10.988799999999999</v>
      </c>
    </row>
    <row r="545" spans="1:9" ht="25.5">
      <c r="A545" s="14" t="s">
        <v>1077</v>
      </c>
      <c r="B545" s="15"/>
      <c r="C545" s="15"/>
      <c r="D545" s="5"/>
      <c r="E545" s="13" t="s">
        <v>1078</v>
      </c>
      <c r="F545" s="9">
        <v>9.798297625</v>
      </c>
      <c r="G545" s="7"/>
      <c r="H545" s="8">
        <f t="shared" si="8"/>
        <v>10.3861954825</v>
      </c>
      <c r="I545" s="9">
        <v>18.853999999999999</v>
      </c>
    </row>
    <row r="546" spans="1:9" ht="38.25">
      <c r="A546" s="16" t="s">
        <v>1079</v>
      </c>
      <c r="B546" s="15"/>
      <c r="C546" s="15"/>
      <c r="D546" s="5"/>
      <c r="E546" s="12" t="s">
        <v>1080</v>
      </c>
      <c r="F546" s="8">
        <v>16.0998359375</v>
      </c>
      <c r="G546" s="6"/>
      <c r="H546" s="8">
        <f t="shared" si="8"/>
        <v>17.065826093750001</v>
      </c>
      <c r="I546" s="8">
        <v>36.584400000000002</v>
      </c>
    </row>
    <row r="547" spans="1:9" ht="25.5">
      <c r="A547" s="14" t="s">
        <v>1081</v>
      </c>
      <c r="B547" s="15"/>
      <c r="C547" s="15"/>
      <c r="D547" s="5"/>
      <c r="E547" s="13" t="s">
        <v>1082</v>
      </c>
      <c r="F547" s="9">
        <v>8.04991796875</v>
      </c>
      <c r="G547" s="7"/>
      <c r="H547" s="8">
        <f t="shared" si="8"/>
        <v>8.5329130468750005</v>
      </c>
      <c r="I547" s="9">
        <v>18.853999999999999</v>
      </c>
    </row>
    <row r="548" spans="1:9" ht="25.5">
      <c r="A548" s="16" t="s">
        <v>1083</v>
      </c>
      <c r="B548" s="15"/>
      <c r="C548" s="15"/>
      <c r="D548" s="5"/>
      <c r="E548" s="12" t="s">
        <v>1084</v>
      </c>
      <c r="F548" s="8">
        <v>8.04991796875</v>
      </c>
      <c r="G548" s="6"/>
      <c r="H548" s="8">
        <f t="shared" si="8"/>
        <v>8.5329130468750005</v>
      </c>
      <c r="I548" s="8">
        <v>18.853999999999999</v>
      </c>
    </row>
    <row r="549" spans="1:9" ht="24" customHeight="1">
      <c r="A549" s="14" t="s">
        <v>1085</v>
      </c>
      <c r="B549" s="15"/>
      <c r="C549" s="15"/>
      <c r="D549" s="5"/>
      <c r="E549" s="13" t="s">
        <v>1086</v>
      </c>
      <c r="F549" s="9">
        <v>4.3839606250000003</v>
      </c>
      <c r="G549" s="7"/>
      <c r="H549" s="8">
        <f t="shared" si="8"/>
        <v>4.6469982625000004</v>
      </c>
      <c r="I549" s="9">
        <v>8.7416</v>
      </c>
    </row>
    <row r="550" spans="1:9" ht="25.5" customHeight="1">
      <c r="A550" s="16" t="s">
        <v>1087</v>
      </c>
      <c r="B550" s="15"/>
      <c r="C550" s="15"/>
      <c r="D550" s="5"/>
      <c r="E550" s="12" t="s">
        <v>1088</v>
      </c>
      <c r="F550" s="8">
        <v>46.961111750000001</v>
      </c>
      <c r="G550" s="6"/>
      <c r="H550" s="8">
        <f t="shared" si="8"/>
        <v>49.778778455000001</v>
      </c>
      <c r="I550" s="8">
        <v>89.775599999999997</v>
      </c>
    </row>
    <row r="551" spans="1:9" ht="25.5">
      <c r="A551" s="14" t="s">
        <v>1089</v>
      </c>
      <c r="B551" s="15"/>
      <c r="C551" s="15"/>
      <c r="D551" s="5"/>
      <c r="E551" s="13" t="s">
        <v>1090</v>
      </c>
      <c r="F551" s="9">
        <v>31.196249999999999</v>
      </c>
      <c r="G551" s="7"/>
      <c r="H551" s="8">
        <f t="shared" si="8"/>
        <v>33.068024999999999</v>
      </c>
      <c r="I551" s="9">
        <v>70.045199999999994</v>
      </c>
    </row>
    <row r="552" spans="1:9" ht="25.5">
      <c r="A552" s="16" t="s">
        <v>1091</v>
      </c>
      <c r="B552" s="15"/>
      <c r="C552" s="15"/>
      <c r="D552" s="5"/>
      <c r="E552" s="12" t="s">
        <v>1092</v>
      </c>
      <c r="F552" s="8">
        <v>1.8459901562500001</v>
      </c>
      <c r="G552" s="6"/>
      <c r="H552" s="8">
        <f t="shared" si="8"/>
        <v>1.9567495656250002</v>
      </c>
      <c r="I552" s="8">
        <v>4.2472000000000003</v>
      </c>
    </row>
    <row r="553" spans="1:9" ht="25.5">
      <c r="A553" s="14" t="s">
        <v>1093</v>
      </c>
      <c r="B553" s="15"/>
      <c r="C553" s="15"/>
      <c r="D553" s="5"/>
      <c r="E553" s="13" t="s">
        <v>1094</v>
      </c>
      <c r="F553" s="9">
        <v>3.8199671875000001</v>
      </c>
      <c r="G553" s="7"/>
      <c r="H553" s="8">
        <f t="shared" si="8"/>
        <v>4.0491652187500007</v>
      </c>
      <c r="I553" s="9">
        <v>8.7416</v>
      </c>
    </row>
    <row r="554" spans="1:9" ht="25.5">
      <c r="A554" s="16" t="s">
        <v>1095</v>
      </c>
      <c r="B554" s="15"/>
      <c r="C554" s="15"/>
      <c r="D554" s="5"/>
      <c r="E554" s="12" t="s">
        <v>1096</v>
      </c>
      <c r="F554" s="8">
        <v>0.48503435625000002</v>
      </c>
      <c r="G554" s="6"/>
      <c r="H554" s="8">
        <f t="shared" si="8"/>
        <v>0.51413641762500006</v>
      </c>
      <c r="I554" s="8">
        <v>2.1836000000000002</v>
      </c>
    </row>
    <row r="555" spans="1:9" ht="25.5">
      <c r="A555" s="14" t="s">
        <v>1095</v>
      </c>
      <c r="B555" s="15"/>
      <c r="C555" s="15"/>
      <c r="D555" s="5"/>
      <c r="E555" s="13" t="s">
        <v>1096</v>
      </c>
      <c r="F555" s="9">
        <v>0.48503435625000002</v>
      </c>
      <c r="G555" s="7"/>
      <c r="H555" s="8">
        <f t="shared" si="8"/>
        <v>0.51413641762500006</v>
      </c>
      <c r="I555" s="9">
        <v>4.1836000000000002</v>
      </c>
    </row>
    <row r="556" spans="1:9" ht="25.5">
      <c r="A556" s="16" t="s">
        <v>1095</v>
      </c>
      <c r="B556" s="15"/>
      <c r="C556" s="15"/>
      <c r="D556" s="5"/>
      <c r="E556" s="12" t="s">
        <v>1096</v>
      </c>
      <c r="F556" s="8">
        <v>1.4850343562499999</v>
      </c>
      <c r="G556" s="6"/>
      <c r="H556" s="8">
        <f t="shared" si="8"/>
        <v>1.5741364176249999</v>
      </c>
      <c r="I556" s="8">
        <v>2.1836000000000002</v>
      </c>
    </row>
    <row r="557" spans="1:9" ht="25.5">
      <c r="A557" s="14" t="s">
        <v>1095</v>
      </c>
      <c r="B557" s="15"/>
      <c r="C557" s="15"/>
      <c r="D557" s="5"/>
      <c r="E557" s="13" t="s">
        <v>1096</v>
      </c>
      <c r="F557" s="9">
        <v>1.4850343562499999</v>
      </c>
      <c r="G557" s="7"/>
      <c r="H557" s="8">
        <f t="shared" si="8"/>
        <v>1.5741364176249999</v>
      </c>
      <c r="I557" s="9">
        <v>4.1836000000000002</v>
      </c>
    </row>
    <row r="558" spans="1:9" ht="25.5">
      <c r="A558" s="16" t="s">
        <v>1097</v>
      </c>
      <c r="B558" s="15"/>
      <c r="C558" s="15"/>
      <c r="D558" s="5"/>
      <c r="E558" s="12" t="s">
        <v>1098</v>
      </c>
      <c r="F558" s="8">
        <v>3.8199671875000001</v>
      </c>
      <c r="G558" s="6"/>
      <c r="H558" s="8">
        <f t="shared" si="8"/>
        <v>4.0491652187500007</v>
      </c>
      <c r="I558" s="8">
        <v>8.7416</v>
      </c>
    </row>
    <row r="559" spans="1:9" ht="25.5">
      <c r="A559" s="14" t="s">
        <v>1099</v>
      </c>
      <c r="B559" s="15"/>
      <c r="C559" s="15"/>
      <c r="D559" s="5"/>
      <c r="E559" s="13" t="s">
        <v>1100</v>
      </c>
      <c r="F559" s="9">
        <v>3.8199671875000001</v>
      </c>
      <c r="G559" s="7"/>
      <c r="H559" s="8">
        <f t="shared" si="8"/>
        <v>4.0491652187500007</v>
      </c>
      <c r="I559" s="9">
        <v>8.7416</v>
      </c>
    </row>
    <row r="560" spans="1:9" ht="25.5">
      <c r="A560" s="16" t="s">
        <v>1101</v>
      </c>
      <c r="B560" s="15"/>
      <c r="C560" s="15"/>
      <c r="D560" s="5"/>
      <c r="E560" s="12" t="s">
        <v>1102</v>
      </c>
      <c r="F560" s="8">
        <v>3.1149753906250002</v>
      </c>
      <c r="G560" s="6"/>
      <c r="H560" s="8">
        <f t="shared" si="8"/>
        <v>3.3018739140625004</v>
      </c>
      <c r="I560" s="8">
        <v>7.6180000000000003</v>
      </c>
    </row>
    <row r="561" spans="1:9" ht="29.25" customHeight="1">
      <c r="A561" s="14" t="s">
        <v>1103</v>
      </c>
      <c r="B561" s="15"/>
      <c r="C561" s="15"/>
      <c r="D561" s="5"/>
      <c r="E561" s="13" t="s">
        <v>1104</v>
      </c>
      <c r="F561" s="9">
        <v>12.95</v>
      </c>
      <c r="G561" s="7"/>
      <c r="H561" s="8">
        <f t="shared" si="8"/>
        <v>13.727</v>
      </c>
      <c r="I561" s="9">
        <v>29.8428</v>
      </c>
    </row>
    <row r="562" spans="1:9" ht="23.25" customHeight="1">
      <c r="A562" s="16" t="s">
        <v>1105</v>
      </c>
      <c r="B562" s="15"/>
      <c r="C562" s="15"/>
      <c r="D562" s="5"/>
      <c r="E562" s="12" t="s">
        <v>1106</v>
      </c>
      <c r="F562" s="8">
        <v>1.0704991796879999</v>
      </c>
      <c r="G562" s="6"/>
      <c r="H562" s="8">
        <f t="shared" si="8"/>
        <v>1.1347291304692799</v>
      </c>
      <c r="I562" s="8">
        <v>3.1236000000000002</v>
      </c>
    </row>
    <row r="563" spans="1:9" ht="25.5">
      <c r="A563" s="14" t="s">
        <v>1107</v>
      </c>
      <c r="B563" s="15"/>
      <c r="C563" s="15"/>
      <c r="D563" s="5"/>
      <c r="E563" s="13" t="s">
        <v>1108</v>
      </c>
      <c r="F563" s="9">
        <v>1.8459901562500001</v>
      </c>
      <c r="G563" s="7"/>
      <c r="H563" s="8">
        <f t="shared" si="8"/>
        <v>1.9567495656250002</v>
      </c>
      <c r="I563" s="9">
        <v>4.2472000000000003</v>
      </c>
    </row>
    <row r="564" spans="1:9" ht="25.5">
      <c r="A564" s="16" t="s">
        <v>1109</v>
      </c>
      <c r="B564" s="15"/>
      <c r="C564" s="15"/>
      <c r="D564" s="5"/>
      <c r="E564" s="12" t="s">
        <v>1110</v>
      </c>
      <c r="F564" s="8">
        <v>2.4099835937499998</v>
      </c>
      <c r="G564" s="6"/>
      <c r="H564" s="8">
        <f t="shared" si="8"/>
        <v>2.5545826093750001</v>
      </c>
      <c r="I564" s="8">
        <v>5.3708</v>
      </c>
    </row>
    <row r="565" spans="1:9" ht="25.5">
      <c r="A565" s="14" t="s">
        <v>1111</v>
      </c>
      <c r="B565" s="15"/>
      <c r="C565" s="15"/>
      <c r="D565" s="5"/>
      <c r="E565" s="13" t="s">
        <v>1112</v>
      </c>
      <c r="F565" s="9">
        <v>1.7049917968749999</v>
      </c>
      <c r="G565" s="7"/>
      <c r="H565" s="8">
        <f t="shared" si="8"/>
        <v>1.8072913046875001</v>
      </c>
      <c r="I565" s="9">
        <v>4.2472000000000003</v>
      </c>
    </row>
    <row r="566" spans="1:9" ht="25.5">
      <c r="A566" s="16" t="s">
        <v>1113</v>
      </c>
      <c r="B566" s="15"/>
      <c r="C566" s="15"/>
      <c r="D566" s="5"/>
      <c r="E566" s="12" t="s">
        <v>1114</v>
      </c>
      <c r="F566" s="8">
        <v>1.7049917968749999</v>
      </c>
      <c r="G566" s="6"/>
      <c r="H566" s="8">
        <f t="shared" si="8"/>
        <v>1.8072913046875001</v>
      </c>
      <c r="I566" s="8">
        <v>4.2472000000000003</v>
      </c>
    </row>
    <row r="567" spans="1:9" ht="25.5">
      <c r="A567" s="14" t="s">
        <v>1115</v>
      </c>
      <c r="B567" s="15"/>
      <c r="C567" s="15"/>
      <c r="D567" s="5"/>
      <c r="E567" s="13" t="s">
        <v>1116</v>
      </c>
      <c r="F567" s="9">
        <v>1.7049917968749999</v>
      </c>
      <c r="G567" s="7"/>
      <c r="H567" s="8">
        <f t="shared" si="8"/>
        <v>1.8072913046875001</v>
      </c>
      <c r="I567" s="9">
        <v>4.2472000000000003</v>
      </c>
    </row>
    <row r="568" spans="1:9" ht="30" customHeight="1">
      <c r="A568" s="16" t="s">
        <v>1117</v>
      </c>
      <c r="B568" s="15"/>
      <c r="C568" s="15"/>
      <c r="D568" s="5"/>
      <c r="E568" s="12" t="s">
        <v>1118</v>
      </c>
      <c r="F568" s="8">
        <v>8.4447133749999992</v>
      </c>
      <c r="G568" s="6"/>
      <c r="H568" s="8">
        <f t="shared" si="8"/>
        <v>8.9513961774999995</v>
      </c>
      <c r="I568" s="8">
        <v>16.6068</v>
      </c>
    </row>
    <row r="569" spans="1:9" ht="25.5">
      <c r="A569" s="14" t="s">
        <v>1119</v>
      </c>
      <c r="B569" s="15"/>
      <c r="C569" s="15"/>
      <c r="D569" s="5"/>
      <c r="E569" s="13" t="s">
        <v>1120</v>
      </c>
      <c r="F569" s="9">
        <v>8.4447133749999992</v>
      </c>
      <c r="G569" s="7"/>
      <c r="H569" s="8">
        <f t="shared" si="8"/>
        <v>8.9513961774999995</v>
      </c>
      <c r="I569" s="9">
        <v>16.6068</v>
      </c>
    </row>
    <row r="570" spans="1:9" ht="25.5">
      <c r="A570" s="16" t="s">
        <v>1121</v>
      </c>
      <c r="B570" s="15"/>
      <c r="C570" s="15"/>
      <c r="D570" s="5"/>
      <c r="E570" s="12" t="s">
        <v>1122</v>
      </c>
      <c r="F570" s="8">
        <v>41.223566875000003</v>
      </c>
      <c r="G570" s="6"/>
      <c r="H570" s="8">
        <f t="shared" si="8"/>
        <v>43.696980887500004</v>
      </c>
      <c r="I570" s="8">
        <v>78.786799999999999</v>
      </c>
    </row>
    <row r="571" spans="1:9" ht="76.5">
      <c r="A571" s="14" t="s">
        <v>1123</v>
      </c>
      <c r="B571" s="15"/>
      <c r="C571" s="15"/>
      <c r="D571" s="5"/>
      <c r="E571" s="13" t="s">
        <v>1124</v>
      </c>
      <c r="F571" s="9">
        <v>6</v>
      </c>
      <c r="G571" s="7"/>
      <c r="H571" s="8">
        <f t="shared" si="8"/>
        <v>6.36</v>
      </c>
      <c r="I571" s="9">
        <v>2</v>
      </c>
    </row>
    <row r="572" spans="1:9" ht="25.5">
      <c r="A572" s="16" t="s">
        <v>1125</v>
      </c>
      <c r="B572" s="15"/>
      <c r="C572" s="15"/>
      <c r="D572" s="5"/>
      <c r="E572" s="12" t="s">
        <v>1126</v>
      </c>
      <c r="F572" s="8">
        <v>2.41</v>
      </c>
      <c r="G572" s="6"/>
      <c r="H572" s="8">
        <f t="shared" si="8"/>
        <v>2.5546000000000002</v>
      </c>
      <c r="I572" s="8">
        <v>6.24</v>
      </c>
    </row>
    <row r="573" spans="1:9" ht="25.5">
      <c r="A573" s="14" t="s">
        <v>1127</v>
      </c>
      <c r="B573" s="15"/>
      <c r="C573" s="15"/>
      <c r="D573" s="5"/>
      <c r="E573" s="13" t="s">
        <v>1128</v>
      </c>
      <c r="F573" s="9">
        <v>3.1093354562500002</v>
      </c>
      <c r="G573" s="7"/>
      <c r="H573" s="8">
        <f t="shared" si="8"/>
        <v>3.2958955836250006</v>
      </c>
      <c r="I573" s="9">
        <v>6.4943999999999997</v>
      </c>
    </row>
    <row r="574" spans="1:9" ht="25.5">
      <c r="A574" s="16" t="s">
        <v>1129</v>
      </c>
      <c r="B574" s="15"/>
      <c r="C574" s="15"/>
      <c r="D574" s="5"/>
      <c r="E574" s="12" t="s">
        <v>1130</v>
      </c>
      <c r="F574" s="8">
        <v>2.4099835937499998</v>
      </c>
      <c r="G574" s="6"/>
      <c r="H574" s="8">
        <f t="shared" si="8"/>
        <v>2.5545826093750001</v>
      </c>
      <c r="I574" s="8">
        <v>5.3708</v>
      </c>
    </row>
    <row r="575" spans="1:9" ht="127.5">
      <c r="A575" s="14" t="s">
        <v>1131</v>
      </c>
      <c r="B575" s="15"/>
      <c r="C575" s="15"/>
      <c r="D575" s="5"/>
      <c r="E575" s="13" t="s">
        <v>1132</v>
      </c>
      <c r="F575" s="9">
        <v>16.0998359375</v>
      </c>
      <c r="G575" s="7"/>
      <c r="H575" s="8">
        <f t="shared" si="8"/>
        <v>17.065826093750001</v>
      </c>
      <c r="I575" s="9">
        <v>36.584400000000002</v>
      </c>
    </row>
    <row r="576" spans="1:9" ht="21" customHeight="1">
      <c r="A576" s="16" t="s">
        <v>1133</v>
      </c>
      <c r="B576" s="15"/>
      <c r="C576" s="15"/>
      <c r="D576" s="5"/>
      <c r="E576" s="12" t="s">
        <v>1134</v>
      </c>
      <c r="F576" s="8">
        <v>24.149753906250002</v>
      </c>
      <c r="G576" s="6"/>
      <c r="H576" s="8">
        <f t="shared" si="8"/>
        <v>25.598739140625003</v>
      </c>
      <c r="I576" s="8">
        <v>54.314799999999998</v>
      </c>
    </row>
    <row r="577" spans="1:9" ht="25.5">
      <c r="A577" s="14" t="s">
        <v>1135</v>
      </c>
      <c r="B577" s="15"/>
      <c r="C577" s="15"/>
      <c r="D577" s="5"/>
      <c r="E577" s="13" t="s">
        <v>1136</v>
      </c>
      <c r="F577" s="9">
        <v>5.8199671874999996</v>
      </c>
      <c r="G577" s="7"/>
      <c r="H577" s="8">
        <f t="shared" si="8"/>
        <v>6.1691652187499999</v>
      </c>
      <c r="I577" s="9">
        <v>12.7416</v>
      </c>
    </row>
    <row r="578" spans="1:9" ht="21.75" customHeight="1">
      <c r="A578" s="16" t="s">
        <v>1137</v>
      </c>
      <c r="B578" s="15"/>
      <c r="C578" s="15"/>
      <c r="D578" s="5"/>
      <c r="E578" s="12" t="s">
        <v>1138</v>
      </c>
      <c r="F578" s="8">
        <v>2.4099835937499998</v>
      </c>
      <c r="G578" s="6"/>
      <c r="H578" s="8">
        <f t="shared" si="8"/>
        <v>2.5545826093750001</v>
      </c>
      <c r="I578" s="8">
        <v>5.3708</v>
      </c>
    </row>
    <row r="579" spans="1:9" ht="25.5">
      <c r="A579" s="14" t="s">
        <v>1139</v>
      </c>
      <c r="B579" s="15"/>
      <c r="C579" s="15"/>
      <c r="D579" s="5"/>
      <c r="E579" s="13" t="s">
        <v>1140</v>
      </c>
      <c r="F579" s="9">
        <v>2.4099835937499998</v>
      </c>
      <c r="G579" s="7"/>
      <c r="H579" s="8">
        <f t="shared" si="8"/>
        <v>2.5545826093750001</v>
      </c>
      <c r="I579" s="9">
        <v>5.3708</v>
      </c>
    </row>
    <row r="580" spans="1:9" ht="25.5">
      <c r="A580" s="16" t="s">
        <v>1141</v>
      </c>
      <c r="B580" s="15"/>
      <c r="C580" s="15"/>
      <c r="D580" s="5"/>
      <c r="E580" s="12" t="s">
        <v>1142</v>
      </c>
      <c r="F580" s="8">
        <v>0.62039278124999997</v>
      </c>
      <c r="G580" s="6"/>
      <c r="H580" s="8">
        <f t="shared" si="8"/>
        <v>0.65761634812500003</v>
      </c>
      <c r="I580" s="8">
        <v>2.1836000000000002</v>
      </c>
    </row>
    <row r="581" spans="1:9" ht="25.5">
      <c r="A581" s="14" t="s">
        <v>1141</v>
      </c>
      <c r="B581" s="15"/>
      <c r="C581" s="15"/>
      <c r="D581" s="5"/>
      <c r="E581" s="13" t="s">
        <v>1142</v>
      </c>
      <c r="F581" s="9">
        <v>0.62039278124999997</v>
      </c>
      <c r="G581" s="7"/>
      <c r="H581" s="8">
        <f t="shared" si="8"/>
        <v>0.65761634812500003</v>
      </c>
      <c r="I581" s="9">
        <v>4.1836000000000002</v>
      </c>
    </row>
    <row r="582" spans="1:9" ht="25.5">
      <c r="A582" s="16" t="s">
        <v>1141</v>
      </c>
      <c r="B582" s="15"/>
      <c r="C582" s="15"/>
      <c r="D582" s="5"/>
      <c r="E582" s="12" t="s">
        <v>1142</v>
      </c>
      <c r="F582" s="8">
        <v>1.6203927812500001</v>
      </c>
      <c r="G582" s="6"/>
      <c r="H582" s="8">
        <f t="shared" si="8"/>
        <v>1.7176163481250002</v>
      </c>
      <c r="I582" s="8">
        <v>2.1836000000000002</v>
      </c>
    </row>
    <row r="583" spans="1:9" ht="25.5">
      <c r="A583" s="14" t="s">
        <v>1141</v>
      </c>
      <c r="B583" s="15"/>
      <c r="C583" s="15"/>
      <c r="D583" s="5"/>
      <c r="E583" s="13" t="s">
        <v>1142</v>
      </c>
      <c r="F583" s="9">
        <v>1.6203927812500001</v>
      </c>
      <c r="G583" s="7"/>
      <c r="H583" s="8">
        <f t="shared" si="8"/>
        <v>1.7176163481250002</v>
      </c>
      <c r="I583" s="9">
        <v>4.1836000000000002</v>
      </c>
    </row>
    <row r="584" spans="1:9" ht="25.5">
      <c r="A584" s="16" t="s">
        <v>1143</v>
      </c>
      <c r="B584" s="15"/>
      <c r="C584" s="15"/>
      <c r="D584" s="5"/>
      <c r="E584" s="12" t="s">
        <v>1144</v>
      </c>
      <c r="F584" s="8">
        <v>1.2407855624999999</v>
      </c>
      <c r="G584" s="6"/>
      <c r="H584" s="8">
        <f t="shared" si="8"/>
        <v>1.3152326962500001</v>
      </c>
      <c r="I584" s="8">
        <v>4.3672000000000004</v>
      </c>
    </row>
    <row r="585" spans="1:9" ht="25.5">
      <c r="A585" s="14" t="s">
        <v>1143</v>
      </c>
      <c r="B585" s="15"/>
      <c r="C585" s="15"/>
      <c r="D585" s="5"/>
      <c r="E585" s="13" t="s">
        <v>1144</v>
      </c>
      <c r="F585" s="9">
        <v>1.2407855624999999</v>
      </c>
      <c r="G585" s="7"/>
      <c r="H585" s="8">
        <f t="shared" ref="H585:H648" si="9">F585*1.06</f>
        <v>1.3152326962500001</v>
      </c>
      <c r="I585" s="9">
        <v>6.3672000000000004</v>
      </c>
    </row>
    <row r="586" spans="1:9" ht="25.5">
      <c r="A586" s="16" t="s">
        <v>1143</v>
      </c>
      <c r="B586" s="15"/>
      <c r="C586" s="15"/>
      <c r="D586" s="5"/>
      <c r="E586" s="12" t="s">
        <v>1144</v>
      </c>
      <c r="F586" s="8">
        <v>2.2407855625000002</v>
      </c>
      <c r="G586" s="6"/>
      <c r="H586" s="8">
        <f t="shared" si="9"/>
        <v>2.3752326962500003</v>
      </c>
      <c r="I586" s="8">
        <v>4.3672000000000004</v>
      </c>
    </row>
    <row r="587" spans="1:9" ht="25.5">
      <c r="A587" s="14" t="s">
        <v>1143</v>
      </c>
      <c r="B587" s="15"/>
      <c r="C587" s="15"/>
      <c r="D587" s="5"/>
      <c r="E587" s="13" t="s">
        <v>1144</v>
      </c>
      <c r="F587" s="9">
        <v>2.2407855625000002</v>
      </c>
      <c r="G587" s="7"/>
      <c r="H587" s="8">
        <f t="shared" si="9"/>
        <v>2.3752326962500003</v>
      </c>
      <c r="I587" s="9">
        <v>6.3672000000000004</v>
      </c>
    </row>
    <row r="588" spans="1:9" ht="25.5">
      <c r="A588" s="16" t="s">
        <v>1145</v>
      </c>
      <c r="B588" s="15"/>
      <c r="C588" s="15"/>
      <c r="D588" s="5"/>
      <c r="E588" s="12" t="s">
        <v>1146</v>
      </c>
      <c r="F588" s="8">
        <v>1.3383960625</v>
      </c>
      <c r="G588" s="6"/>
      <c r="H588" s="8">
        <f t="shared" si="9"/>
        <v>1.4186998262500001</v>
      </c>
      <c r="I588" s="8">
        <v>3.1236000000000002</v>
      </c>
    </row>
    <row r="589" spans="1:9" ht="25.5">
      <c r="A589" s="14" t="s">
        <v>1147</v>
      </c>
      <c r="B589" s="15"/>
      <c r="C589" s="15"/>
      <c r="D589" s="5"/>
      <c r="E589" s="13" t="s">
        <v>1148</v>
      </c>
      <c r="F589" s="9">
        <v>6.6399343750000002</v>
      </c>
      <c r="G589" s="7"/>
      <c r="H589" s="8">
        <f t="shared" si="9"/>
        <v>7.0383304375000009</v>
      </c>
      <c r="I589" s="9">
        <v>15.4832</v>
      </c>
    </row>
    <row r="590" spans="1:9" ht="25.5">
      <c r="A590" s="16" t="s">
        <v>1149</v>
      </c>
      <c r="B590" s="15"/>
      <c r="C590" s="15"/>
      <c r="D590" s="5"/>
      <c r="E590" s="12" t="s">
        <v>1150</v>
      </c>
      <c r="F590" s="8">
        <v>14.859050375000001</v>
      </c>
      <c r="G590" s="6"/>
      <c r="H590" s="8">
        <f t="shared" si="9"/>
        <v>15.750593397500001</v>
      </c>
      <c r="I590" s="8">
        <v>28.719200000000001</v>
      </c>
    </row>
    <row r="591" spans="1:9" ht="25.5">
      <c r="A591" s="14" t="s">
        <v>1151</v>
      </c>
      <c r="B591" s="15"/>
      <c r="C591" s="15"/>
      <c r="D591" s="5"/>
      <c r="E591" s="13" t="s">
        <v>1152</v>
      </c>
      <c r="F591" s="9">
        <v>23.303763750000002</v>
      </c>
      <c r="G591" s="7"/>
      <c r="H591" s="8">
        <f t="shared" si="9"/>
        <v>24.701989575000002</v>
      </c>
      <c r="I591" s="9">
        <v>44.202399999999997</v>
      </c>
    </row>
    <row r="592" spans="1:9" ht="25.5">
      <c r="A592" s="16" t="s">
        <v>1153</v>
      </c>
      <c r="B592" s="15"/>
      <c r="C592" s="15"/>
      <c r="D592" s="5"/>
      <c r="E592" s="12" t="s">
        <v>1154</v>
      </c>
      <c r="F592" s="8">
        <v>24.657347999999999</v>
      </c>
      <c r="G592" s="6"/>
      <c r="H592" s="8">
        <f t="shared" si="9"/>
        <v>26.136788880000001</v>
      </c>
      <c r="I592" s="8">
        <v>47.5732</v>
      </c>
    </row>
    <row r="593" spans="1:9" ht="25.5">
      <c r="A593" s="14" t="s">
        <v>1155</v>
      </c>
      <c r="B593" s="15"/>
      <c r="C593" s="15"/>
      <c r="D593" s="5"/>
      <c r="E593" s="13" t="s">
        <v>1156</v>
      </c>
      <c r="F593" s="9">
        <v>28.718100750000001</v>
      </c>
      <c r="G593" s="7"/>
      <c r="H593" s="8">
        <f t="shared" si="9"/>
        <v>30.441186795000004</v>
      </c>
      <c r="I593" s="9">
        <v>54.314799999999998</v>
      </c>
    </row>
    <row r="594" spans="1:9" ht="25.5">
      <c r="A594" s="16" t="s">
        <v>1157</v>
      </c>
      <c r="B594" s="15"/>
      <c r="C594" s="15"/>
      <c r="D594" s="5"/>
      <c r="E594" s="12" t="s">
        <v>1158</v>
      </c>
      <c r="F594" s="8">
        <v>5.3314696000000001</v>
      </c>
      <c r="G594" s="6"/>
      <c r="H594" s="8">
        <f t="shared" si="9"/>
        <v>5.6513577760000002</v>
      </c>
      <c r="I594" s="8">
        <v>10.988799999999999</v>
      </c>
    </row>
    <row r="595" spans="1:9" ht="25.5">
      <c r="A595" s="14" t="s">
        <v>1159</v>
      </c>
      <c r="B595" s="15"/>
      <c r="C595" s="15"/>
      <c r="D595" s="5"/>
      <c r="E595" s="13" t="s">
        <v>1160</v>
      </c>
      <c r="F595" s="9">
        <v>0.62039278124999997</v>
      </c>
      <c r="G595" s="7"/>
      <c r="H595" s="8">
        <f t="shared" si="9"/>
        <v>0.65761634812500003</v>
      </c>
      <c r="I595" s="9">
        <v>4.1836000000000002</v>
      </c>
    </row>
    <row r="596" spans="1:9" ht="25.5">
      <c r="A596" s="16" t="s">
        <v>1159</v>
      </c>
      <c r="B596" s="15"/>
      <c r="C596" s="15"/>
      <c r="D596" s="5"/>
      <c r="E596" s="12" t="s">
        <v>1160</v>
      </c>
      <c r="F596" s="8">
        <v>1.6203927812500001</v>
      </c>
      <c r="G596" s="6"/>
      <c r="H596" s="8">
        <f t="shared" si="9"/>
        <v>1.7176163481250002</v>
      </c>
      <c r="I596" s="8">
        <v>4.1836000000000002</v>
      </c>
    </row>
    <row r="597" spans="1:9" ht="25.5">
      <c r="A597" s="14" t="s">
        <v>1161</v>
      </c>
      <c r="B597" s="15"/>
      <c r="C597" s="15"/>
      <c r="D597" s="5"/>
      <c r="E597" s="13" t="s">
        <v>1162</v>
      </c>
      <c r="F597" s="9">
        <v>2.4099835937499998</v>
      </c>
      <c r="G597" s="7"/>
      <c r="H597" s="8">
        <f t="shared" si="9"/>
        <v>2.5545826093750001</v>
      </c>
      <c r="I597" s="9">
        <v>5.3708</v>
      </c>
    </row>
    <row r="598" spans="1:9" ht="25.5">
      <c r="A598" s="16" t="s">
        <v>1163</v>
      </c>
      <c r="B598" s="15"/>
      <c r="C598" s="15"/>
      <c r="D598" s="5"/>
      <c r="E598" s="12" t="s">
        <v>1164</v>
      </c>
      <c r="F598" s="8">
        <v>3.8199671875000001</v>
      </c>
      <c r="G598" s="6"/>
      <c r="H598" s="8">
        <f t="shared" si="9"/>
        <v>4.0491652187500007</v>
      </c>
      <c r="I598" s="8">
        <v>8.7416</v>
      </c>
    </row>
    <row r="599" spans="1:9" ht="25.5">
      <c r="A599" s="14" t="s">
        <v>1165</v>
      </c>
      <c r="B599" s="15"/>
      <c r="C599" s="15"/>
      <c r="D599" s="5"/>
      <c r="E599" s="13" t="s">
        <v>1166</v>
      </c>
      <c r="F599" s="9">
        <v>3.8199671875000001</v>
      </c>
      <c r="G599" s="7"/>
      <c r="H599" s="8">
        <f t="shared" si="9"/>
        <v>4.0491652187500007</v>
      </c>
      <c r="I599" s="9">
        <v>8.7416</v>
      </c>
    </row>
    <row r="600" spans="1:9" ht="25.5">
      <c r="A600" s="16" t="s">
        <v>1167</v>
      </c>
      <c r="B600" s="15"/>
      <c r="C600" s="15"/>
      <c r="D600" s="5"/>
      <c r="E600" s="12" t="s">
        <v>1168</v>
      </c>
      <c r="F600" s="8">
        <v>2.1279868749999999</v>
      </c>
      <c r="G600" s="6"/>
      <c r="H600" s="8">
        <f t="shared" si="9"/>
        <v>2.2556660874999999</v>
      </c>
      <c r="I600" s="8">
        <v>5.3708</v>
      </c>
    </row>
    <row r="601" spans="1:9" ht="25.5">
      <c r="A601" s="14" t="s">
        <v>1169</v>
      </c>
      <c r="B601" s="15"/>
      <c r="C601" s="15"/>
      <c r="D601" s="5"/>
      <c r="E601" s="13" t="s">
        <v>1170</v>
      </c>
      <c r="F601" s="9">
        <v>1.5639934375</v>
      </c>
      <c r="G601" s="7"/>
      <c r="H601" s="8">
        <f t="shared" si="9"/>
        <v>1.65783304375</v>
      </c>
      <c r="I601" s="9">
        <v>4.2472000000000003</v>
      </c>
    </row>
    <row r="602" spans="1:9" ht="25.5">
      <c r="A602" s="16" t="s">
        <v>1171</v>
      </c>
      <c r="B602" s="15"/>
      <c r="C602" s="15"/>
      <c r="D602" s="5"/>
      <c r="E602" s="12" t="s">
        <v>1172</v>
      </c>
      <c r="F602" s="8">
        <v>3.8199671875000001</v>
      </c>
      <c r="G602" s="6"/>
      <c r="H602" s="8">
        <f t="shared" si="9"/>
        <v>4.0491652187500007</v>
      </c>
      <c r="I602" s="8">
        <v>8.7416</v>
      </c>
    </row>
    <row r="603" spans="1:9" ht="25.5">
      <c r="A603" s="14" t="s">
        <v>1173</v>
      </c>
      <c r="B603" s="15"/>
      <c r="C603" s="15"/>
      <c r="D603" s="5"/>
      <c r="E603" s="13" t="s">
        <v>1174</v>
      </c>
      <c r="F603" s="9">
        <v>31.199671875</v>
      </c>
      <c r="G603" s="7"/>
      <c r="H603" s="8">
        <f t="shared" si="9"/>
        <v>33.0716521875</v>
      </c>
      <c r="I603" s="9">
        <v>70.045199999999994</v>
      </c>
    </row>
    <row r="604" spans="1:9" ht="25.5">
      <c r="A604" s="16" t="s">
        <v>1175</v>
      </c>
      <c r="B604" s="15"/>
      <c r="C604" s="15"/>
      <c r="D604" s="5"/>
      <c r="E604" s="12" t="s">
        <v>1176</v>
      </c>
      <c r="F604" s="8">
        <v>4.3839606250000003</v>
      </c>
      <c r="G604" s="6"/>
      <c r="H604" s="8">
        <f t="shared" si="9"/>
        <v>4.6469982625000004</v>
      </c>
      <c r="I604" s="8">
        <v>9.8651999999999997</v>
      </c>
    </row>
    <row r="605" spans="1:9" ht="38.25">
      <c r="A605" s="14" t="s">
        <v>1177</v>
      </c>
      <c r="B605" s="15"/>
      <c r="C605" s="15"/>
      <c r="D605" s="5"/>
      <c r="E605" s="13" t="s">
        <v>1178</v>
      </c>
      <c r="F605" s="9">
        <v>3.8199671875000001</v>
      </c>
      <c r="G605" s="7"/>
      <c r="H605" s="8">
        <f t="shared" si="9"/>
        <v>4.0491652187500007</v>
      </c>
      <c r="I605" s="9">
        <v>8.7416</v>
      </c>
    </row>
    <row r="606" spans="1:9" ht="25.5">
      <c r="A606" s="16" t="s">
        <v>1179</v>
      </c>
      <c r="B606" s="15"/>
      <c r="C606" s="15"/>
      <c r="D606" s="5"/>
      <c r="E606" s="12" t="s">
        <v>1180</v>
      </c>
      <c r="F606" s="8">
        <v>10.47508975</v>
      </c>
      <c r="G606" s="6"/>
      <c r="H606" s="8">
        <f t="shared" si="9"/>
        <v>11.103595135000001</v>
      </c>
      <c r="I606" s="8">
        <v>19.977599999999999</v>
      </c>
    </row>
    <row r="607" spans="1:9" ht="25.5">
      <c r="A607" s="14" t="s">
        <v>1181</v>
      </c>
      <c r="B607" s="15"/>
      <c r="C607" s="15"/>
      <c r="D607" s="5"/>
      <c r="E607" s="13" t="s">
        <v>1182</v>
      </c>
      <c r="F607" s="9">
        <v>3.82</v>
      </c>
      <c r="G607" s="7"/>
      <c r="H607" s="8">
        <f t="shared" si="9"/>
        <v>4.0491999999999999</v>
      </c>
      <c r="I607" s="9">
        <v>8.74</v>
      </c>
    </row>
    <row r="608" spans="1:9" ht="25.5">
      <c r="A608" s="16" t="s">
        <v>1183</v>
      </c>
      <c r="B608" s="15"/>
      <c r="C608" s="15"/>
      <c r="D608" s="5"/>
      <c r="E608" s="12" t="s">
        <v>1184</v>
      </c>
      <c r="F608" s="8">
        <v>4.3839606250000003</v>
      </c>
      <c r="G608" s="6"/>
      <c r="H608" s="8">
        <f t="shared" si="9"/>
        <v>4.6469982625000004</v>
      </c>
      <c r="I608" s="8">
        <v>9.8651999999999997</v>
      </c>
    </row>
    <row r="609" spans="1:9" ht="24.75" customHeight="1">
      <c r="A609" s="14" t="s">
        <v>1185</v>
      </c>
      <c r="B609" s="15"/>
      <c r="C609" s="15"/>
      <c r="D609" s="5"/>
      <c r="E609" s="13" t="s">
        <v>1186</v>
      </c>
      <c r="F609" s="9">
        <v>4.3839606250000003</v>
      </c>
      <c r="G609" s="7"/>
      <c r="H609" s="8">
        <f t="shared" si="9"/>
        <v>4.6469982625000004</v>
      </c>
      <c r="I609" s="9">
        <v>2</v>
      </c>
    </row>
    <row r="610" spans="1:9" ht="38.25">
      <c r="A610" s="16" t="s">
        <v>1187</v>
      </c>
      <c r="B610" s="15"/>
      <c r="C610" s="15"/>
      <c r="D610" s="5"/>
      <c r="E610" s="12" t="s">
        <v>1188</v>
      </c>
      <c r="F610" s="8">
        <v>3.5379704687500002</v>
      </c>
      <c r="G610" s="6"/>
      <c r="H610" s="8">
        <f t="shared" si="9"/>
        <v>3.7502486968750004</v>
      </c>
      <c r="I610" s="8">
        <v>8.7416</v>
      </c>
    </row>
    <row r="611" spans="1:9" ht="25.5">
      <c r="A611" s="14" t="s">
        <v>1189</v>
      </c>
      <c r="B611" s="15"/>
      <c r="C611" s="15"/>
      <c r="D611" s="5"/>
      <c r="E611" s="13" t="s">
        <v>1190</v>
      </c>
      <c r="F611" s="9">
        <v>5.5119474999999998</v>
      </c>
      <c r="G611" s="7"/>
      <c r="H611" s="8">
        <f t="shared" si="9"/>
        <v>5.8426643499999997</v>
      </c>
      <c r="I611" s="9">
        <v>13.236000000000001</v>
      </c>
    </row>
    <row r="612" spans="1:9" ht="25.5">
      <c r="A612" s="16" t="s">
        <v>1191</v>
      </c>
      <c r="B612" s="15"/>
      <c r="C612" s="15"/>
      <c r="D612" s="5"/>
      <c r="E612" s="12" t="s">
        <v>1192</v>
      </c>
      <c r="F612" s="8">
        <v>6.1436201500000003</v>
      </c>
      <c r="G612" s="6"/>
      <c r="H612" s="8">
        <f t="shared" si="9"/>
        <v>6.5122373590000002</v>
      </c>
      <c r="I612" s="8">
        <v>12.112399999999999</v>
      </c>
    </row>
    <row r="613" spans="1:9" ht="25.5">
      <c r="A613" s="14" t="s">
        <v>1193</v>
      </c>
      <c r="B613" s="15"/>
      <c r="C613" s="15"/>
      <c r="D613" s="5"/>
      <c r="E613" s="13" t="s">
        <v>1194</v>
      </c>
      <c r="F613" s="9">
        <v>7.0911291250000001</v>
      </c>
      <c r="G613" s="7"/>
      <c r="H613" s="8">
        <f t="shared" si="9"/>
        <v>7.516596872500001</v>
      </c>
      <c r="I613" s="9">
        <v>14.3596</v>
      </c>
    </row>
    <row r="614" spans="1:9" ht="25.5">
      <c r="A614" s="16" t="s">
        <v>1195</v>
      </c>
      <c r="B614" s="15"/>
      <c r="C614" s="15"/>
      <c r="D614" s="5"/>
      <c r="E614" s="12" t="s">
        <v>1196</v>
      </c>
      <c r="F614" s="8">
        <v>15.535842499999999</v>
      </c>
      <c r="G614" s="6"/>
      <c r="H614" s="8">
        <f t="shared" si="9"/>
        <v>16.46799305</v>
      </c>
      <c r="I614" s="8">
        <v>29.8428</v>
      </c>
    </row>
    <row r="615" spans="1:9" ht="25.5">
      <c r="A615" s="14" t="s">
        <v>1197</v>
      </c>
      <c r="B615" s="15"/>
      <c r="C615" s="15"/>
      <c r="D615" s="5"/>
      <c r="E615" s="13" t="s">
        <v>1198</v>
      </c>
      <c r="F615" s="9">
        <v>18.919803125000001</v>
      </c>
      <c r="G615" s="7"/>
      <c r="H615" s="8">
        <f t="shared" si="9"/>
        <v>20.054991312500004</v>
      </c>
      <c r="I615" s="9">
        <v>36.584400000000002</v>
      </c>
    </row>
    <row r="616" spans="1:9" ht="25.5">
      <c r="A616" s="16" t="s">
        <v>1199</v>
      </c>
      <c r="B616" s="15"/>
      <c r="C616" s="15"/>
      <c r="D616" s="5"/>
      <c r="E616" s="12" t="s">
        <v>1200</v>
      </c>
      <c r="F616" s="8">
        <v>23.303763750000002</v>
      </c>
      <c r="G616" s="6"/>
      <c r="H616" s="8">
        <f t="shared" si="9"/>
        <v>24.701989575000002</v>
      </c>
      <c r="I616" s="8">
        <v>44.202399999999997</v>
      </c>
    </row>
    <row r="617" spans="1:9" ht="25.5">
      <c r="A617" s="14" t="s">
        <v>1201</v>
      </c>
      <c r="B617" s="15"/>
      <c r="C617" s="15"/>
      <c r="D617" s="5"/>
      <c r="E617" s="13" t="s">
        <v>1202</v>
      </c>
      <c r="F617" s="9">
        <v>11</v>
      </c>
      <c r="G617" s="7"/>
      <c r="H617" s="8">
        <f t="shared" si="9"/>
        <v>11.66</v>
      </c>
      <c r="I617" s="9">
        <v>24.472000000000001</v>
      </c>
    </row>
    <row r="618" spans="1:9" ht="25.5">
      <c r="A618" s="16" t="s">
        <v>1203</v>
      </c>
      <c r="B618" s="15"/>
      <c r="C618" s="15"/>
      <c r="D618" s="5"/>
      <c r="E618" s="12" t="s">
        <v>1204</v>
      </c>
      <c r="F618" s="8">
        <v>43.479540624999998</v>
      </c>
      <c r="G618" s="6"/>
      <c r="H618" s="8">
        <f t="shared" si="9"/>
        <v>46.088313062499999</v>
      </c>
      <c r="I618" s="8">
        <v>97.888000000000005</v>
      </c>
    </row>
    <row r="619" spans="1:9" ht="25.5">
      <c r="A619" s="14" t="s">
        <v>1205</v>
      </c>
      <c r="B619" s="15"/>
      <c r="C619" s="15"/>
      <c r="D619" s="5"/>
      <c r="E619" s="13" t="s">
        <v>1206</v>
      </c>
      <c r="F619" s="9">
        <v>8.4447133749999992</v>
      </c>
      <c r="G619" s="7"/>
      <c r="H619" s="8">
        <f t="shared" si="9"/>
        <v>8.9513961774999995</v>
      </c>
      <c r="I619" s="9">
        <v>16.6068</v>
      </c>
    </row>
    <row r="620" spans="1:9" ht="25.5">
      <c r="A620" s="16" t="s">
        <v>1207</v>
      </c>
      <c r="B620" s="15"/>
      <c r="C620" s="15"/>
      <c r="D620" s="5"/>
      <c r="E620" s="12" t="s">
        <v>1208</v>
      </c>
      <c r="F620" s="8">
        <v>6.6399343750000002</v>
      </c>
      <c r="G620" s="6"/>
      <c r="H620" s="8">
        <f t="shared" si="9"/>
        <v>7.0383304375000009</v>
      </c>
      <c r="I620" s="8">
        <v>15.4832</v>
      </c>
    </row>
    <row r="621" spans="1:9" ht="25.5">
      <c r="A621" s="14" t="s">
        <v>1209</v>
      </c>
      <c r="B621" s="15"/>
      <c r="C621" s="15"/>
      <c r="D621" s="5"/>
      <c r="E621" s="13" t="s">
        <v>1210</v>
      </c>
      <c r="F621" s="9">
        <v>8.4447133749999992</v>
      </c>
      <c r="G621" s="7"/>
      <c r="H621" s="8">
        <f t="shared" si="9"/>
        <v>8.9513961774999995</v>
      </c>
      <c r="I621" s="9">
        <v>16.6068</v>
      </c>
    </row>
    <row r="622" spans="1:9" ht="25.5">
      <c r="A622" s="16" t="s">
        <v>1211</v>
      </c>
      <c r="B622" s="15"/>
      <c r="C622" s="15"/>
      <c r="D622" s="5"/>
      <c r="E622" s="12" t="s">
        <v>1212</v>
      </c>
      <c r="F622" s="8">
        <v>8.4447133749999992</v>
      </c>
      <c r="G622" s="6"/>
      <c r="H622" s="8">
        <f t="shared" si="9"/>
        <v>8.9513961774999995</v>
      </c>
      <c r="I622" s="8">
        <v>16.6068</v>
      </c>
    </row>
    <row r="623" spans="1:9" ht="25.5">
      <c r="A623" s="14" t="s">
        <v>1213</v>
      </c>
      <c r="B623" s="15"/>
      <c r="C623" s="15"/>
      <c r="D623" s="5"/>
      <c r="E623" s="13" t="s">
        <v>1214</v>
      </c>
      <c r="F623" s="9">
        <v>8.4447133749999992</v>
      </c>
      <c r="G623" s="7"/>
      <c r="H623" s="8">
        <f t="shared" si="9"/>
        <v>8.9513961774999995</v>
      </c>
      <c r="I623" s="9">
        <v>16.6068</v>
      </c>
    </row>
    <row r="624" spans="1:9" ht="25.5">
      <c r="A624" s="16" t="s">
        <v>1215</v>
      </c>
      <c r="B624" s="15"/>
      <c r="C624" s="15"/>
      <c r="D624" s="5"/>
      <c r="E624" s="12" t="s">
        <v>1216</v>
      </c>
      <c r="F624" s="8">
        <v>8.4447133749999992</v>
      </c>
      <c r="G624" s="6"/>
      <c r="H624" s="8">
        <f t="shared" si="9"/>
        <v>8.9513961774999995</v>
      </c>
      <c r="I624" s="8">
        <v>16.6068</v>
      </c>
    </row>
    <row r="625" spans="1:9" ht="25.5">
      <c r="A625" s="14" t="s">
        <v>1217</v>
      </c>
      <c r="B625" s="15"/>
      <c r="C625" s="15"/>
      <c r="D625" s="5"/>
      <c r="E625" s="13" t="s">
        <v>1218</v>
      </c>
      <c r="F625" s="9">
        <v>8.4447133749999992</v>
      </c>
      <c r="G625" s="7"/>
      <c r="H625" s="8">
        <f t="shared" si="9"/>
        <v>8.9513961774999995</v>
      </c>
      <c r="I625" s="9">
        <v>16.6068</v>
      </c>
    </row>
    <row r="626" spans="1:9" ht="25.5">
      <c r="A626" s="16" t="s">
        <v>1219</v>
      </c>
      <c r="B626" s="15"/>
      <c r="C626" s="15"/>
      <c r="D626" s="5"/>
      <c r="E626" s="12" t="s">
        <v>1220</v>
      </c>
      <c r="F626" s="8">
        <v>8.4447133749999992</v>
      </c>
      <c r="G626" s="6"/>
      <c r="H626" s="8">
        <f t="shared" si="9"/>
        <v>8.9513961774999995</v>
      </c>
      <c r="I626" s="8">
        <v>16.6068</v>
      </c>
    </row>
    <row r="627" spans="1:9" ht="25.5">
      <c r="A627" s="14" t="s">
        <v>1221</v>
      </c>
      <c r="B627" s="15"/>
      <c r="C627" s="15"/>
      <c r="D627" s="5"/>
      <c r="E627" s="13" t="s">
        <v>1222</v>
      </c>
      <c r="F627" s="9">
        <v>1.5639934375</v>
      </c>
      <c r="G627" s="7"/>
      <c r="H627" s="8">
        <f t="shared" si="9"/>
        <v>1.65783304375</v>
      </c>
      <c r="I627" s="9">
        <v>4.2472000000000003</v>
      </c>
    </row>
    <row r="628" spans="1:9" ht="25.5" customHeight="1">
      <c r="A628" s="16" t="s">
        <v>1223</v>
      </c>
      <c r="B628" s="15"/>
      <c r="C628" s="15"/>
      <c r="D628" s="5"/>
      <c r="E628" s="12" t="s">
        <v>1224</v>
      </c>
      <c r="F628" s="8">
        <v>1.5639934375</v>
      </c>
      <c r="G628" s="6"/>
      <c r="H628" s="8">
        <f t="shared" si="9"/>
        <v>1.65783304375</v>
      </c>
      <c r="I628" s="8">
        <v>4.2472000000000003</v>
      </c>
    </row>
    <row r="629" spans="1:9" ht="25.5">
      <c r="A629" s="14" t="s">
        <v>1225</v>
      </c>
      <c r="B629" s="15"/>
      <c r="C629" s="15"/>
      <c r="D629" s="5"/>
      <c r="E629" s="13" t="s">
        <v>1226</v>
      </c>
      <c r="F629" s="9">
        <v>1.2819967187500001</v>
      </c>
      <c r="G629" s="7"/>
      <c r="H629" s="8">
        <f t="shared" si="9"/>
        <v>1.3589165218750001</v>
      </c>
      <c r="I629" s="9">
        <v>3.1236000000000002</v>
      </c>
    </row>
    <row r="630" spans="1:9" ht="38.25">
      <c r="A630" s="16" t="s">
        <v>1227</v>
      </c>
      <c r="B630" s="15"/>
      <c r="C630" s="15"/>
      <c r="D630" s="5"/>
      <c r="E630" s="12" t="s">
        <v>1228</v>
      </c>
      <c r="F630" s="8">
        <v>8.04991796875</v>
      </c>
      <c r="G630" s="6"/>
      <c r="H630" s="8">
        <f t="shared" si="9"/>
        <v>8.5329130468750005</v>
      </c>
      <c r="I630" s="8">
        <v>18.853999999999999</v>
      </c>
    </row>
    <row r="631" spans="1:9" ht="25.5" customHeight="1">
      <c r="A631" s="14" t="s">
        <v>1229</v>
      </c>
      <c r="B631" s="15"/>
      <c r="C631" s="15"/>
      <c r="D631" s="5"/>
      <c r="E631" s="13" t="s">
        <v>1230</v>
      </c>
      <c r="F631" s="9">
        <v>8.8959081250000001</v>
      </c>
      <c r="G631" s="7"/>
      <c r="H631" s="8">
        <f t="shared" si="9"/>
        <v>9.4296626125000014</v>
      </c>
      <c r="I631" s="9">
        <v>19.977599999999999</v>
      </c>
    </row>
    <row r="632" spans="1:9" ht="27" customHeight="1">
      <c r="A632" s="16" t="s">
        <v>1231</v>
      </c>
      <c r="B632" s="15"/>
      <c r="C632" s="15"/>
      <c r="D632" s="5"/>
      <c r="E632" s="12" t="s">
        <v>1232</v>
      </c>
      <c r="F632" s="8">
        <v>10.47508975</v>
      </c>
      <c r="G632" s="6"/>
      <c r="H632" s="8">
        <f t="shared" si="9"/>
        <v>11.103595135000001</v>
      </c>
      <c r="I632" s="8">
        <v>19.977599999999999</v>
      </c>
    </row>
    <row r="633" spans="1:9" ht="27" customHeight="1">
      <c r="A633" s="14" t="s">
        <v>1233</v>
      </c>
      <c r="B633" s="15"/>
      <c r="C633" s="15"/>
      <c r="D633" s="5"/>
      <c r="E633" s="13" t="s">
        <v>1234</v>
      </c>
      <c r="F633" s="9">
        <v>9.1215054999999996</v>
      </c>
      <c r="G633" s="7"/>
      <c r="H633" s="8">
        <f t="shared" si="9"/>
        <v>9.6687958300000005</v>
      </c>
      <c r="I633" s="9">
        <v>17.730399999999999</v>
      </c>
    </row>
    <row r="634" spans="1:9" ht="25.5" customHeight="1">
      <c r="A634" s="16" t="s">
        <v>1235</v>
      </c>
      <c r="B634" s="15"/>
      <c r="C634" s="15"/>
      <c r="D634" s="5"/>
      <c r="E634" s="12" t="s">
        <v>1236</v>
      </c>
      <c r="F634" s="8">
        <v>9.1215054999999996</v>
      </c>
      <c r="G634" s="6"/>
      <c r="H634" s="8">
        <f t="shared" si="9"/>
        <v>9.6687958300000005</v>
      </c>
      <c r="I634" s="8">
        <v>17.730399999999999</v>
      </c>
    </row>
    <row r="635" spans="1:9" ht="21" customHeight="1">
      <c r="A635" s="14" t="s">
        <v>1237</v>
      </c>
      <c r="B635" s="15"/>
      <c r="C635" s="15"/>
      <c r="D635" s="5"/>
      <c r="E635" s="13" t="s">
        <v>1238</v>
      </c>
      <c r="F635" s="9">
        <v>9.1215054999999996</v>
      </c>
      <c r="G635" s="7"/>
      <c r="H635" s="8">
        <f t="shared" si="9"/>
        <v>9.6687958300000005</v>
      </c>
      <c r="I635" s="9">
        <v>17.730399999999999</v>
      </c>
    </row>
    <row r="636" spans="1:9" ht="25.5">
      <c r="A636" s="16" t="s">
        <v>1239</v>
      </c>
      <c r="B636" s="15"/>
      <c r="C636" s="15"/>
      <c r="D636" s="5"/>
      <c r="E636" s="12" t="s">
        <v>1240</v>
      </c>
      <c r="F636" s="8">
        <v>8.4447133749999992</v>
      </c>
      <c r="G636" s="6"/>
      <c r="H636" s="8">
        <f t="shared" si="9"/>
        <v>8.9513961774999995</v>
      </c>
      <c r="I636" s="8">
        <v>10.988799999999999</v>
      </c>
    </row>
    <row r="637" spans="1:9" ht="25.5">
      <c r="A637" s="14" t="s">
        <v>1241</v>
      </c>
      <c r="B637" s="15"/>
      <c r="C637" s="15"/>
      <c r="D637" s="5"/>
      <c r="E637" s="13" t="s">
        <v>1242</v>
      </c>
      <c r="F637" s="9">
        <v>8.4447133749999992</v>
      </c>
      <c r="G637" s="7"/>
      <c r="H637" s="8">
        <f t="shared" si="9"/>
        <v>8.9513961774999995</v>
      </c>
      <c r="I637" s="9">
        <v>16.6068</v>
      </c>
    </row>
    <row r="638" spans="1:9" ht="25.5">
      <c r="A638" s="16" t="s">
        <v>1243</v>
      </c>
      <c r="B638" s="15"/>
      <c r="C638" s="15"/>
      <c r="D638" s="5"/>
      <c r="E638" s="12" t="s">
        <v>1244</v>
      </c>
      <c r="F638" s="8">
        <v>8.4447133749999992</v>
      </c>
      <c r="G638" s="6"/>
      <c r="H638" s="8">
        <f t="shared" si="9"/>
        <v>8.9513961774999995</v>
      </c>
      <c r="I638" s="8">
        <v>16.6068</v>
      </c>
    </row>
    <row r="639" spans="1:9" ht="25.5">
      <c r="A639" s="14" t="s">
        <v>1245</v>
      </c>
      <c r="B639" s="15"/>
      <c r="C639" s="15"/>
      <c r="D639" s="5"/>
      <c r="E639" s="13" t="s">
        <v>1246</v>
      </c>
      <c r="F639" s="9">
        <v>8.4447133749999992</v>
      </c>
      <c r="G639" s="7"/>
      <c r="H639" s="8">
        <f t="shared" si="9"/>
        <v>8.9513961774999995</v>
      </c>
      <c r="I639" s="9">
        <v>10.988799999999999</v>
      </c>
    </row>
    <row r="640" spans="1:9" ht="25.5">
      <c r="A640" s="16" t="s">
        <v>1247</v>
      </c>
      <c r="B640" s="15"/>
      <c r="C640" s="15"/>
      <c r="D640" s="5"/>
      <c r="E640" s="12" t="s">
        <v>1248</v>
      </c>
      <c r="F640" s="8">
        <v>8.4447133749999992</v>
      </c>
      <c r="G640" s="6"/>
      <c r="H640" s="8">
        <f t="shared" si="9"/>
        <v>8.9513961774999995</v>
      </c>
      <c r="I640" s="8">
        <v>16.6068</v>
      </c>
    </row>
    <row r="641" spans="1:9" ht="25.5">
      <c r="A641" s="14" t="s">
        <v>1249</v>
      </c>
      <c r="B641" s="15"/>
      <c r="C641" s="15"/>
      <c r="D641" s="5"/>
      <c r="E641" s="13" t="s">
        <v>1250</v>
      </c>
      <c r="F641" s="9">
        <v>8.4447133749999992</v>
      </c>
      <c r="G641" s="7"/>
      <c r="H641" s="8">
        <f t="shared" si="9"/>
        <v>8.9513961774999995</v>
      </c>
      <c r="I641" s="9">
        <v>16.6068</v>
      </c>
    </row>
    <row r="642" spans="1:9" ht="25.5">
      <c r="A642" s="16" t="s">
        <v>1251</v>
      </c>
      <c r="B642" s="15"/>
      <c r="C642" s="15"/>
      <c r="D642" s="5"/>
      <c r="E642" s="12" t="s">
        <v>1252</v>
      </c>
      <c r="F642" s="8">
        <v>8.4447133749999992</v>
      </c>
      <c r="G642" s="6"/>
      <c r="H642" s="8">
        <f t="shared" si="9"/>
        <v>8.9513961774999995</v>
      </c>
      <c r="I642" s="8">
        <v>10.988799999999999</v>
      </c>
    </row>
    <row r="643" spans="1:9" ht="25.5">
      <c r="A643" s="14" t="s">
        <v>1253</v>
      </c>
      <c r="B643" s="15"/>
      <c r="C643" s="15"/>
      <c r="D643" s="5"/>
      <c r="E643" s="13" t="s">
        <v>1254</v>
      </c>
      <c r="F643" s="9">
        <v>8.4447133749999992</v>
      </c>
      <c r="G643" s="7"/>
      <c r="H643" s="8">
        <f t="shared" si="9"/>
        <v>8.9513961774999995</v>
      </c>
      <c r="I643" s="9">
        <v>16.6068</v>
      </c>
    </row>
    <row r="644" spans="1:9" ht="25.5">
      <c r="A644" s="16" t="s">
        <v>1255</v>
      </c>
      <c r="B644" s="15"/>
      <c r="C644" s="15"/>
      <c r="D644" s="5"/>
      <c r="E644" s="12" t="s">
        <v>1256</v>
      </c>
      <c r="F644" s="8">
        <v>8.4447133749999992</v>
      </c>
      <c r="G644" s="6"/>
      <c r="H644" s="8">
        <f t="shared" si="9"/>
        <v>8.9513961774999995</v>
      </c>
      <c r="I644" s="8">
        <v>10.988799999999999</v>
      </c>
    </row>
    <row r="645" spans="1:9" ht="25.5">
      <c r="A645" s="14" t="s">
        <v>1257</v>
      </c>
      <c r="B645" s="15"/>
      <c r="C645" s="15"/>
      <c r="D645" s="5"/>
      <c r="E645" s="13" t="s">
        <v>1258</v>
      </c>
      <c r="F645" s="9">
        <v>8.4447133749999992</v>
      </c>
      <c r="G645" s="7"/>
      <c r="H645" s="8">
        <f t="shared" si="9"/>
        <v>8.9513961774999995</v>
      </c>
      <c r="I645" s="9">
        <v>16.6068</v>
      </c>
    </row>
    <row r="646" spans="1:9" ht="25.5">
      <c r="A646" s="16" t="s">
        <v>1259</v>
      </c>
      <c r="B646" s="15"/>
      <c r="C646" s="15"/>
      <c r="D646" s="5"/>
      <c r="E646" s="12" t="s">
        <v>1260</v>
      </c>
      <c r="F646" s="8">
        <v>8.4447133749999992</v>
      </c>
      <c r="G646" s="6"/>
      <c r="H646" s="8">
        <f t="shared" si="9"/>
        <v>8.9513961774999995</v>
      </c>
      <c r="I646" s="8">
        <v>16.6068</v>
      </c>
    </row>
    <row r="647" spans="1:9" ht="25.5">
      <c r="A647" s="14" t="s">
        <v>1261</v>
      </c>
      <c r="B647" s="15"/>
      <c r="C647" s="15"/>
      <c r="D647" s="5"/>
      <c r="E647" s="13" t="s">
        <v>1262</v>
      </c>
      <c r="F647" s="9">
        <v>8.4447133749999992</v>
      </c>
      <c r="G647" s="7"/>
      <c r="H647" s="8">
        <f t="shared" si="9"/>
        <v>8.9513961774999995</v>
      </c>
      <c r="I647" s="9">
        <v>10.988799999999999</v>
      </c>
    </row>
    <row r="648" spans="1:9" ht="25.5">
      <c r="A648" s="16" t="s">
        <v>1263</v>
      </c>
      <c r="B648" s="15"/>
      <c r="C648" s="15"/>
      <c r="D648" s="5"/>
      <c r="E648" s="12" t="s">
        <v>1264</v>
      </c>
      <c r="F648" s="8">
        <v>8.4447133749999992</v>
      </c>
      <c r="G648" s="6"/>
      <c r="H648" s="8">
        <f t="shared" si="9"/>
        <v>8.9513961774999995</v>
      </c>
      <c r="I648" s="8">
        <v>16.6068</v>
      </c>
    </row>
    <row r="649" spans="1:9" ht="25.5">
      <c r="A649" s="14" t="s">
        <v>1265</v>
      </c>
      <c r="B649" s="15"/>
      <c r="C649" s="15"/>
      <c r="D649" s="5"/>
      <c r="E649" s="13" t="s">
        <v>1266</v>
      </c>
      <c r="F649" s="9">
        <v>8.4447133749999992</v>
      </c>
      <c r="G649" s="7"/>
      <c r="H649" s="8">
        <f t="shared" ref="H649:H691" si="10">F649*1.06</f>
        <v>8.9513961774999995</v>
      </c>
      <c r="I649" s="9">
        <v>16.6068</v>
      </c>
    </row>
    <row r="650" spans="1:9" ht="25.5">
      <c r="A650" s="16" t="s">
        <v>1267</v>
      </c>
      <c r="B650" s="15"/>
      <c r="C650" s="15"/>
      <c r="D650" s="5"/>
      <c r="E650" s="12" t="s">
        <v>1268</v>
      </c>
      <c r="F650" s="8">
        <v>8.4447133749999992</v>
      </c>
      <c r="G650" s="6"/>
      <c r="H650" s="8">
        <f t="shared" si="10"/>
        <v>8.9513961774999995</v>
      </c>
      <c r="I650" s="8">
        <v>10.988799999999999</v>
      </c>
    </row>
    <row r="651" spans="1:9" ht="25.5">
      <c r="A651" s="14" t="s">
        <v>1269</v>
      </c>
      <c r="B651" s="15"/>
      <c r="C651" s="15"/>
      <c r="D651" s="5"/>
      <c r="E651" s="13" t="s">
        <v>1270</v>
      </c>
      <c r="F651" s="9">
        <v>8.4447133749999992</v>
      </c>
      <c r="G651" s="7"/>
      <c r="H651" s="8">
        <f t="shared" si="10"/>
        <v>8.9513961774999995</v>
      </c>
      <c r="I651" s="9">
        <v>16.6068</v>
      </c>
    </row>
    <row r="652" spans="1:9" ht="25.5">
      <c r="A652" s="16" t="s">
        <v>1271</v>
      </c>
      <c r="B652" s="15"/>
      <c r="C652" s="15"/>
      <c r="D652" s="5"/>
      <c r="E652" s="12" t="s">
        <v>1272</v>
      </c>
      <c r="F652" s="8">
        <v>8.4447133749999992</v>
      </c>
      <c r="G652" s="6"/>
      <c r="H652" s="8">
        <f t="shared" si="10"/>
        <v>8.9513961774999995</v>
      </c>
      <c r="I652" s="8">
        <v>10.988799999999999</v>
      </c>
    </row>
    <row r="653" spans="1:9" ht="25.5">
      <c r="A653" s="14" t="s">
        <v>1273</v>
      </c>
      <c r="B653" s="15"/>
      <c r="C653" s="15"/>
      <c r="D653" s="5"/>
      <c r="E653" s="13" t="s">
        <v>1274</v>
      </c>
      <c r="F653" s="9">
        <v>8.4447133749999992</v>
      </c>
      <c r="G653" s="7"/>
      <c r="H653" s="8">
        <f t="shared" si="10"/>
        <v>8.9513961774999995</v>
      </c>
      <c r="I653" s="9">
        <v>16.6068</v>
      </c>
    </row>
    <row r="654" spans="1:9" ht="25.5">
      <c r="A654" s="16" t="s">
        <v>1275</v>
      </c>
      <c r="B654" s="15"/>
      <c r="C654" s="15"/>
      <c r="D654" s="5"/>
      <c r="E654" s="12" t="s">
        <v>1276</v>
      </c>
      <c r="F654" s="8">
        <v>8.4447133749999992</v>
      </c>
      <c r="G654" s="6"/>
      <c r="H654" s="8">
        <f t="shared" si="10"/>
        <v>8.9513961774999995</v>
      </c>
      <c r="I654" s="8">
        <v>16.6068</v>
      </c>
    </row>
    <row r="655" spans="1:9" ht="25.5">
      <c r="A655" s="14" t="s">
        <v>1277</v>
      </c>
      <c r="B655" s="15"/>
      <c r="C655" s="15"/>
      <c r="D655" s="5"/>
      <c r="E655" s="13" t="s">
        <v>1278</v>
      </c>
      <c r="F655" s="9">
        <v>8.4447133749999992</v>
      </c>
      <c r="G655" s="7"/>
      <c r="H655" s="8">
        <f t="shared" si="10"/>
        <v>8.9513961774999995</v>
      </c>
      <c r="I655" s="9">
        <v>10.988799999999999</v>
      </c>
    </row>
    <row r="656" spans="1:9" ht="25.5">
      <c r="A656" s="16" t="s">
        <v>1279</v>
      </c>
      <c r="B656" s="15"/>
      <c r="C656" s="15"/>
      <c r="D656" s="5"/>
      <c r="E656" s="12" t="s">
        <v>1280</v>
      </c>
      <c r="F656" s="8">
        <v>8.4447133749999992</v>
      </c>
      <c r="G656" s="6"/>
      <c r="H656" s="8">
        <f t="shared" si="10"/>
        <v>8.9513961774999995</v>
      </c>
      <c r="I656" s="8">
        <v>16.6068</v>
      </c>
    </row>
    <row r="657" spans="1:9" ht="25.5">
      <c r="A657" s="14" t="s">
        <v>1281</v>
      </c>
      <c r="B657" s="15"/>
      <c r="C657" s="15"/>
      <c r="D657" s="5"/>
      <c r="E657" s="13" t="s">
        <v>1282</v>
      </c>
      <c r="F657" s="9">
        <v>8.4447133749999992</v>
      </c>
      <c r="G657" s="7"/>
      <c r="H657" s="8">
        <f t="shared" si="10"/>
        <v>8.9513961774999995</v>
      </c>
      <c r="I657" s="9">
        <v>16.6068</v>
      </c>
    </row>
    <row r="658" spans="1:9" ht="25.5">
      <c r="A658" s="16" t="s">
        <v>1283</v>
      </c>
      <c r="B658" s="15"/>
      <c r="C658" s="15"/>
      <c r="D658" s="5"/>
      <c r="E658" s="12" t="s">
        <v>1284</v>
      </c>
      <c r="F658" s="8">
        <v>8.4447133749999992</v>
      </c>
      <c r="G658" s="6"/>
      <c r="H658" s="8">
        <f t="shared" si="10"/>
        <v>8.9513961774999995</v>
      </c>
      <c r="I658" s="8">
        <v>10.988799999999999</v>
      </c>
    </row>
    <row r="659" spans="1:9" ht="25.5">
      <c r="A659" s="14" t="s">
        <v>1285</v>
      </c>
      <c r="B659" s="15"/>
      <c r="C659" s="15"/>
      <c r="D659" s="5"/>
      <c r="E659" s="13" t="s">
        <v>1286</v>
      </c>
      <c r="F659" s="9">
        <v>8.4447133749999992</v>
      </c>
      <c r="G659" s="7"/>
      <c r="H659" s="8">
        <f t="shared" si="10"/>
        <v>8.9513961774999995</v>
      </c>
      <c r="I659" s="9">
        <v>16.6068</v>
      </c>
    </row>
    <row r="660" spans="1:9" ht="25.5">
      <c r="A660" s="16" t="s">
        <v>1287</v>
      </c>
      <c r="B660" s="15"/>
      <c r="C660" s="15"/>
      <c r="D660" s="5"/>
      <c r="E660" s="12" t="s">
        <v>1288</v>
      </c>
      <c r="F660" s="8">
        <v>8.4447133749999992</v>
      </c>
      <c r="G660" s="6"/>
      <c r="H660" s="8">
        <f t="shared" si="10"/>
        <v>8.9513961774999995</v>
      </c>
      <c r="I660" s="8">
        <v>10.988799999999999</v>
      </c>
    </row>
    <row r="661" spans="1:9" ht="25.5">
      <c r="A661" s="14" t="s">
        <v>1289</v>
      </c>
      <c r="B661" s="15"/>
      <c r="C661" s="15"/>
      <c r="D661" s="5"/>
      <c r="E661" s="13" t="s">
        <v>1290</v>
      </c>
      <c r="F661" s="9">
        <v>8.4447133749999992</v>
      </c>
      <c r="G661" s="7"/>
      <c r="H661" s="8">
        <f t="shared" si="10"/>
        <v>8.9513961774999995</v>
      </c>
      <c r="I661" s="9">
        <v>16.6068</v>
      </c>
    </row>
    <row r="662" spans="1:9" ht="25.5">
      <c r="A662" s="16" t="s">
        <v>1291</v>
      </c>
      <c r="B662" s="15"/>
      <c r="C662" s="15"/>
      <c r="D662" s="5"/>
      <c r="E662" s="12" t="s">
        <v>1292</v>
      </c>
      <c r="F662" s="8">
        <v>8.4447133749999992</v>
      </c>
      <c r="G662" s="6"/>
      <c r="H662" s="8">
        <f t="shared" si="10"/>
        <v>8.9513961774999995</v>
      </c>
      <c r="I662" s="8">
        <v>16.6068</v>
      </c>
    </row>
    <row r="663" spans="1:9" ht="25.5">
      <c r="A663" s="14" t="s">
        <v>1293</v>
      </c>
      <c r="B663" s="15"/>
      <c r="C663" s="15"/>
      <c r="D663" s="5"/>
      <c r="E663" s="13" t="s">
        <v>1294</v>
      </c>
      <c r="F663" s="9">
        <v>8.4447133749999992</v>
      </c>
      <c r="G663" s="7"/>
      <c r="H663" s="8">
        <f t="shared" si="10"/>
        <v>8.9513961774999995</v>
      </c>
      <c r="I663" s="9">
        <v>16.6068</v>
      </c>
    </row>
    <row r="664" spans="1:9" ht="25.5">
      <c r="A664" s="16" t="s">
        <v>1295</v>
      </c>
      <c r="B664" s="15"/>
      <c r="C664" s="15"/>
      <c r="D664" s="5"/>
      <c r="E664" s="12" t="s">
        <v>1296</v>
      </c>
      <c r="F664" s="8">
        <v>8.4447133749999992</v>
      </c>
      <c r="G664" s="6"/>
      <c r="H664" s="8">
        <f t="shared" si="10"/>
        <v>8.9513961774999995</v>
      </c>
      <c r="I664" s="8">
        <v>16.6068</v>
      </c>
    </row>
    <row r="665" spans="1:9" ht="25.5">
      <c r="A665" s="14" t="s">
        <v>1297</v>
      </c>
      <c r="B665" s="15"/>
      <c r="C665" s="15"/>
      <c r="D665" s="5"/>
      <c r="E665" s="13" t="s">
        <v>1298</v>
      </c>
      <c r="F665" s="9">
        <v>8.4447133749999992</v>
      </c>
      <c r="G665" s="7"/>
      <c r="H665" s="8">
        <f t="shared" si="10"/>
        <v>8.9513961774999995</v>
      </c>
      <c r="I665" s="9">
        <v>16.6068</v>
      </c>
    </row>
    <row r="666" spans="1:9" ht="25.5">
      <c r="A666" s="16" t="s">
        <v>1299</v>
      </c>
      <c r="B666" s="15"/>
      <c r="C666" s="15"/>
      <c r="D666" s="5"/>
      <c r="E666" s="12" t="s">
        <v>1300</v>
      </c>
      <c r="F666" s="8">
        <v>8.4447133749999992</v>
      </c>
      <c r="G666" s="6"/>
      <c r="H666" s="8">
        <f t="shared" si="10"/>
        <v>8.9513961774999995</v>
      </c>
      <c r="I666" s="8">
        <v>16.6068</v>
      </c>
    </row>
    <row r="667" spans="1:9" ht="25.5">
      <c r="A667" s="14" t="s">
        <v>1301</v>
      </c>
      <c r="B667" s="15"/>
      <c r="C667" s="15"/>
      <c r="D667" s="5"/>
      <c r="E667" s="13" t="s">
        <v>1302</v>
      </c>
      <c r="F667" s="9">
        <v>8.4447133749999992</v>
      </c>
      <c r="G667" s="7"/>
      <c r="H667" s="8">
        <f t="shared" si="10"/>
        <v>8.9513961774999995</v>
      </c>
      <c r="I667" s="9">
        <v>16.6068</v>
      </c>
    </row>
    <row r="668" spans="1:9" ht="25.5">
      <c r="A668" s="16" t="s">
        <v>1303</v>
      </c>
      <c r="B668" s="15"/>
      <c r="C668" s="15"/>
      <c r="D668" s="5"/>
      <c r="E668" s="12" t="s">
        <v>1304</v>
      </c>
      <c r="F668" s="8">
        <v>8.4447133749999992</v>
      </c>
      <c r="G668" s="6"/>
      <c r="H668" s="8">
        <f t="shared" si="10"/>
        <v>8.9513961774999995</v>
      </c>
      <c r="I668" s="8">
        <v>16.6068</v>
      </c>
    </row>
    <row r="669" spans="1:9" ht="25.5">
      <c r="A669" s="14" t="s">
        <v>1305</v>
      </c>
      <c r="B669" s="15"/>
      <c r="C669" s="15"/>
      <c r="D669" s="5"/>
      <c r="E669" s="13" t="s">
        <v>1306</v>
      </c>
      <c r="F669" s="9">
        <v>8.4447133749999992</v>
      </c>
      <c r="G669" s="7"/>
      <c r="H669" s="8">
        <f t="shared" si="10"/>
        <v>8.9513961774999995</v>
      </c>
      <c r="I669" s="9">
        <v>16.6068</v>
      </c>
    </row>
    <row r="670" spans="1:9" ht="25.5">
      <c r="A670" s="16" t="s">
        <v>1307</v>
      </c>
      <c r="B670" s="15"/>
      <c r="C670" s="15"/>
      <c r="D670" s="5"/>
      <c r="E670" s="12" t="s">
        <v>1308</v>
      </c>
      <c r="F670" s="8">
        <v>8.4447133749999992</v>
      </c>
      <c r="G670" s="6"/>
      <c r="H670" s="8">
        <f t="shared" si="10"/>
        <v>8.9513961774999995</v>
      </c>
      <c r="I670" s="8">
        <v>16.6068</v>
      </c>
    </row>
    <row r="671" spans="1:9" ht="25.5">
      <c r="A671" s="14" t="s">
        <v>1309</v>
      </c>
      <c r="B671" s="15"/>
      <c r="C671" s="15"/>
      <c r="D671" s="5"/>
      <c r="E671" s="13" t="s">
        <v>1310</v>
      </c>
      <c r="F671" s="9">
        <v>89.336560500000004</v>
      </c>
      <c r="G671" s="7"/>
      <c r="H671" s="8">
        <f t="shared" si="10"/>
        <v>94.696754130000016</v>
      </c>
      <c r="I671" s="9">
        <v>152.80959999999999</v>
      </c>
    </row>
    <row r="672" spans="1:9" ht="25.5">
      <c r="A672" s="16" t="s">
        <v>1311</v>
      </c>
      <c r="B672" s="15"/>
      <c r="C672" s="15"/>
      <c r="D672" s="5"/>
      <c r="E672" s="12" t="s">
        <v>1312</v>
      </c>
      <c r="F672" s="8">
        <v>62.941667625000001</v>
      </c>
      <c r="G672" s="6"/>
      <c r="H672" s="8">
        <f t="shared" si="10"/>
        <v>66.71816768250001</v>
      </c>
      <c r="I672" s="8">
        <v>119.1016</v>
      </c>
    </row>
    <row r="673" spans="1:9" ht="25.5">
      <c r="A673" s="14" t="s">
        <v>1313</v>
      </c>
      <c r="B673" s="15"/>
      <c r="C673" s="15"/>
      <c r="D673" s="5"/>
      <c r="E673" s="13" t="s">
        <v>1314</v>
      </c>
      <c r="F673" s="9">
        <v>201.19377531250001</v>
      </c>
      <c r="G673" s="7"/>
      <c r="H673" s="8">
        <f t="shared" si="10"/>
        <v>213.26540183125002</v>
      </c>
      <c r="I673" s="9">
        <v>437.0804</v>
      </c>
    </row>
    <row r="674" spans="1:9" ht="25.5">
      <c r="A674" s="16" t="s">
        <v>1315</v>
      </c>
      <c r="B674" s="15"/>
      <c r="C674" s="15"/>
      <c r="D674" s="5"/>
      <c r="E674" s="12" t="s">
        <v>1316</v>
      </c>
      <c r="F674" s="8">
        <v>204.16562437499999</v>
      </c>
      <c r="G674" s="6"/>
      <c r="H674" s="8">
        <f t="shared" si="10"/>
        <v>216.41556183750001</v>
      </c>
      <c r="I674" s="8">
        <v>479.77719999999999</v>
      </c>
    </row>
    <row r="675" spans="1:9" ht="25.5">
      <c r="A675" s="14" t="s">
        <v>1317</v>
      </c>
      <c r="B675" s="15"/>
      <c r="C675" s="15"/>
      <c r="D675" s="5"/>
      <c r="E675" s="13" t="s">
        <v>1318</v>
      </c>
      <c r="F675" s="9">
        <v>261.69295499999998</v>
      </c>
      <c r="G675" s="7"/>
      <c r="H675" s="8">
        <f t="shared" si="10"/>
        <v>277.39453229999998</v>
      </c>
      <c r="I675" s="9">
        <v>616.85640000000001</v>
      </c>
    </row>
    <row r="676" spans="1:9" ht="25.5">
      <c r="A676" s="16" t="s">
        <v>1319</v>
      </c>
      <c r="B676" s="15"/>
      <c r="C676" s="15"/>
      <c r="D676" s="5"/>
      <c r="E676" s="12" t="s">
        <v>1320</v>
      </c>
      <c r="F676" s="8">
        <v>98.134858124999994</v>
      </c>
      <c r="G676" s="6"/>
      <c r="H676" s="8">
        <f t="shared" si="10"/>
        <v>104.0229496125</v>
      </c>
      <c r="I676" s="8">
        <v>223.59639999999999</v>
      </c>
    </row>
    <row r="677" spans="1:9" ht="25.5">
      <c r="A677" s="14" t="s">
        <v>1321</v>
      </c>
      <c r="B677" s="15"/>
      <c r="C677" s="15"/>
      <c r="D677" s="5"/>
      <c r="E677" s="13" t="s">
        <v>1322</v>
      </c>
      <c r="F677" s="9">
        <v>224.46938812499999</v>
      </c>
      <c r="G677" s="7"/>
      <c r="H677" s="8">
        <f t="shared" si="10"/>
        <v>237.9375514125</v>
      </c>
      <c r="I677" s="9">
        <v>506.74360000000001</v>
      </c>
    </row>
    <row r="678" spans="1:9" ht="25.5">
      <c r="A678" s="16" t="s">
        <v>1323</v>
      </c>
      <c r="B678" s="15"/>
      <c r="C678" s="15"/>
      <c r="D678" s="5"/>
      <c r="E678" s="12" t="s">
        <v>1324</v>
      </c>
      <c r="F678" s="8">
        <v>209.2415653125</v>
      </c>
      <c r="G678" s="6"/>
      <c r="H678" s="8">
        <f t="shared" si="10"/>
        <v>221.79605923125001</v>
      </c>
      <c r="I678" s="8">
        <v>489.88959999999997</v>
      </c>
    </row>
    <row r="679" spans="1:9" ht="25.5">
      <c r="A679" s="14" t="s">
        <v>1325</v>
      </c>
      <c r="B679" s="15"/>
      <c r="C679" s="15"/>
      <c r="D679" s="5"/>
      <c r="E679" s="13" t="s">
        <v>1326</v>
      </c>
      <c r="F679" s="9">
        <v>222.21341437500001</v>
      </c>
      <c r="G679" s="7"/>
      <c r="H679" s="8">
        <f t="shared" si="10"/>
        <v>235.54621923750003</v>
      </c>
      <c r="I679" s="9">
        <v>506.74360000000001</v>
      </c>
    </row>
    <row r="680" spans="1:9" ht="25.5">
      <c r="A680" s="16" t="s">
        <v>1327</v>
      </c>
      <c r="B680" s="15"/>
      <c r="C680" s="15"/>
      <c r="D680" s="5"/>
      <c r="E680" s="12" t="s">
        <v>1328</v>
      </c>
      <c r="F680" s="8">
        <v>279.740745</v>
      </c>
      <c r="G680" s="6"/>
      <c r="H680" s="8">
        <f t="shared" si="10"/>
        <v>296.5251897</v>
      </c>
      <c r="I680" s="8">
        <v>632.58680000000004</v>
      </c>
    </row>
    <row r="681" spans="1:9" ht="25.5">
      <c r="A681" s="14" t="s">
        <v>1329</v>
      </c>
      <c r="B681" s="15"/>
      <c r="C681" s="15"/>
      <c r="D681" s="5"/>
      <c r="E681" s="13" t="s">
        <v>1330</v>
      </c>
      <c r="F681" s="9">
        <v>116.182648125</v>
      </c>
      <c r="G681" s="7"/>
      <c r="H681" s="8">
        <f t="shared" si="10"/>
        <v>123.1536070125</v>
      </c>
      <c r="I681" s="9">
        <v>273.03480000000002</v>
      </c>
    </row>
    <row r="682" spans="1:9" ht="25.5">
      <c r="A682" s="16" t="s">
        <v>1331</v>
      </c>
      <c r="B682" s="15"/>
      <c r="C682" s="15"/>
      <c r="D682" s="5"/>
      <c r="E682" s="12" t="s">
        <v>1332</v>
      </c>
      <c r="F682" s="8">
        <v>211.49753906250001</v>
      </c>
      <c r="G682" s="6"/>
      <c r="H682" s="8">
        <f t="shared" si="10"/>
        <v>224.18739140625001</v>
      </c>
      <c r="I682" s="8">
        <v>489.88959999999997</v>
      </c>
    </row>
    <row r="683" spans="1:9" ht="25.5">
      <c r="A683" s="14" t="s">
        <v>1333</v>
      </c>
      <c r="B683" s="15"/>
      <c r="C683" s="15"/>
      <c r="D683" s="5"/>
      <c r="E683" s="13" t="s">
        <v>1334</v>
      </c>
      <c r="F683" s="9">
        <v>224.46938812499999</v>
      </c>
      <c r="G683" s="7"/>
      <c r="H683" s="8">
        <f t="shared" si="10"/>
        <v>237.9375514125</v>
      </c>
      <c r="I683" s="9">
        <v>512.36159999999995</v>
      </c>
    </row>
    <row r="684" spans="1:9" ht="25.5">
      <c r="A684" s="16" t="s">
        <v>1335</v>
      </c>
      <c r="B684" s="15"/>
      <c r="C684" s="15"/>
      <c r="D684" s="5"/>
      <c r="E684" s="12" t="s">
        <v>1336</v>
      </c>
      <c r="F684" s="8">
        <v>281.99671875000001</v>
      </c>
      <c r="G684" s="6"/>
      <c r="H684" s="8">
        <f t="shared" si="10"/>
        <v>298.91652187500006</v>
      </c>
      <c r="I684" s="8">
        <v>632.58680000000004</v>
      </c>
    </row>
    <row r="685" spans="1:9" ht="25.5">
      <c r="A685" s="14" t="s">
        <v>1337</v>
      </c>
      <c r="B685" s="15"/>
      <c r="C685" s="15"/>
      <c r="D685" s="5"/>
      <c r="E685" s="13" t="s">
        <v>1338</v>
      </c>
      <c r="F685" s="9">
        <v>166.9420575</v>
      </c>
      <c r="G685" s="7"/>
      <c r="H685" s="8">
        <f t="shared" si="10"/>
        <v>176.95858095000003</v>
      </c>
      <c r="I685" s="9">
        <v>370.78800000000001</v>
      </c>
    </row>
    <row r="686" spans="1:9" ht="25.5">
      <c r="A686" s="16" t="s">
        <v>1339</v>
      </c>
      <c r="B686" s="15"/>
      <c r="C686" s="15"/>
      <c r="D686" s="5"/>
      <c r="E686" s="12" t="s">
        <v>1340</v>
      </c>
      <c r="F686" s="8">
        <v>179.91390656249999</v>
      </c>
      <c r="G686" s="6"/>
      <c r="H686" s="8">
        <f t="shared" si="10"/>
        <v>190.70874095625001</v>
      </c>
      <c r="I686" s="8">
        <v>405.61959999999999</v>
      </c>
    </row>
    <row r="687" spans="1:9" ht="25.5">
      <c r="A687" s="14" t="s">
        <v>1341</v>
      </c>
      <c r="B687" s="15"/>
      <c r="C687" s="15"/>
      <c r="D687" s="5"/>
      <c r="E687" s="13" t="s">
        <v>1342</v>
      </c>
      <c r="F687" s="9">
        <v>42.299507812500003</v>
      </c>
      <c r="G687" s="7"/>
      <c r="H687" s="8">
        <f t="shared" si="10"/>
        <v>44.837478281250007</v>
      </c>
      <c r="I687" s="9">
        <v>95.506</v>
      </c>
    </row>
    <row r="688" spans="1:9" ht="26.25" customHeight="1">
      <c r="A688" s="16" t="s">
        <v>1343</v>
      </c>
      <c r="B688" s="15"/>
      <c r="C688" s="15"/>
      <c r="D688" s="5"/>
      <c r="E688" s="12" t="s">
        <v>1344</v>
      </c>
      <c r="F688" s="8">
        <v>6.3167264999999997</v>
      </c>
      <c r="G688" s="6"/>
      <c r="H688" s="8">
        <f t="shared" si="10"/>
        <v>6.6957300899999996</v>
      </c>
      <c r="I688" s="8">
        <v>14.61</v>
      </c>
    </row>
    <row r="689" spans="1:9" ht="25.5">
      <c r="A689" s="14" t="s">
        <v>1345</v>
      </c>
      <c r="B689" s="15"/>
      <c r="C689" s="15"/>
      <c r="D689" s="5"/>
      <c r="E689" s="13" t="s">
        <v>1346</v>
      </c>
      <c r="F689" s="9">
        <v>25</v>
      </c>
      <c r="G689" s="7"/>
      <c r="H689" s="8">
        <f t="shared" si="10"/>
        <v>26.5</v>
      </c>
      <c r="I689" s="9">
        <v>56.18</v>
      </c>
    </row>
    <row r="690" spans="1:9" ht="25.5">
      <c r="A690" s="16" t="s">
        <v>1347</v>
      </c>
      <c r="B690" s="15"/>
      <c r="C690" s="15"/>
      <c r="D690" s="5"/>
      <c r="E690" s="12" t="s">
        <v>1348</v>
      </c>
      <c r="F690" s="8">
        <v>384.41792700000002</v>
      </c>
      <c r="G690" s="6"/>
      <c r="H690" s="8">
        <f t="shared" si="10"/>
        <v>407.48300262000004</v>
      </c>
      <c r="I690" s="8">
        <v>883.14959999999996</v>
      </c>
    </row>
    <row r="691" spans="1:9" ht="25.5">
      <c r="A691" s="14" t="s">
        <v>1349</v>
      </c>
      <c r="B691" s="15"/>
      <c r="C691" s="15"/>
      <c r="D691" s="5"/>
      <c r="E691" s="13" t="s">
        <v>1350</v>
      </c>
      <c r="F691" s="9">
        <v>410.36162512499999</v>
      </c>
      <c r="G691" s="7"/>
      <c r="H691" s="8">
        <f t="shared" si="10"/>
        <v>434.98332263250001</v>
      </c>
      <c r="I691" s="9">
        <v>946.07119999999998</v>
      </c>
    </row>
  </sheetData>
  <mergeCells count="688">
    <mergeCell ref="B2:B4"/>
    <mergeCell ref="D2:K2"/>
    <mergeCell ref="D4:K5"/>
    <mergeCell ref="A7:C7"/>
    <mergeCell ref="A8:C8"/>
    <mergeCell ref="A14:C14"/>
    <mergeCell ref="A15:C15"/>
    <mergeCell ref="A16:C16"/>
    <mergeCell ref="A17:C17"/>
    <mergeCell ref="A18:C18"/>
    <mergeCell ref="A9:C9"/>
    <mergeCell ref="A10:C10"/>
    <mergeCell ref="A11:C11"/>
    <mergeCell ref="A12:C12"/>
    <mergeCell ref="A13:C13"/>
    <mergeCell ref="A24:C24"/>
    <mergeCell ref="A25:C25"/>
    <mergeCell ref="A26:C26"/>
    <mergeCell ref="A27:C27"/>
    <mergeCell ref="A28:C28"/>
    <mergeCell ref="A19:C19"/>
    <mergeCell ref="A20:C20"/>
    <mergeCell ref="A21:C21"/>
    <mergeCell ref="A22:C22"/>
    <mergeCell ref="A23:C23"/>
    <mergeCell ref="A34:C34"/>
    <mergeCell ref="A35:C35"/>
    <mergeCell ref="A36:C36"/>
    <mergeCell ref="A37:C37"/>
    <mergeCell ref="A38:C38"/>
    <mergeCell ref="A29:C29"/>
    <mergeCell ref="A30:C30"/>
    <mergeCell ref="A31:C31"/>
    <mergeCell ref="A32:C32"/>
    <mergeCell ref="A33:C33"/>
    <mergeCell ref="A44:C44"/>
    <mergeCell ref="A45:C45"/>
    <mergeCell ref="A46:C46"/>
    <mergeCell ref="A47:C47"/>
    <mergeCell ref="A48:C48"/>
    <mergeCell ref="A39:C39"/>
    <mergeCell ref="A40:C40"/>
    <mergeCell ref="A41:C41"/>
    <mergeCell ref="A42:C42"/>
    <mergeCell ref="A43:C43"/>
    <mergeCell ref="A54:C54"/>
    <mergeCell ref="A55:C55"/>
    <mergeCell ref="A56:C56"/>
    <mergeCell ref="A57:C57"/>
    <mergeCell ref="A58:C58"/>
    <mergeCell ref="A49:C49"/>
    <mergeCell ref="A50:C50"/>
    <mergeCell ref="A51:C51"/>
    <mergeCell ref="A52:C52"/>
    <mergeCell ref="A53:C53"/>
    <mergeCell ref="A64:C64"/>
    <mergeCell ref="A65:C65"/>
    <mergeCell ref="A66:C66"/>
    <mergeCell ref="A67:C67"/>
    <mergeCell ref="A68:C68"/>
    <mergeCell ref="A59:C59"/>
    <mergeCell ref="A60:C60"/>
    <mergeCell ref="A61:C61"/>
    <mergeCell ref="A62:C62"/>
    <mergeCell ref="A63:C63"/>
    <mergeCell ref="A74:C74"/>
    <mergeCell ref="A75:C75"/>
    <mergeCell ref="A76:C76"/>
    <mergeCell ref="A77:C77"/>
    <mergeCell ref="A78:C78"/>
    <mergeCell ref="A69:C69"/>
    <mergeCell ref="A70:C70"/>
    <mergeCell ref="A71:C71"/>
    <mergeCell ref="A72:C72"/>
    <mergeCell ref="A73:C73"/>
    <mergeCell ref="A84:C84"/>
    <mergeCell ref="A85:C85"/>
    <mergeCell ref="A86:C86"/>
    <mergeCell ref="A87:C87"/>
    <mergeCell ref="A88:C88"/>
    <mergeCell ref="A79:C79"/>
    <mergeCell ref="A80:C80"/>
    <mergeCell ref="A81:C81"/>
    <mergeCell ref="A82:C82"/>
    <mergeCell ref="A83:C83"/>
    <mergeCell ref="A94:C94"/>
    <mergeCell ref="A95:C95"/>
    <mergeCell ref="A96:C96"/>
    <mergeCell ref="A97:C97"/>
    <mergeCell ref="A98:C98"/>
    <mergeCell ref="A89:C89"/>
    <mergeCell ref="A90:C90"/>
    <mergeCell ref="A91:C91"/>
    <mergeCell ref="A92:C92"/>
    <mergeCell ref="A93:C93"/>
    <mergeCell ref="A104:C104"/>
    <mergeCell ref="A105:C105"/>
    <mergeCell ref="A106:C106"/>
    <mergeCell ref="A107:C107"/>
    <mergeCell ref="A108:C108"/>
    <mergeCell ref="A99:C99"/>
    <mergeCell ref="A100:C100"/>
    <mergeCell ref="A101:C101"/>
    <mergeCell ref="A102:C102"/>
    <mergeCell ref="A103:C103"/>
    <mergeCell ref="A114:C114"/>
    <mergeCell ref="A115:C115"/>
    <mergeCell ref="A116:C116"/>
    <mergeCell ref="A117:C117"/>
    <mergeCell ref="A118:C118"/>
    <mergeCell ref="A109:C109"/>
    <mergeCell ref="A110:C110"/>
    <mergeCell ref="A111:C111"/>
    <mergeCell ref="A112:C112"/>
    <mergeCell ref="A113:C113"/>
    <mergeCell ref="A124:C124"/>
    <mergeCell ref="A125:C125"/>
    <mergeCell ref="A126:C126"/>
    <mergeCell ref="A127:C127"/>
    <mergeCell ref="A128:C128"/>
    <mergeCell ref="A119:C119"/>
    <mergeCell ref="A120:C120"/>
    <mergeCell ref="A121:C121"/>
    <mergeCell ref="A122:C122"/>
    <mergeCell ref="A123:C123"/>
    <mergeCell ref="A134:C134"/>
    <mergeCell ref="A135:C135"/>
    <mergeCell ref="A136:C136"/>
    <mergeCell ref="A137:C137"/>
    <mergeCell ref="A138:C138"/>
    <mergeCell ref="A129:C129"/>
    <mergeCell ref="A130:C130"/>
    <mergeCell ref="A131:C131"/>
    <mergeCell ref="A132:C132"/>
    <mergeCell ref="A133:C133"/>
    <mergeCell ref="A144:C144"/>
    <mergeCell ref="A145:C145"/>
    <mergeCell ref="A146:C146"/>
    <mergeCell ref="A147:C147"/>
    <mergeCell ref="A148:C148"/>
    <mergeCell ref="A139:C139"/>
    <mergeCell ref="A140:C140"/>
    <mergeCell ref="A141:C141"/>
    <mergeCell ref="A142:C142"/>
    <mergeCell ref="A143:C143"/>
    <mergeCell ref="A154:C154"/>
    <mergeCell ref="A155:C155"/>
    <mergeCell ref="A156:C156"/>
    <mergeCell ref="A157:C157"/>
    <mergeCell ref="A158:C158"/>
    <mergeCell ref="A149:C149"/>
    <mergeCell ref="A150:C150"/>
    <mergeCell ref="A151:C151"/>
    <mergeCell ref="A152:C152"/>
    <mergeCell ref="A153:C153"/>
    <mergeCell ref="A164:C164"/>
    <mergeCell ref="A165:C165"/>
    <mergeCell ref="A166:C166"/>
    <mergeCell ref="A167:C167"/>
    <mergeCell ref="A168:C168"/>
    <mergeCell ref="A159:C159"/>
    <mergeCell ref="A160:C160"/>
    <mergeCell ref="A161:C161"/>
    <mergeCell ref="A162:C162"/>
    <mergeCell ref="A163:C163"/>
    <mergeCell ref="A174:C174"/>
    <mergeCell ref="A175:C175"/>
    <mergeCell ref="A176:C176"/>
    <mergeCell ref="A177:C177"/>
    <mergeCell ref="A178:C178"/>
    <mergeCell ref="A169:C169"/>
    <mergeCell ref="A170:C170"/>
    <mergeCell ref="A171:C171"/>
    <mergeCell ref="A172:C172"/>
    <mergeCell ref="A173:C173"/>
    <mergeCell ref="A184:C184"/>
    <mergeCell ref="A185:C185"/>
    <mergeCell ref="A186:C186"/>
    <mergeCell ref="A187:C187"/>
    <mergeCell ref="A188:C188"/>
    <mergeCell ref="A179:C179"/>
    <mergeCell ref="A180:C180"/>
    <mergeCell ref="A181:C181"/>
    <mergeCell ref="A182:C182"/>
    <mergeCell ref="A183:C183"/>
    <mergeCell ref="A194:C194"/>
    <mergeCell ref="A195:C195"/>
    <mergeCell ref="A196:C196"/>
    <mergeCell ref="A197:C197"/>
    <mergeCell ref="A198:C198"/>
    <mergeCell ref="A189:C189"/>
    <mergeCell ref="A190:C190"/>
    <mergeCell ref="A191:C191"/>
    <mergeCell ref="A192:C192"/>
    <mergeCell ref="A193:C193"/>
    <mergeCell ref="A204:C204"/>
    <mergeCell ref="A205:C205"/>
    <mergeCell ref="A206:C206"/>
    <mergeCell ref="A207:C207"/>
    <mergeCell ref="A208:C208"/>
    <mergeCell ref="A199:C199"/>
    <mergeCell ref="A200:C200"/>
    <mergeCell ref="A201:C201"/>
    <mergeCell ref="A202:C202"/>
    <mergeCell ref="A203:C203"/>
    <mergeCell ref="A214:C214"/>
    <mergeCell ref="A215:C215"/>
    <mergeCell ref="A216:C216"/>
    <mergeCell ref="A217:C217"/>
    <mergeCell ref="A218:C218"/>
    <mergeCell ref="A209:C209"/>
    <mergeCell ref="A210:C210"/>
    <mergeCell ref="A211:C211"/>
    <mergeCell ref="A212:C212"/>
    <mergeCell ref="A213:C213"/>
    <mergeCell ref="A224:C224"/>
    <mergeCell ref="A225:C225"/>
    <mergeCell ref="A226:C226"/>
    <mergeCell ref="A227:C227"/>
    <mergeCell ref="A228:C228"/>
    <mergeCell ref="A219:C219"/>
    <mergeCell ref="A220:C220"/>
    <mergeCell ref="A221:C221"/>
    <mergeCell ref="A222:C222"/>
    <mergeCell ref="A223:C223"/>
    <mergeCell ref="A234:C234"/>
    <mergeCell ref="A235:C235"/>
    <mergeCell ref="A236:C236"/>
    <mergeCell ref="A237:C237"/>
    <mergeCell ref="A238:C238"/>
    <mergeCell ref="A229:C229"/>
    <mergeCell ref="A230:C230"/>
    <mergeCell ref="A231:C231"/>
    <mergeCell ref="A232:C232"/>
    <mergeCell ref="A233:C233"/>
    <mergeCell ref="A244:C244"/>
    <mergeCell ref="A245:C245"/>
    <mergeCell ref="A246:C246"/>
    <mergeCell ref="A247:C247"/>
    <mergeCell ref="A248:C248"/>
    <mergeCell ref="A239:C239"/>
    <mergeCell ref="A240:C240"/>
    <mergeCell ref="A241:C241"/>
    <mergeCell ref="A242:C242"/>
    <mergeCell ref="A243:C243"/>
    <mergeCell ref="A254:C254"/>
    <mergeCell ref="A255:C255"/>
    <mergeCell ref="A256:C256"/>
    <mergeCell ref="A257:C257"/>
    <mergeCell ref="A258:C258"/>
    <mergeCell ref="A249:C249"/>
    <mergeCell ref="A250:C250"/>
    <mergeCell ref="A251:C251"/>
    <mergeCell ref="A252:C252"/>
    <mergeCell ref="A253:C253"/>
    <mergeCell ref="A264:C264"/>
    <mergeCell ref="A265:C265"/>
    <mergeCell ref="A266:C266"/>
    <mergeCell ref="A267:C267"/>
    <mergeCell ref="A268:C268"/>
    <mergeCell ref="A259:C259"/>
    <mergeCell ref="A260:C260"/>
    <mergeCell ref="A261:C261"/>
    <mergeCell ref="A262:C262"/>
    <mergeCell ref="A263:C263"/>
    <mergeCell ref="A274:C274"/>
    <mergeCell ref="A275:C275"/>
    <mergeCell ref="A276:C276"/>
    <mergeCell ref="A277:C277"/>
    <mergeCell ref="A278:C278"/>
    <mergeCell ref="A269:C269"/>
    <mergeCell ref="A270:C270"/>
    <mergeCell ref="A271:C271"/>
    <mergeCell ref="A272:C272"/>
    <mergeCell ref="A273:C273"/>
    <mergeCell ref="A284:C284"/>
    <mergeCell ref="A285:C285"/>
    <mergeCell ref="A286:C286"/>
    <mergeCell ref="A287:C287"/>
    <mergeCell ref="A288:C288"/>
    <mergeCell ref="A279:C279"/>
    <mergeCell ref="A280:C280"/>
    <mergeCell ref="A281:C281"/>
    <mergeCell ref="A282:C282"/>
    <mergeCell ref="A283:C283"/>
    <mergeCell ref="A294:C294"/>
    <mergeCell ref="A295:C295"/>
    <mergeCell ref="A296:C296"/>
    <mergeCell ref="A297:C297"/>
    <mergeCell ref="A298:C298"/>
    <mergeCell ref="A289:C289"/>
    <mergeCell ref="A290:C290"/>
    <mergeCell ref="A291:C291"/>
    <mergeCell ref="A292:C292"/>
    <mergeCell ref="A293:C293"/>
    <mergeCell ref="A304:C304"/>
    <mergeCell ref="A305:C305"/>
    <mergeCell ref="A306:C306"/>
    <mergeCell ref="A307:C307"/>
    <mergeCell ref="A308:C308"/>
    <mergeCell ref="A299:C299"/>
    <mergeCell ref="A300:C300"/>
    <mergeCell ref="A301:C301"/>
    <mergeCell ref="A302:C302"/>
    <mergeCell ref="A303:C303"/>
    <mergeCell ref="A314:C314"/>
    <mergeCell ref="A315:C315"/>
    <mergeCell ref="A316:C316"/>
    <mergeCell ref="A317:C317"/>
    <mergeCell ref="A318:C318"/>
    <mergeCell ref="A309:C309"/>
    <mergeCell ref="A310:C310"/>
    <mergeCell ref="A311:C311"/>
    <mergeCell ref="A312:C312"/>
    <mergeCell ref="A313:C313"/>
    <mergeCell ref="A324:C324"/>
    <mergeCell ref="A325:C325"/>
    <mergeCell ref="A326:C326"/>
    <mergeCell ref="A327:C327"/>
    <mergeCell ref="A328:C328"/>
    <mergeCell ref="A319:C319"/>
    <mergeCell ref="A320:C320"/>
    <mergeCell ref="A321:C321"/>
    <mergeCell ref="A322:C322"/>
    <mergeCell ref="A323:C323"/>
    <mergeCell ref="A334:C334"/>
    <mergeCell ref="A335:C335"/>
    <mergeCell ref="A336:C336"/>
    <mergeCell ref="A337:C337"/>
    <mergeCell ref="A338:C338"/>
    <mergeCell ref="A329:C329"/>
    <mergeCell ref="A330:C330"/>
    <mergeCell ref="A331:C331"/>
    <mergeCell ref="A332:C332"/>
    <mergeCell ref="A333:C333"/>
    <mergeCell ref="A344:C344"/>
    <mergeCell ref="A345:C345"/>
    <mergeCell ref="A346:C346"/>
    <mergeCell ref="A347:C347"/>
    <mergeCell ref="A348:C348"/>
    <mergeCell ref="A339:C339"/>
    <mergeCell ref="A340:C340"/>
    <mergeCell ref="A341:C341"/>
    <mergeCell ref="A342:C342"/>
    <mergeCell ref="A343:C343"/>
    <mergeCell ref="A354:C354"/>
    <mergeCell ref="A355:C355"/>
    <mergeCell ref="A356:C356"/>
    <mergeCell ref="A357:C357"/>
    <mergeCell ref="A358:C358"/>
    <mergeCell ref="A349:C349"/>
    <mergeCell ref="A350:C350"/>
    <mergeCell ref="A351:C351"/>
    <mergeCell ref="A352:C352"/>
    <mergeCell ref="A353:C353"/>
    <mergeCell ref="A364:C364"/>
    <mergeCell ref="A365:C365"/>
    <mergeCell ref="A366:C366"/>
    <mergeCell ref="A367:C367"/>
    <mergeCell ref="A368:C368"/>
    <mergeCell ref="A359:C359"/>
    <mergeCell ref="A360:C360"/>
    <mergeCell ref="A361:C361"/>
    <mergeCell ref="A362:C362"/>
    <mergeCell ref="A363:C363"/>
    <mergeCell ref="A374:C374"/>
    <mergeCell ref="A375:C375"/>
    <mergeCell ref="A376:C376"/>
    <mergeCell ref="A377:C377"/>
    <mergeCell ref="A378:C378"/>
    <mergeCell ref="A369:C369"/>
    <mergeCell ref="A370:C370"/>
    <mergeCell ref="A371:C371"/>
    <mergeCell ref="A372:C372"/>
    <mergeCell ref="A373:C373"/>
    <mergeCell ref="A384:C384"/>
    <mergeCell ref="A385:C385"/>
    <mergeCell ref="A386:C386"/>
    <mergeCell ref="A387:C387"/>
    <mergeCell ref="A388:C388"/>
    <mergeCell ref="A379:C379"/>
    <mergeCell ref="A380:C380"/>
    <mergeCell ref="A381:C381"/>
    <mergeCell ref="A382:C382"/>
    <mergeCell ref="A383:C383"/>
    <mergeCell ref="A394:C394"/>
    <mergeCell ref="A395:C395"/>
    <mergeCell ref="A396:C396"/>
    <mergeCell ref="A397:C397"/>
    <mergeCell ref="A398:C398"/>
    <mergeCell ref="A389:C389"/>
    <mergeCell ref="A390:C390"/>
    <mergeCell ref="A391:C391"/>
    <mergeCell ref="A392:C392"/>
    <mergeCell ref="A393:C393"/>
    <mergeCell ref="A404:C404"/>
    <mergeCell ref="A405:C405"/>
    <mergeCell ref="A406:C406"/>
    <mergeCell ref="A407:C407"/>
    <mergeCell ref="A408:C408"/>
    <mergeCell ref="A399:C399"/>
    <mergeCell ref="A400:C400"/>
    <mergeCell ref="A401:C401"/>
    <mergeCell ref="A402:C402"/>
    <mergeCell ref="A403:C403"/>
    <mergeCell ref="A414:C414"/>
    <mergeCell ref="A415:C415"/>
    <mergeCell ref="A416:C416"/>
    <mergeCell ref="A417:C417"/>
    <mergeCell ref="A418:C418"/>
    <mergeCell ref="A409:C409"/>
    <mergeCell ref="A410:C410"/>
    <mergeCell ref="A411:C411"/>
    <mergeCell ref="A412:C412"/>
    <mergeCell ref="A413:C413"/>
    <mergeCell ref="A424:C424"/>
    <mergeCell ref="A425:C425"/>
    <mergeCell ref="A426:C426"/>
    <mergeCell ref="A427:C427"/>
    <mergeCell ref="A428:C428"/>
    <mergeCell ref="A419:C419"/>
    <mergeCell ref="A420:C420"/>
    <mergeCell ref="A421:C421"/>
    <mergeCell ref="A422:C422"/>
    <mergeCell ref="A423:C423"/>
    <mergeCell ref="A434:C434"/>
    <mergeCell ref="A435:C435"/>
    <mergeCell ref="A436:C436"/>
    <mergeCell ref="A437:C437"/>
    <mergeCell ref="A438:C438"/>
    <mergeCell ref="A429:C429"/>
    <mergeCell ref="A430:C430"/>
    <mergeCell ref="A431:C431"/>
    <mergeCell ref="A432:C432"/>
    <mergeCell ref="A433:C433"/>
    <mergeCell ref="A444:C444"/>
    <mergeCell ref="A445:C445"/>
    <mergeCell ref="A446:C446"/>
    <mergeCell ref="A447:C447"/>
    <mergeCell ref="A448:C448"/>
    <mergeCell ref="A439:C439"/>
    <mergeCell ref="A440:C440"/>
    <mergeCell ref="A441:C441"/>
    <mergeCell ref="A442:C442"/>
    <mergeCell ref="A443:C443"/>
    <mergeCell ref="A454:C454"/>
    <mergeCell ref="A455:C455"/>
    <mergeCell ref="A456:C456"/>
    <mergeCell ref="A457:C457"/>
    <mergeCell ref="A458:C458"/>
    <mergeCell ref="A449:C449"/>
    <mergeCell ref="A450:C450"/>
    <mergeCell ref="A451:C451"/>
    <mergeCell ref="A452:C452"/>
    <mergeCell ref="A453:C453"/>
    <mergeCell ref="A464:C464"/>
    <mergeCell ref="A465:C465"/>
    <mergeCell ref="A466:C466"/>
    <mergeCell ref="A467:C467"/>
    <mergeCell ref="A468:C468"/>
    <mergeCell ref="A459:C459"/>
    <mergeCell ref="A460:C460"/>
    <mergeCell ref="A461:C461"/>
    <mergeCell ref="A462:C462"/>
    <mergeCell ref="A463:C463"/>
    <mergeCell ref="A474:C474"/>
    <mergeCell ref="A475:C475"/>
    <mergeCell ref="A476:C476"/>
    <mergeCell ref="A477:C477"/>
    <mergeCell ref="A478:C478"/>
    <mergeCell ref="A469:C469"/>
    <mergeCell ref="A470:C470"/>
    <mergeCell ref="A471:C471"/>
    <mergeCell ref="A472:C472"/>
    <mergeCell ref="A473:C473"/>
    <mergeCell ref="A484:C484"/>
    <mergeCell ref="A485:C485"/>
    <mergeCell ref="A486:C486"/>
    <mergeCell ref="A487:C487"/>
    <mergeCell ref="A488:C488"/>
    <mergeCell ref="A479:C479"/>
    <mergeCell ref="A480:C480"/>
    <mergeCell ref="A481:C481"/>
    <mergeCell ref="A482:C482"/>
    <mergeCell ref="A483:C483"/>
    <mergeCell ref="A494:C494"/>
    <mergeCell ref="A495:C495"/>
    <mergeCell ref="A496:C496"/>
    <mergeCell ref="A497:C497"/>
    <mergeCell ref="A498:C498"/>
    <mergeCell ref="A489:C489"/>
    <mergeCell ref="A490:C490"/>
    <mergeCell ref="A491:C491"/>
    <mergeCell ref="A492:C492"/>
    <mergeCell ref="A493:C493"/>
    <mergeCell ref="A504:C504"/>
    <mergeCell ref="A505:C505"/>
    <mergeCell ref="A506:C506"/>
    <mergeCell ref="A507:C507"/>
    <mergeCell ref="A508:C508"/>
    <mergeCell ref="A499:C499"/>
    <mergeCell ref="A500:C500"/>
    <mergeCell ref="A501:C501"/>
    <mergeCell ref="A502:C502"/>
    <mergeCell ref="A503:C503"/>
    <mergeCell ref="A514:C514"/>
    <mergeCell ref="A515:C515"/>
    <mergeCell ref="A516:C516"/>
    <mergeCell ref="A517:C517"/>
    <mergeCell ref="A518:C518"/>
    <mergeCell ref="A509:C509"/>
    <mergeCell ref="A510:C510"/>
    <mergeCell ref="A511:C511"/>
    <mergeCell ref="A512:C512"/>
    <mergeCell ref="A513:C513"/>
    <mergeCell ref="A524:C524"/>
    <mergeCell ref="A525:C525"/>
    <mergeCell ref="A526:C526"/>
    <mergeCell ref="A527:C527"/>
    <mergeCell ref="A528:C528"/>
    <mergeCell ref="A519:C519"/>
    <mergeCell ref="A520:C520"/>
    <mergeCell ref="A521:C521"/>
    <mergeCell ref="A522:C522"/>
    <mergeCell ref="A523:C523"/>
    <mergeCell ref="A534:C534"/>
    <mergeCell ref="A535:C535"/>
    <mergeCell ref="A536:C536"/>
    <mergeCell ref="A537:C537"/>
    <mergeCell ref="A538:C538"/>
    <mergeCell ref="A529:C529"/>
    <mergeCell ref="A530:C530"/>
    <mergeCell ref="A531:C531"/>
    <mergeCell ref="A532:C532"/>
    <mergeCell ref="A533:C533"/>
    <mergeCell ref="A544:C544"/>
    <mergeCell ref="A545:C545"/>
    <mergeCell ref="A546:C546"/>
    <mergeCell ref="A547:C547"/>
    <mergeCell ref="A548:C548"/>
    <mergeCell ref="A539:C539"/>
    <mergeCell ref="A540:C540"/>
    <mergeCell ref="A541:C541"/>
    <mergeCell ref="A542:C542"/>
    <mergeCell ref="A543:C543"/>
    <mergeCell ref="A554:C554"/>
    <mergeCell ref="A555:C555"/>
    <mergeCell ref="A556:C556"/>
    <mergeCell ref="A557:C557"/>
    <mergeCell ref="A558:C558"/>
    <mergeCell ref="A549:C549"/>
    <mergeCell ref="A550:C550"/>
    <mergeCell ref="A551:C551"/>
    <mergeCell ref="A552:C552"/>
    <mergeCell ref="A553:C553"/>
    <mergeCell ref="A564:C564"/>
    <mergeCell ref="A565:C565"/>
    <mergeCell ref="A566:C566"/>
    <mergeCell ref="A567:C567"/>
    <mergeCell ref="A568:C568"/>
    <mergeCell ref="A559:C559"/>
    <mergeCell ref="A560:C560"/>
    <mergeCell ref="A561:C561"/>
    <mergeCell ref="A562:C562"/>
    <mergeCell ref="A563:C563"/>
    <mergeCell ref="A574:C574"/>
    <mergeCell ref="A575:C575"/>
    <mergeCell ref="A576:C576"/>
    <mergeCell ref="A577:C577"/>
    <mergeCell ref="A578:C578"/>
    <mergeCell ref="A569:C569"/>
    <mergeCell ref="A570:C570"/>
    <mergeCell ref="A571:C571"/>
    <mergeCell ref="A572:C572"/>
    <mergeCell ref="A573:C573"/>
    <mergeCell ref="A584:C584"/>
    <mergeCell ref="A585:C585"/>
    <mergeCell ref="A586:C586"/>
    <mergeCell ref="A587:C587"/>
    <mergeCell ref="A588:C588"/>
    <mergeCell ref="A579:C579"/>
    <mergeCell ref="A580:C580"/>
    <mergeCell ref="A581:C581"/>
    <mergeCell ref="A582:C582"/>
    <mergeCell ref="A583:C583"/>
    <mergeCell ref="A594:C594"/>
    <mergeCell ref="A595:C595"/>
    <mergeCell ref="A596:C596"/>
    <mergeCell ref="A597:C597"/>
    <mergeCell ref="A598:C598"/>
    <mergeCell ref="A589:C589"/>
    <mergeCell ref="A590:C590"/>
    <mergeCell ref="A591:C591"/>
    <mergeCell ref="A592:C592"/>
    <mergeCell ref="A593:C593"/>
    <mergeCell ref="A604:C604"/>
    <mergeCell ref="A605:C605"/>
    <mergeCell ref="A606:C606"/>
    <mergeCell ref="A607:C607"/>
    <mergeCell ref="A608:C608"/>
    <mergeCell ref="A599:C599"/>
    <mergeCell ref="A600:C600"/>
    <mergeCell ref="A601:C601"/>
    <mergeCell ref="A602:C602"/>
    <mergeCell ref="A603:C603"/>
    <mergeCell ref="A614:C614"/>
    <mergeCell ref="A615:C615"/>
    <mergeCell ref="A616:C616"/>
    <mergeCell ref="A617:C617"/>
    <mergeCell ref="A618:C618"/>
    <mergeCell ref="A609:C609"/>
    <mergeCell ref="A610:C610"/>
    <mergeCell ref="A611:C611"/>
    <mergeCell ref="A612:C612"/>
    <mergeCell ref="A613:C613"/>
    <mergeCell ref="A624:C624"/>
    <mergeCell ref="A625:C625"/>
    <mergeCell ref="A626:C626"/>
    <mergeCell ref="A627:C627"/>
    <mergeCell ref="A628:C628"/>
    <mergeCell ref="A619:C619"/>
    <mergeCell ref="A620:C620"/>
    <mergeCell ref="A621:C621"/>
    <mergeCell ref="A622:C622"/>
    <mergeCell ref="A623:C623"/>
    <mergeCell ref="A634:C634"/>
    <mergeCell ref="A635:C635"/>
    <mergeCell ref="A636:C636"/>
    <mergeCell ref="A637:C637"/>
    <mergeCell ref="A638:C638"/>
    <mergeCell ref="A629:C629"/>
    <mergeCell ref="A630:C630"/>
    <mergeCell ref="A631:C631"/>
    <mergeCell ref="A632:C632"/>
    <mergeCell ref="A633:C633"/>
    <mergeCell ref="A644:C644"/>
    <mergeCell ref="A645:C645"/>
    <mergeCell ref="A646:C646"/>
    <mergeCell ref="A647:C647"/>
    <mergeCell ref="A648:C648"/>
    <mergeCell ref="A639:C639"/>
    <mergeCell ref="A640:C640"/>
    <mergeCell ref="A641:C641"/>
    <mergeCell ref="A642:C642"/>
    <mergeCell ref="A643:C643"/>
    <mergeCell ref="A654:C654"/>
    <mergeCell ref="A655:C655"/>
    <mergeCell ref="A656:C656"/>
    <mergeCell ref="A657:C657"/>
    <mergeCell ref="A658:C658"/>
    <mergeCell ref="A649:C649"/>
    <mergeCell ref="A650:C650"/>
    <mergeCell ref="A651:C651"/>
    <mergeCell ref="A652:C652"/>
    <mergeCell ref="A653:C653"/>
    <mergeCell ref="A664:C664"/>
    <mergeCell ref="A665:C665"/>
    <mergeCell ref="A666:C666"/>
    <mergeCell ref="A667:C667"/>
    <mergeCell ref="A668:C668"/>
    <mergeCell ref="A659:C659"/>
    <mergeCell ref="A660:C660"/>
    <mergeCell ref="A661:C661"/>
    <mergeCell ref="A662:C662"/>
    <mergeCell ref="A663:C663"/>
    <mergeCell ref="A674:C674"/>
    <mergeCell ref="A675:C675"/>
    <mergeCell ref="A676:C676"/>
    <mergeCell ref="A677:C677"/>
    <mergeCell ref="A678:C678"/>
    <mergeCell ref="A669:C669"/>
    <mergeCell ref="A670:C670"/>
    <mergeCell ref="A671:C671"/>
    <mergeCell ref="A672:C672"/>
    <mergeCell ref="A673:C673"/>
    <mergeCell ref="A689:C689"/>
    <mergeCell ref="A690:C690"/>
    <mergeCell ref="A691:C691"/>
    <mergeCell ref="A684:C684"/>
    <mergeCell ref="A685:C685"/>
    <mergeCell ref="A686:C686"/>
    <mergeCell ref="A687:C687"/>
    <mergeCell ref="A688:C688"/>
    <mergeCell ref="A679:C679"/>
    <mergeCell ref="A680:C680"/>
    <mergeCell ref="A681:C681"/>
    <mergeCell ref="A682:C682"/>
    <mergeCell ref="A683:C683"/>
  </mergeCells>
  <pageMargins left="0" right="0" top="0" bottom="0" header="0" footer="0"/>
  <pageSetup orientation="portrait" r:id="rId1"/>
  <headerFooter alignWithMargins="0"/>
  <drawing r:id="rId2"/>
</worksheet>
</file>

<file path=docMetadata/LabelInfo.xml><?xml version="1.0" encoding="utf-8"?>
<clbl:labelList xmlns:clbl="http://schemas.microsoft.com/office/2020/mipLabelMetadata">
  <clbl:label id="{7763b311-4217-4c9e-8f98-b55ebdd03a0c}" enabled="1" method="Standard" siteId="{078256a4-c4a0-4e95-b107-2ae7d5db858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Customer Price List</vt:lpstr>
      <vt:lpstr>'Customer Price List'!Print_Titles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Ashley Farrell</cp:lastModifiedBy>
  <cp:lastPrinted>2026-05-07T17:29:24Z</cp:lastPrinted>
  <dcterms:created xsi:type="dcterms:W3CDTF">2025-08-11T17:01:49Z</dcterms:created>
  <dcterms:modified xsi:type="dcterms:W3CDTF">2026-05-21T22:51:01Z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