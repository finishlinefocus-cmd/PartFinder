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3C47CE-48CD-4A71-B082-DF23A646C75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ummary" sheetId="23" r:id="rId1"/>
    <sheet name="Table 1" sheetId="1" state="hidden" r:id="rId2"/>
    <sheet name="Table 2" sheetId="2" state="hidden" r:id="rId3"/>
    <sheet name="Table 3" sheetId="3" state="hidden" r:id="rId4"/>
    <sheet name="Table 4" sheetId="4" state="hidden" r:id="rId5"/>
    <sheet name="Table 5" sheetId="5" state="hidden" r:id="rId6"/>
    <sheet name="Table 6" sheetId="6" state="hidden" r:id="rId7"/>
    <sheet name="Table 7" sheetId="7" state="hidden" r:id="rId8"/>
    <sheet name="Table 8" sheetId="8" state="hidden" r:id="rId9"/>
    <sheet name="Table 9" sheetId="9" state="hidden" r:id="rId10"/>
    <sheet name="Table 10" sheetId="10" state="hidden" r:id="rId11"/>
    <sheet name="Table 11" sheetId="11" state="hidden" r:id="rId12"/>
    <sheet name="Table 12" sheetId="12" state="hidden" r:id="rId13"/>
    <sheet name="Table 13" sheetId="13" state="hidden" r:id="rId14"/>
    <sheet name="Table 14" sheetId="14" state="hidden" r:id="rId15"/>
    <sheet name="Table 15" sheetId="15" state="hidden" r:id="rId16"/>
    <sheet name="Table 16" sheetId="16" state="hidden" r:id="rId17"/>
    <sheet name="Table 17" sheetId="17" state="hidden" r:id="rId18"/>
    <sheet name="Table 18" sheetId="18" state="hidden" r:id="rId19"/>
    <sheet name="Table 19" sheetId="19" state="hidden" r:id="rId20"/>
    <sheet name="Table 20" sheetId="20" state="hidden" r:id="rId21"/>
    <sheet name="Table 21" sheetId="21" state="hidden" r:id="rId22"/>
  </sheets>
  <definedNames>
    <definedName name="_xlnm._FilterDatabase" localSheetId="0" hidden="1">Summary!$A$1:$L$962</definedName>
    <definedName name="_xlnm._FilterDatabase" localSheetId="1" hidden="1">'Table 1'!$B$2:$AA$4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2" i="23" l="1"/>
  <c r="I962" i="23" s="1"/>
  <c r="J962" i="23" s="1"/>
  <c r="E961" i="23"/>
  <c r="I961" i="23" s="1"/>
  <c r="J961" i="23" s="1"/>
  <c r="E960" i="23"/>
  <c r="I960" i="23" s="1"/>
  <c r="J960" i="23" s="1"/>
  <c r="E959" i="23"/>
  <c r="I959" i="23" s="1"/>
  <c r="J959" i="23" s="1"/>
  <c r="E958" i="23"/>
  <c r="I958" i="23" s="1"/>
  <c r="J958" i="23" s="1"/>
  <c r="E957" i="23"/>
  <c r="I957" i="23" s="1"/>
  <c r="J957" i="23" s="1"/>
  <c r="E956" i="23"/>
  <c r="I956" i="23" s="1"/>
  <c r="J956" i="23" s="1"/>
  <c r="E955" i="23"/>
  <c r="I955" i="23" s="1"/>
  <c r="J955" i="23" s="1"/>
  <c r="E954" i="23"/>
  <c r="I954" i="23" s="1"/>
  <c r="J954" i="23" s="1"/>
  <c r="E953" i="23"/>
  <c r="I953" i="23" s="1"/>
  <c r="J953" i="23" s="1"/>
  <c r="E952" i="23"/>
  <c r="I952" i="23" s="1"/>
  <c r="J952" i="23" s="1"/>
  <c r="E951" i="23"/>
  <c r="I951" i="23" s="1"/>
  <c r="J951" i="23" s="1"/>
  <c r="E950" i="23"/>
  <c r="I950" i="23" s="1"/>
  <c r="J950" i="23" s="1"/>
  <c r="E949" i="23"/>
  <c r="I949" i="23" s="1"/>
  <c r="J949" i="23" s="1"/>
  <c r="E948" i="23"/>
  <c r="I948" i="23" s="1"/>
  <c r="J948" i="23" s="1"/>
  <c r="E947" i="23"/>
  <c r="I947" i="23" s="1"/>
  <c r="J947" i="23" s="1"/>
  <c r="E946" i="23"/>
  <c r="I946" i="23" s="1"/>
  <c r="J946" i="23" s="1"/>
  <c r="E945" i="23"/>
  <c r="I945" i="23" s="1"/>
  <c r="J945" i="23" s="1"/>
  <c r="E944" i="23"/>
  <c r="I944" i="23" s="1"/>
  <c r="J944" i="23" s="1"/>
  <c r="E943" i="23"/>
  <c r="I943" i="23" s="1"/>
  <c r="J943" i="23" s="1"/>
  <c r="E942" i="23"/>
  <c r="I942" i="23" s="1"/>
  <c r="J942" i="23" s="1"/>
  <c r="E941" i="23"/>
  <c r="I941" i="23" s="1"/>
  <c r="J941" i="23" s="1"/>
  <c r="E940" i="23"/>
  <c r="I940" i="23" s="1"/>
  <c r="J940" i="23" s="1"/>
  <c r="E939" i="23"/>
  <c r="I939" i="23" s="1"/>
  <c r="J939" i="23" s="1"/>
  <c r="E938" i="23"/>
  <c r="I938" i="23" s="1"/>
  <c r="J938" i="23" s="1"/>
  <c r="E937" i="23"/>
  <c r="I937" i="23" s="1"/>
  <c r="J937" i="23" s="1"/>
  <c r="E936" i="23"/>
  <c r="I936" i="23" s="1"/>
  <c r="J936" i="23" s="1"/>
  <c r="E935" i="23"/>
  <c r="I935" i="23" s="1"/>
  <c r="J935" i="23" s="1"/>
  <c r="E934" i="23"/>
  <c r="I934" i="23" s="1"/>
  <c r="J934" i="23" s="1"/>
  <c r="E933" i="23"/>
  <c r="I933" i="23" s="1"/>
  <c r="J933" i="23" s="1"/>
  <c r="E932" i="23"/>
  <c r="I932" i="23" s="1"/>
  <c r="J932" i="23" s="1"/>
  <c r="E931" i="23"/>
  <c r="I931" i="23" s="1"/>
  <c r="J931" i="23" s="1"/>
  <c r="E930" i="23"/>
  <c r="I930" i="23" s="1"/>
  <c r="J930" i="23" s="1"/>
  <c r="E929" i="23"/>
  <c r="I929" i="23" s="1"/>
  <c r="J929" i="23" s="1"/>
  <c r="E928" i="23"/>
  <c r="I928" i="23" s="1"/>
  <c r="J928" i="23" s="1"/>
  <c r="E927" i="23"/>
  <c r="I927" i="23" s="1"/>
  <c r="J927" i="23" s="1"/>
  <c r="E926" i="23"/>
  <c r="I926" i="23" s="1"/>
  <c r="J926" i="23" s="1"/>
  <c r="E925" i="23"/>
  <c r="I925" i="23" s="1"/>
  <c r="J925" i="23" s="1"/>
  <c r="E924" i="23"/>
  <c r="I924" i="23" s="1"/>
  <c r="J924" i="23" s="1"/>
  <c r="E923" i="23"/>
  <c r="I923" i="23" s="1"/>
  <c r="J923" i="23" s="1"/>
  <c r="E922" i="23"/>
  <c r="I922" i="23" s="1"/>
  <c r="J922" i="23" s="1"/>
  <c r="E921" i="23"/>
  <c r="I921" i="23" s="1"/>
  <c r="J921" i="23" s="1"/>
  <c r="E920" i="23"/>
  <c r="I920" i="23" s="1"/>
  <c r="J920" i="23" s="1"/>
  <c r="E919" i="23"/>
  <c r="I919" i="23" s="1"/>
  <c r="J919" i="23" s="1"/>
  <c r="E918" i="23"/>
  <c r="I918" i="23" s="1"/>
  <c r="J918" i="23" s="1"/>
  <c r="E917" i="23"/>
  <c r="I917" i="23" s="1"/>
  <c r="J917" i="23" s="1"/>
  <c r="E916" i="23"/>
  <c r="I916" i="23" s="1"/>
  <c r="J916" i="23" s="1"/>
  <c r="E915" i="23"/>
  <c r="I915" i="23" s="1"/>
  <c r="J915" i="23" s="1"/>
  <c r="E914" i="23"/>
  <c r="I914" i="23" s="1"/>
  <c r="J914" i="23" s="1"/>
  <c r="E913" i="23"/>
  <c r="I913" i="23" s="1"/>
  <c r="J913" i="23" s="1"/>
  <c r="E912" i="23"/>
  <c r="I912" i="23" s="1"/>
  <c r="J912" i="23" s="1"/>
  <c r="E911" i="23"/>
  <c r="I911" i="23" s="1"/>
  <c r="J911" i="23" s="1"/>
  <c r="E910" i="23"/>
  <c r="I910" i="23" s="1"/>
  <c r="J910" i="23" s="1"/>
  <c r="E909" i="23"/>
  <c r="I909" i="23" s="1"/>
  <c r="J909" i="23" s="1"/>
  <c r="E908" i="23"/>
  <c r="I908" i="23" s="1"/>
  <c r="J908" i="23" s="1"/>
  <c r="E907" i="23"/>
  <c r="I907" i="23" s="1"/>
  <c r="J907" i="23" s="1"/>
  <c r="E906" i="23"/>
  <c r="I906" i="23" s="1"/>
  <c r="J906" i="23" s="1"/>
  <c r="E905" i="23"/>
  <c r="I905" i="23" s="1"/>
  <c r="J905" i="23" s="1"/>
  <c r="E904" i="23"/>
  <c r="I904" i="23" s="1"/>
  <c r="J904" i="23" s="1"/>
  <c r="E903" i="23"/>
  <c r="I903" i="23" s="1"/>
  <c r="J903" i="23" s="1"/>
  <c r="E902" i="23"/>
  <c r="I902" i="23" s="1"/>
  <c r="J902" i="23" s="1"/>
  <c r="E901" i="23"/>
  <c r="I901" i="23" s="1"/>
  <c r="J901" i="23" s="1"/>
  <c r="E900" i="23"/>
  <c r="I900" i="23" s="1"/>
  <c r="J900" i="23" s="1"/>
  <c r="E899" i="23"/>
  <c r="I899" i="23" s="1"/>
  <c r="J899" i="23" s="1"/>
  <c r="E898" i="23"/>
  <c r="I898" i="23" s="1"/>
  <c r="J898" i="23" s="1"/>
  <c r="E897" i="23"/>
  <c r="I897" i="23" s="1"/>
  <c r="J897" i="23" s="1"/>
  <c r="E896" i="23"/>
  <c r="I896" i="23" s="1"/>
  <c r="J896" i="23" s="1"/>
  <c r="E895" i="23"/>
  <c r="I895" i="23" s="1"/>
  <c r="J895" i="23" s="1"/>
  <c r="E894" i="23"/>
  <c r="I894" i="23" s="1"/>
  <c r="J894" i="23" s="1"/>
  <c r="E893" i="23"/>
  <c r="I893" i="23" s="1"/>
  <c r="J893" i="23" s="1"/>
  <c r="E892" i="23"/>
  <c r="I892" i="23" s="1"/>
  <c r="J892" i="23" s="1"/>
  <c r="E891" i="23"/>
  <c r="I891" i="23" s="1"/>
  <c r="J891" i="23" s="1"/>
  <c r="E890" i="23"/>
  <c r="I890" i="23" s="1"/>
  <c r="J890" i="23" s="1"/>
  <c r="E889" i="23"/>
  <c r="I889" i="23" s="1"/>
  <c r="J889" i="23" s="1"/>
  <c r="E888" i="23"/>
  <c r="I888" i="23" s="1"/>
  <c r="J888" i="23" s="1"/>
  <c r="E887" i="23"/>
  <c r="I887" i="23" s="1"/>
  <c r="J887" i="23" s="1"/>
  <c r="E886" i="23"/>
  <c r="I886" i="23" s="1"/>
  <c r="J886" i="23" s="1"/>
  <c r="E885" i="23"/>
  <c r="I885" i="23" s="1"/>
  <c r="J885" i="23" s="1"/>
  <c r="E884" i="23"/>
  <c r="I884" i="23" s="1"/>
  <c r="J884" i="23" s="1"/>
  <c r="E883" i="23"/>
  <c r="I883" i="23" s="1"/>
  <c r="J883" i="23" s="1"/>
  <c r="E882" i="23"/>
  <c r="I882" i="23" s="1"/>
  <c r="J882" i="23" s="1"/>
  <c r="E881" i="23"/>
  <c r="I881" i="23" s="1"/>
  <c r="J881" i="23" s="1"/>
  <c r="E880" i="23"/>
  <c r="I880" i="23" s="1"/>
  <c r="J880" i="23" s="1"/>
  <c r="E879" i="23"/>
  <c r="I879" i="23" s="1"/>
  <c r="J879" i="23" s="1"/>
  <c r="E878" i="23"/>
  <c r="I878" i="23" s="1"/>
  <c r="J878" i="23" s="1"/>
  <c r="E877" i="23"/>
  <c r="I877" i="23" s="1"/>
  <c r="J877" i="23" s="1"/>
  <c r="E876" i="23"/>
  <c r="I876" i="23" s="1"/>
  <c r="J876" i="23" s="1"/>
  <c r="E875" i="23"/>
  <c r="I875" i="23" s="1"/>
  <c r="J875" i="23" s="1"/>
  <c r="E874" i="23"/>
  <c r="I874" i="23" s="1"/>
  <c r="J874" i="23" s="1"/>
  <c r="E873" i="23"/>
  <c r="I873" i="23" s="1"/>
  <c r="J873" i="23" s="1"/>
  <c r="E872" i="23"/>
  <c r="I872" i="23" s="1"/>
  <c r="J872" i="23" s="1"/>
  <c r="E871" i="23"/>
  <c r="I871" i="23" s="1"/>
  <c r="J871" i="23" s="1"/>
  <c r="E870" i="23"/>
  <c r="I870" i="23" s="1"/>
  <c r="J870" i="23" s="1"/>
  <c r="E869" i="23"/>
  <c r="I869" i="23" s="1"/>
  <c r="J869" i="23" s="1"/>
  <c r="E868" i="23"/>
  <c r="I868" i="23" s="1"/>
  <c r="J868" i="23" s="1"/>
  <c r="E867" i="23"/>
  <c r="I867" i="23" s="1"/>
  <c r="J867" i="23" s="1"/>
  <c r="E866" i="23"/>
  <c r="I866" i="23" s="1"/>
  <c r="J866" i="23" s="1"/>
  <c r="E865" i="23"/>
  <c r="I865" i="23" s="1"/>
  <c r="J865" i="23" s="1"/>
  <c r="E864" i="23"/>
  <c r="I864" i="23" s="1"/>
  <c r="J864" i="23" s="1"/>
  <c r="E863" i="23"/>
  <c r="I863" i="23" s="1"/>
  <c r="J863" i="23" s="1"/>
  <c r="E862" i="23"/>
  <c r="I862" i="23" s="1"/>
  <c r="J862" i="23" s="1"/>
  <c r="E861" i="23"/>
  <c r="I861" i="23" s="1"/>
  <c r="J861" i="23" s="1"/>
  <c r="E860" i="23"/>
  <c r="I860" i="23" s="1"/>
  <c r="J860" i="23" s="1"/>
  <c r="E859" i="23"/>
  <c r="I859" i="23" s="1"/>
  <c r="J859" i="23" s="1"/>
  <c r="E858" i="23"/>
  <c r="I858" i="23" s="1"/>
  <c r="J858" i="23" s="1"/>
  <c r="E857" i="23"/>
  <c r="I857" i="23" s="1"/>
  <c r="J857" i="23" s="1"/>
  <c r="E856" i="23"/>
  <c r="I856" i="23" s="1"/>
  <c r="J856" i="23" s="1"/>
  <c r="E855" i="23"/>
  <c r="I855" i="23" s="1"/>
  <c r="J855" i="23" s="1"/>
  <c r="E854" i="23"/>
  <c r="I854" i="23" s="1"/>
  <c r="J854" i="23" s="1"/>
  <c r="E853" i="23"/>
  <c r="I853" i="23" s="1"/>
  <c r="J853" i="23" s="1"/>
  <c r="E852" i="23"/>
  <c r="I852" i="23" s="1"/>
  <c r="J852" i="23" s="1"/>
  <c r="E851" i="23"/>
  <c r="I851" i="23" s="1"/>
  <c r="J851" i="23" s="1"/>
  <c r="E850" i="23"/>
  <c r="I850" i="23" s="1"/>
  <c r="J850" i="23" s="1"/>
  <c r="E849" i="23"/>
  <c r="I849" i="23" s="1"/>
  <c r="J849" i="23" s="1"/>
  <c r="E848" i="23"/>
  <c r="I848" i="23" s="1"/>
  <c r="J848" i="23" s="1"/>
  <c r="E847" i="23"/>
  <c r="I847" i="23" s="1"/>
  <c r="J847" i="23" s="1"/>
  <c r="E846" i="23"/>
  <c r="I846" i="23" s="1"/>
  <c r="J846" i="23" s="1"/>
  <c r="E845" i="23"/>
  <c r="I845" i="23" s="1"/>
  <c r="J845" i="23" s="1"/>
  <c r="E844" i="23"/>
  <c r="I844" i="23" s="1"/>
  <c r="J844" i="23" s="1"/>
  <c r="E843" i="23"/>
  <c r="I843" i="23" s="1"/>
  <c r="J843" i="23" s="1"/>
  <c r="E842" i="23"/>
  <c r="I842" i="23" s="1"/>
  <c r="J842" i="23" s="1"/>
  <c r="E841" i="23"/>
  <c r="I841" i="23" s="1"/>
  <c r="J841" i="23" s="1"/>
  <c r="E840" i="23"/>
  <c r="I840" i="23" s="1"/>
  <c r="J840" i="23" s="1"/>
  <c r="E839" i="23"/>
  <c r="I839" i="23" s="1"/>
  <c r="J839" i="23" s="1"/>
  <c r="E838" i="23"/>
  <c r="I838" i="23" s="1"/>
  <c r="J838" i="23" s="1"/>
  <c r="E837" i="23"/>
  <c r="I837" i="23" s="1"/>
  <c r="J837" i="23" s="1"/>
  <c r="E836" i="23"/>
  <c r="I836" i="23" s="1"/>
  <c r="J836" i="23" s="1"/>
  <c r="E835" i="23"/>
  <c r="I835" i="23" s="1"/>
  <c r="J835" i="23" s="1"/>
  <c r="E834" i="23"/>
  <c r="I834" i="23" s="1"/>
  <c r="J834" i="23" s="1"/>
  <c r="E833" i="23"/>
  <c r="I833" i="23" s="1"/>
  <c r="J833" i="23" s="1"/>
  <c r="E832" i="23"/>
  <c r="I832" i="23" s="1"/>
  <c r="J832" i="23" s="1"/>
  <c r="E831" i="23"/>
  <c r="I831" i="23" s="1"/>
  <c r="J831" i="23" s="1"/>
  <c r="E830" i="23"/>
  <c r="I830" i="23" s="1"/>
  <c r="J830" i="23" s="1"/>
  <c r="E829" i="23"/>
  <c r="I829" i="23" s="1"/>
  <c r="J829" i="23" s="1"/>
  <c r="E828" i="23"/>
  <c r="I828" i="23" s="1"/>
  <c r="J828" i="23" s="1"/>
  <c r="E827" i="23"/>
  <c r="I827" i="23" s="1"/>
  <c r="J827" i="23" s="1"/>
  <c r="E826" i="23"/>
  <c r="I826" i="23" s="1"/>
  <c r="J826" i="23" s="1"/>
  <c r="E825" i="23"/>
  <c r="I825" i="23" s="1"/>
  <c r="J825" i="23" s="1"/>
  <c r="E824" i="23"/>
  <c r="I824" i="23" s="1"/>
  <c r="J824" i="23" s="1"/>
  <c r="E823" i="23"/>
  <c r="I823" i="23" s="1"/>
  <c r="J823" i="23" s="1"/>
  <c r="E822" i="23"/>
  <c r="I822" i="23" s="1"/>
  <c r="J822" i="23" s="1"/>
  <c r="E821" i="23"/>
  <c r="I821" i="23" s="1"/>
  <c r="J821" i="23" s="1"/>
  <c r="E820" i="23"/>
  <c r="I820" i="23" s="1"/>
  <c r="J820" i="23" s="1"/>
  <c r="E819" i="23"/>
  <c r="I819" i="23" s="1"/>
  <c r="J819" i="23" s="1"/>
  <c r="E818" i="23"/>
  <c r="I818" i="23" s="1"/>
  <c r="J818" i="23" s="1"/>
  <c r="E817" i="23"/>
  <c r="I817" i="23" s="1"/>
  <c r="J817" i="23" s="1"/>
  <c r="E816" i="23"/>
  <c r="I816" i="23" s="1"/>
  <c r="J816" i="23" s="1"/>
  <c r="E815" i="23"/>
  <c r="I815" i="23" s="1"/>
  <c r="J815" i="23" s="1"/>
  <c r="E814" i="23"/>
  <c r="I814" i="23" s="1"/>
  <c r="J814" i="23" s="1"/>
  <c r="E813" i="23"/>
  <c r="I813" i="23" s="1"/>
  <c r="J813" i="23" s="1"/>
  <c r="E812" i="23"/>
  <c r="I812" i="23" s="1"/>
  <c r="J812" i="23" s="1"/>
  <c r="E811" i="23"/>
  <c r="I811" i="23" s="1"/>
  <c r="J811" i="23" s="1"/>
  <c r="E810" i="23"/>
  <c r="I810" i="23" s="1"/>
  <c r="J810" i="23" s="1"/>
  <c r="E809" i="23"/>
  <c r="I809" i="23" s="1"/>
  <c r="J809" i="23" s="1"/>
  <c r="E808" i="23"/>
  <c r="I808" i="23" s="1"/>
  <c r="J808" i="23" s="1"/>
  <c r="E807" i="23"/>
  <c r="I807" i="23" s="1"/>
  <c r="J807" i="23" s="1"/>
  <c r="E806" i="23"/>
  <c r="I806" i="23" s="1"/>
  <c r="J806" i="23" s="1"/>
  <c r="E805" i="23"/>
  <c r="I805" i="23" s="1"/>
  <c r="J805" i="23" s="1"/>
  <c r="E804" i="23"/>
  <c r="I804" i="23" s="1"/>
  <c r="J804" i="23" s="1"/>
  <c r="E803" i="23"/>
  <c r="I803" i="23" s="1"/>
  <c r="J803" i="23" s="1"/>
  <c r="E802" i="23"/>
  <c r="I802" i="23" s="1"/>
  <c r="J802" i="23" s="1"/>
  <c r="E801" i="23"/>
  <c r="I801" i="23" s="1"/>
  <c r="J801" i="23" s="1"/>
  <c r="E800" i="23"/>
  <c r="I800" i="23" s="1"/>
  <c r="J800" i="23" s="1"/>
  <c r="E799" i="23"/>
  <c r="I799" i="23" s="1"/>
  <c r="J799" i="23" s="1"/>
  <c r="E798" i="23"/>
  <c r="I798" i="23" s="1"/>
  <c r="J798" i="23" s="1"/>
  <c r="E797" i="23"/>
  <c r="I797" i="23" s="1"/>
  <c r="J797" i="23" s="1"/>
  <c r="E796" i="23"/>
  <c r="I796" i="23" s="1"/>
  <c r="J796" i="23" s="1"/>
  <c r="E795" i="23"/>
  <c r="I795" i="23" s="1"/>
  <c r="J795" i="23" s="1"/>
  <c r="E794" i="23"/>
  <c r="I794" i="23" s="1"/>
  <c r="J794" i="23" s="1"/>
  <c r="E793" i="23"/>
  <c r="I793" i="23" s="1"/>
  <c r="J793" i="23" s="1"/>
  <c r="E792" i="23"/>
  <c r="I792" i="23" s="1"/>
  <c r="J792" i="23" s="1"/>
  <c r="E791" i="23"/>
  <c r="I791" i="23" s="1"/>
  <c r="J791" i="23" s="1"/>
  <c r="E790" i="23"/>
  <c r="I790" i="23" s="1"/>
  <c r="J790" i="23" s="1"/>
  <c r="E789" i="23"/>
  <c r="I789" i="23" s="1"/>
  <c r="J789" i="23" s="1"/>
  <c r="E788" i="23"/>
  <c r="I788" i="23" s="1"/>
  <c r="J788" i="23" s="1"/>
  <c r="E787" i="23"/>
  <c r="I787" i="23" s="1"/>
  <c r="J787" i="23" s="1"/>
  <c r="E786" i="23"/>
  <c r="I786" i="23" s="1"/>
  <c r="J786" i="23" s="1"/>
  <c r="E785" i="23"/>
  <c r="I785" i="23" s="1"/>
  <c r="J785" i="23" s="1"/>
  <c r="E784" i="23"/>
  <c r="I784" i="23" s="1"/>
  <c r="J784" i="23" s="1"/>
  <c r="E783" i="23"/>
  <c r="I783" i="23" s="1"/>
  <c r="J783" i="23" s="1"/>
  <c r="E782" i="23"/>
  <c r="I782" i="23" s="1"/>
  <c r="J782" i="23" s="1"/>
  <c r="E781" i="23"/>
  <c r="I781" i="23" s="1"/>
  <c r="J781" i="23" s="1"/>
  <c r="E780" i="23"/>
  <c r="I780" i="23" s="1"/>
  <c r="J780" i="23" s="1"/>
  <c r="E779" i="23"/>
  <c r="I779" i="23" s="1"/>
  <c r="J779" i="23" s="1"/>
  <c r="E778" i="23"/>
  <c r="I778" i="23" s="1"/>
  <c r="J778" i="23" s="1"/>
  <c r="E777" i="23"/>
  <c r="I777" i="23" s="1"/>
  <c r="J777" i="23" s="1"/>
  <c r="E776" i="23"/>
  <c r="I776" i="23" s="1"/>
  <c r="J776" i="23" s="1"/>
  <c r="E775" i="23"/>
  <c r="I775" i="23" s="1"/>
  <c r="J775" i="23" s="1"/>
  <c r="E774" i="23"/>
  <c r="I774" i="23" s="1"/>
  <c r="J774" i="23" s="1"/>
  <c r="E773" i="23"/>
  <c r="I773" i="23" s="1"/>
  <c r="J773" i="23" s="1"/>
  <c r="E772" i="23"/>
  <c r="I772" i="23" s="1"/>
  <c r="J772" i="23" s="1"/>
  <c r="E771" i="23"/>
  <c r="I771" i="23" s="1"/>
  <c r="J771" i="23" s="1"/>
  <c r="E770" i="23"/>
  <c r="I770" i="23" s="1"/>
  <c r="J770" i="23" s="1"/>
  <c r="E769" i="23"/>
  <c r="I769" i="23" s="1"/>
  <c r="J769" i="23" s="1"/>
  <c r="E768" i="23"/>
  <c r="I768" i="23" s="1"/>
  <c r="J768" i="23" s="1"/>
  <c r="E767" i="23"/>
  <c r="I767" i="23" s="1"/>
  <c r="J767" i="23" s="1"/>
  <c r="E766" i="23"/>
  <c r="I766" i="23" s="1"/>
  <c r="J766" i="23" s="1"/>
  <c r="E765" i="23"/>
  <c r="I765" i="23" s="1"/>
  <c r="J765" i="23" s="1"/>
  <c r="E764" i="23"/>
  <c r="I764" i="23" s="1"/>
  <c r="J764" i="23" s="1"/>
  <c r="E763" i="23"/>
  <c r="I763" i="23" s="1"/>
  <c r="J763" i="23" s="1"/>
  <c r="E762" i="23"/>
  <c r="I762" i="23" s="1"/>
  <c r="J762" i="23" s="1"/>
  <c r="E761" i="23"/>
  <c r="I761" i="23" s="1"/>
  <c r="J761" i="23" s="1"/>
  <c r="E760" i="23"/>
  <c r="I760" i="23" s="1"/>
  <c r="J760" i="23" s="1"/>
  <c r="E759" i="23"/>
  <c r="I759" i="23" s="1"/>
  <c r="J759" i="23" s="1"/>
  <c r="E758" i="23"/>
  <c r="I758" i="23" s="1"/>
  <c r="J758" i="23" s="1"/>
  <c r="E757" i="23"/>
  <c r="I757" i="23" s="1"/>
  <c r="J757" i="23" s="1"/>
  <c r="E756" i="23"/>
  <c r="I756" i="23" s="1"/>
  <c r="J756" i="23" s="1"/>
  <c r="E755" i="23"/>
  <c r="I755" i="23" s="1"/>
  <c r="J755" i="23" s="1"/>
  <c r="E754" i="23"/>
  <c r="I754" i="23" s="1"/>
  <c r="J754" i="23" s="1"/>
  <c r="E753" i="23"/>
  <c r="I753" i="23" s="1"/>
  <c r="J753" i="23" s="1"/>
  <c r="E752" i="23"/>
  <c r="I752" i="23" s="1"/>
  <c r="J752" i="23" s="1"/>
  <c r="E751" i="23"/>
  <c r="I751" i="23" s="1"/>
  <c r="J751" i="23" s="1"/>
  <c r="E750" i="23"/>
  <c r="I750" i="23" s="1"/>
  <c r="J750" i="23" s="1"/>
  <c r="E749" i="23"/>
  <c r="I749" i="23" s="1"/>
  <c r="J749" i="23" s="1"/>
  <c r="E748" i="23"/>
  <c r="I748" i="23" s="1"/>
  <c r="J748" i="23" s="1"/>
  <c r="E747" i="23"/>
  <c r="I747" i="23" s="1"/>
  <c r="J747" i="23" s="1"/>
  <c r="E746" i="23"/>
  <c r="I746" i="23" s="1"/>
  <c r="J746" i="23" s="1"/>
  <c r="E745" i="23"/>
  <c r="I745" i="23" s="1"/>
  <c r="J745" i="23" s="1"/>
  <c r="E744" i="23"/>
  <c r="I744" i="23" s="1"/>
  <c r="J744" i="23" s="1"/>
  <c r="E743" i="23"/>
  <c r="I743" i="23" s="1"/>
  <c r="J743" i="23" s="1"/>
  <c r="E742" i="23"/>
  <c r="I742" i="23" s="1"/>
  <c r="J742" i="23" s="1"/>
  <c r="E741" i="23"/>
  <c r="I741" i="23" s="1"/>
  <c r="J741" i="23" s="1"/>
  <c r="E740" i="23"/>
  <c r="I740" i="23" s="1"/>
  <c r="J740" i="23" s="1"/>
  <c r="E739" i="23"/>
  <c r="I739" i="23" s="1"/>
  <c r="J739" i="23" s="1"/>
  <c r="E738" i="23"/>
  <c r="I738" i="23" s="1"/>
  <c r="J738" i="23" s="1"/>
  <c r="E737" i="23"/>
  <c r="I737" i="23" s="1"/>
  <c r="J737" i="23" s="1"/>
  <c r="E736" i="23"/>
  <c r="I736" i="23" s="1"/>
  <c r="J736" i="23" s="1"/>
  <c r="E735" i="23"/>
  <c r="I735" i="23" s="1"/>
  <c r="J735" i="23" s="1"/>
  <c r="E734" i="23"/>
  <c r="I734" i="23" s="1"/>
  <c r="J734" i="23" s="1"/>
  <c r="E733" i="23"/>
  <c r="I733" i="23" s="1"/>
  <c r="J733" i="23" s="1"/>
  <c r="E732" i="23"/>
  <c r="I732" i="23" s="1"/>
  <c r="J732" i="23" s="1"/>
  <c r="E731" i="23"/>
  <c r="I731" i="23" s="1"/>
  <c r="J731" i="23" s="1"/>
  <c r="E730" i="23"/>
  <c r="I730" i="23" s="1"/>
  <c r="J730" i="23" s="1"/>
  <c r="E729" i="23"/>
  <c r="I729" i="23" s="1"/>
  <c r="J729" i="23" s="1"/>
  <c r="E728" i="23"/>
  <c r="I728" i="23" s="1"/>
  <c r="J728" i="23" s="1"/>
  <c r="E727" i="23"/>
  <c r="I727" i="23" s="1"/>
  <c r="J727" i="23" s="1"/>
  <c r="E726" i="23"/>
  <c r="I726" i="23" s="1"/>
  <c r="J726" i="23" s="1"/>
  <c r="E725" i="23"/>
  <c r="I725" i="23" s="1"/>
  <c r="J725" i="23" s="1"/>
  <c r="E724" i="23"/>
  <c r="I724" i="23" s="1"/>
  <c r="J724" i="23" s="1"/>
  <c r="E723" i="23"/>
  <c r="I723" i="23" s="1"/>
  <c r="J723" i="23" s="1"/>
  <c r="E722" i="23"/>
  <c r="I722" i="23" s="1"/>
  <c r="J722" i="23" s="1"/>
  <c r="E721" i="23"/>
  <c r="I721" i="23" s="1"/>
  <c r="J721" i="23" s="1"/>
  <c r="E720" i="23"/>
  <c r="I720" i="23" s="1"/>
  <c r="J720" i="23" s="1"/>
  <c r="E719" i="23"/>
  <c r="I719" i="23" s="1"/>
  <c r="J719" i="23" s="1"/>
  <c r="E718" i="23"/>
  <c r="I718" i="23" s="1"/>
  <c r="J718" i="23" s="1"/>
  <c r="E717" i="23"/>
  <c r="I717" i="23" s="1"/>
  <c r="J717" i="23" s="1"/>
  <c r="E716" i="23"/>
  <c r="I716" i="23" s="1"/>
  <c r="J716" i="23" s="1"/>
  <c r="E715" i="23"/>
  <c r="I715" i="23" s="1"/>
  <c r="J715" i="23" s="1"/>
  <c r="E714" i="23"/>
  <c r="I714" i="23" s="1"/>
  <c r="J714" i="23" s="1"/>
  <c r="E713" i="23"/>
  <c r="I713" i="23" s="1"/>
  <c r="J713" i="23" s="1"/>
  <c r="E712" i="23"/>
  <c r="I712" i="23" s="1"/>
  <c r="J712" i="23" s="1"/>
  <c r="E711" i="23"/>
  <c r="I711" i="23" s="1"/>
  <c r="J711" i="23" s="1"/>
  <c r="E710" i="23"/>
  <c r="I710" i="23" s="1"/>
  <c r="J710" i="23" s="1"/>
  <c r="E709" i="23"/>
  <c r="I709" i="23" s="1"/>
  <c r="J709" i="23" s="1"/>
  <c r="E708" i="23"/>
  <c r="I708" i="23" s="1"/>
  <c r="J708" i="23" s="1"/>
  <c r="E707" i="23"/>
  <c r="I707" i="23" s="1"/>
  <c r="J707" i="23" s="1"/>
  <c r="E706" i="23"/>
  <c r="I706" i="23" s="1"/>
  <c r="J706" i="23" s="1"/>
  <c r="E705" i="23"/>
  <c r="I705" i="23" s="1"/>
  <c r="J705" i="23" s="1"/>
  <c r="E704" i="23"/>
  <c r="I704" i="23" s="1"/>
  <c r="J704" i="23" s="1"/>
  <c r="E703" i="23"/>
  <c r="I703" i="23" s="1"/>
  <c r="J703" i="23" s="1"/>
  <c r="E702" i="23"/>
  <c r="I702" i="23" s="1"/>
  <c r="J702" i="23" s="1"/>
  <c r="E701" i="23"/>
  <c r="I701" i="23" s="1"/>
  <c r="J701" i="23" s="1"/>
  <c r="E700" i="23"/>
  <c r="I700" i="23" s="1"/>
  <c r="J700" i="23" s="1"/>
  <c r="E699" i="23"/>
  <c r="I699" i="23" s="1"/>
  <c r="J699" i="23" s="1"/>
  <c r="E698" i="23"/>
  <c r="I698" i="23" s="1"/>
  <c r="J698" i="23" s="1"/>
  <c r="E697" i="23"/>
  <c r="I697" i="23" s="1"/>
  <c r="J697" i="23" s="1"/>
  <c r="E696" i="23"/>
  <c r="I696" i="23" s="1"/>
  <c r="J696" i="23" s="1"/>
  <c r="E695" i="23"/>
  <c r="I695" i="23" s="1"/>
  <c r="J695" i="23" s="1"/>
  <c r="E694" i="23"/>
  <c r="I694" i="23" s="1"/>
  <c r="J694" i="23" s="1"/>
  <c r="E693" i="23"/>
  <c r="I693" i="23" s="1"/>
  <c r="J693" i="23" s="1"/>
  <c r="E692" i="23"/>
  <c r="I692" i="23" s="1"/>
  <c r="J692" i="23" s="1"/>
  <c r="E691" i="23"/>
  <c r="I691" i="23" s="1"/>
  <c r="J691" i="23" s="1"/>
  <c r="E690" i="23"/>
  <c r="I690" i="23" s="1"/>
  <c r="J690" i="23" s="1"/>
  <c r="E689" i="23"/>
  <c r="I689" i="23" s="1"/>
  <c r="J689" i="23" s="1"/>
  <c r="E688" i="23"/>
  <c r="I688" i="23" s="1"/>
  <c r="J688" i="23" s="1"/>
  <c r="E687" i="23"/>
  <c r="I687" i="23" s="1"/>
  <c r="J687" i="23" s="1"/>
  <c r="E686" i="23"/>
  <c r="I686" i="23" s="1"/>
  <c r="J686" i="23" s="1"/>
  <c r="E685" i="23"/>
  <c r="I685" i="23" s="1"/>
  <c r="J685" i="23" s="1"/>
  <c r="E684" i="23"/>
  <c r="I684" i="23" s="1"/>
  <c r="J684" i="23" s="1"/>
  <c r="E683" i="23"/>
  <c r="I683" i="23" s="1"/>
  <c r="J683" i="23" s="1"/>
  <c r="E682" i="23"/>
  <c r="I682" i="23" s="1"/>
  <c r="J682" i="23" s="1"/>
  <c r="E681" i="23"/>
  <c r="I681" i="23" s="1"/>
  <c r="J681" i="23" s="1"/>
  <c r="E680" i="23"/>
  <c r="I680" i="23" s="1"/>
  <c r="J680" i="23" s="1"/>
  <c r="E679" i="23"/>
  <c r="I679" i="23" s="1"/>
  <c r="J679" i="23" s="1"/>
  <c r="E678" i="23"/>
  <c r="I678" i="23" s="1"/>
  <c r="J678" i="23" s="1"/>
  <c r="E677" i="23"/>
  <c r="I677" i="23" s="1"/>
  <c r="J677" i="23" s="1"/>
  <c r="E676" i="23"/>
  <c r="I676" i="23" s="1"/>
  <c r="J676" i="23" s="1"/>
  <c r="E675" i="23"/>
  <c r="I675" i="23" s="1"/>
  <c r="J675" i="23" s="1"/>
  <c r="E674" i="23"/>
  <c r="I674" i="23" s="1"/>
  <c r="J674" i="23" s="1"/>
  <c r="E673" i="23"/>
  <c r="I673" i="23" s="1"/>
  <c r="J673" i="23" s="1"/>
  <c r="E672" i="23"/>
  <c r="I672" i="23" s="1"/>
  <c r="J672" i="23" s="1"/>
  <c r="E671" i="23"/>
  <c r="I671" i="23" s="1"/>
  <c r="J671" i="23" s="1"/>
  <c r="E670" i="23"/>
  <c r="I670" i="23" s="1"/>
  <c r="J670" i="23" s="1"/>
  <c r="E669" i="23"/>
  <c r="I669" i="23" s="1"/>
  <c r="J669" i="23" s="1"/>
  <c r="E668" i="23"/>
  <c r="I668" i="23" s="1"/>
  <c r="J668" i="23" s="1"/>
  <c r="E667" i="23"/>
  <c r="I667" i="23" s="1"/>
  <c r="J667" i="23" s="1"/>
  <c r="E666" i="23"/>
  <c r="I666" i="23" s="1"/>
  <c r="J666" i="23" s="1"/>
  <c r="E665" i="23"/>
  <c r="I665" i="23" s="1"/>
  <c r="J665" i="23" s="1"/>
  <c r="E664" i="23"/>
  <c r="I664" i="23" s="1"/>
  <c r="J664" i="23" s="1"/>
  <c r="E663" i="23"/>
  <c r="I663" i="23" s="1"/>
  <c r="J663" i="23" s="1"/>
  <c r="E662" i="23"/>
  <c r="I662" i="23" s="1"/>
  <c r="J662" i="23" s="1"/>
  <c r="E661" i="23"/>
  <c r="I661" i="23" s="1"/>
  <c r="J661" i="23" s="1"/>
  <c r="E660" i="23"/>
  <c r="I660" i="23" s="1"/>
  <c r="J660" i="23" s="1"/>
  <c r="E659" i="23"/>
  <c r="I659" i="23" s="1"/>
  <c r="J659" i="23" s="1"/>
  <c r="E658" i="23"/>
  <c r="I658" i="23" s="1"/>
  <c r="J658" i="23" s="1"/>
  <c r="E657" i="23"/>
  <c r="I657" i="23" s="1"/>
  <c r="J657" i="23" s="1"/>
  <c r="E656" i="23"/>
  <c r="I656" i="23" s="1"/>
  <c r="J656" i="23" s="1"/>
  <c r="E655" i="23"/>
  <c r="I655" i="23" s="1"/>
  <c r="J655" i="23" s="1"/>
  <c r="E654" i="23"/>
  <c r="I654" i="23" s="1"/>
  <c r="J654" i="23" s="1"/>
  <c r="E653" i="23"/>
  <c r="I653" i="23" s="1"/>
  <c r="J653" i="23" s="1"/>
  <c r="E652" i="23"/>
  <c r="I652" i="23" s="1"/>
  <c r="J652" i="23" s="1"/>
  <c r="E651" i="23"/>
  <c r="I651" i="23" s="1"/>
  <c r="J651" i="23" s="1"/>
  <c r="E650" i="23"/>
  <c r="I650" i="23" s="1"/>
  <c r="J650" i="23" s="1"/>
  <c r="E649" i="23"/>
  <c r="I649" i="23" s="1"/>
  <c r="J649" i="23" s="1"/>
  <c r="E648" i="23"/>
  <c r="I648" i="23" s="1"/>
  <c r="J648" i="23" s="1"/>
  <c r="E647" i="23"/>
  <c r="I647" i="23" s="1"/>
  <c r="J647" i="23" s="1"/>
  <c r="E646" i="23"/>
  <c r="I646" i="23" s="1"/>
  <c r="J646" i="23" s="1"/>
  <c r="E645" i="23"/>
  <c r="I645" i="23" s="1"/>
  <c r="J645" i="23" s="1"/>
  <c r="E644" i="23"/>
  <c r="I644" i="23" s="1"/>
  <c r="J644" i="23" s="1"/>
  <c r="E643" i="23"/>
  <c r="I643" i="23" s="1"/>
  <c r="J643" i="23" s="1"/>
  <c r="E642" i="23"/>
  <c r="I642" i="23" s="1"/>
  <c r="J642" i="23" s="1"/>
  <c r="E641" i="23"/>
  <c r="I641" i="23" s="1"/>
  <c r="J641" i="23" s="1"/>
  <c r="E640" i="23"/>
  <c r="I640" i="23" s="1"/>
  <c r="J640" i="23" s="1"/>
  <c r="E639" i="23"/>
  <c r="I639" i="23" s="1"/>
  <c r="J639" i="23" s="1"/>
  <c r="E638" i="23"/>
  <c r="I638" i="23" s="1"/>
  <c r="J638" i="23" s="1"/>
  <c r="E637" i="23"/>
  <c r="I637" i="23" s="1"/>
  <c r="J637" i="23" s="1"/>
  <c r="E636" i="23"/>
  <c r="I636" i="23" s="1"/>
  <c r="J636" i="23" s="1"/>
  <c r="E635" i="23"/>
  <c r="I635" i="23" s="1"/>
  <c r="J635" i="23" s="1"/>
  <c r="E634" i="23"/>
  <c r="I634" i="23" s="1"/>
  <c r="J634" i="23" s="1"/>
  <c r="E633" i="23"/>
  <c r="I633" i="23" s="1"/>
  <c r="J633" i="23" s="1"/>
  <c r="E632" i="23"/>
  <c r="I632" i="23" s="1"/>
  <c r="J632" i="23" s="1"/>
  <c r="E631" i="23"/>
  <c r="I631" i="23" s="1"/>
  <c r="J631" i="23" s="1"/>
  <c r="E630" i="23"/>
  <c r="I630" i="23" s="1"/>
  <c r="J630" i="23" s="1"/>
  <c r="E629" i="23"/>
  <c r="I629" i="23" s="1"/>
  <c r="J629" i="23" s="1"/>
  <c r="E628" i="23"/>
  <c r="I628" i="23" s="1"/>
  <c r="J628" i="23" s="1"/>
  <c r="E627" i="23"/>
  <c r="I627" i="23" s="1"/>
  <c r="J627" i="23" s="1"/>
  <c r="E626" i="23"/>
  <c r="I626" i="23" s="1"/>
  <c r="J626" i="23" s="1"/>
  <c r="E625" i="23"/>
  <c r="I625" i="23" s="1"/>
  <c r="J625" i="23" s="1"/>
  <c r="E624" i="23"/>
  <c r="I624" i="23" s="1"/>
  <c r="J624" i="23" s="1"/>
  <c r="E623" i="23"/>
  <c r="I623" i="23" s="1"/>
  <c r="J623" i="23" s="1"/>
  <c r="E622" i="23"/>
  <c r="I622" i="23" s="1"/>
  <c r="J622" i="23" s="1"/>
  <c r="E621" i="23"/>
  <c r="I621" i="23" s="1"/>
  <c r="J621" i="23" s="1"/>
  <c r="E620" i="23"/>
  <c r="I620" i="23" s="1"/>
  <c r="J620" i="23" s="1"/>
  <c r="E619" i="23"/>
  <c r="I619" i="23" s="1"/>
  <c r="J619" i="23" s="1"/>
  <c r="E618" i="23"/>
  <c r="I618" i="23" s="1"/>
  <c r="J618" i="23" s="1"/>
  <c r="E617" i="23"/>
  <c r="I617" i="23" s="1"/>
  <c r="J617" i="23" s="1"/>
  <c r="E616" i="23"/>
  <c r="I616" i="23" s="1"/>
  <c r="J616" i="23" s="1"/>
  <c r="E615" i="23"/>
  <c r="I615" i="23" s="1"/>
  <c r="J615" i="23" s="1"/>
  <c r="E614" i="23"/>
  <c r="I614" i="23" s="1"/>
  <c r="J614" i="23" s="1"/>
  <c r="E613" i="23"/>
  <c r="I613" i="23" s="1"/>
  <c r="J613" i="23" s="1"/>
  <c r="E612" i="23"/>
  <c r="I612" i="23" s="1"/>
  <c r="J612" i="23" s="1"/>
  <c r="E611" i="23"/>
  <c r="I611" i="23" s="1"/>
  <c r="J611" i="23" s="1"/>
  <c r="E610" i="23"/>
  <c r="I610" i="23" s="1"/>
  <c r="J610" i="23" s="1"/>
  <c r="E609" i="23"/>
  <c r="I609" i="23" s="1"/>
  <c r="J609" i="23" s="1"/>
  <c r="E608" i="23"/>
  <c r="I608" i="23" s="1"/>
  <c r="J608" i="23" s="1"/>
  <c r="E607" i="23"/>
  <c r="I607" i="23" s="1"/>
  <c r="J607" i="23" s="1"/>
  <c r="E606" i="23"/>
  <c r="I606" i="23" s="1"/>
  <c r="J606" i="23" s="1"/>
  <c r="E605" i="23"/>
  <c r="I605" i="23" s="1"/>
  <c r="J605" i="23" s="1"/>
  <c r="E604" i="23"/>
  <c r="I604" i="23" s="1"/>
  <c r="J604" i="23" s="1"/>
  <c r="E603" i="23"/>
  <c r="I603" i="23" s="1"/>
  <c r="J603" i="23" s="1"/>
  <c r="E602" i="23"/>
  <c r="I602" i="23" s="1"/>
  <c r="J602" i="23" s="1"/>
  <c r="E601" i="23"/>
  <c r="I601" i="23" s="1"/>
  <c r="J601" i="23" s="1"/>
  <c r="E600" i="23"/>
  <c r="I600" i="23" s="1"/>
  <c r="J600" i="23" s="1"/>
  <c r="E599" i="23"/>
  <c r="I599" i="23" s="1"/>
  <c r="J599" i="23" s="1"/>
  <c r="E598" i="23"/>
  <c r="I598" i="23" s="1"/>
  <c r="J598" i="23" s="1"/>
  <c r="E597" i="23"/>
  <c r="I597" i="23" s="1"/>
  <c r="J597" i="23" s="1"/>
  <c r="E596" i="23"/>
  <c r="I596" i="23" s="1"/>
  <c r="J596" i="23" s="1"/>
  <c r="E595" i="23"/>
  <c r="I595" i="23" s="1"/>
  <c r="J595" i="23" s="1"/>
  <c r="E594" i="23"/>
  <c r="I594" i="23" s="1"/>
  <c r="J594" i="23" s="1"/>
  <c r="E593" i="23"/>
  <c r="I593" i="23" s="1"/>
  <c r="J593" i="23" s="1"/>
  <c r="E592" i="23"/>
  <c r="I592" i="23" s="1"/>
  <c r="J592" i="23" s="1"/>
  <c r="E591" i="23"/>
  <c r="I591" i="23" s="1"/>
  <c r="J591" i="23" s="1"/>
  <c r="E590" i="23"/>
  <c r="I590" i="23" s="1"/>
  <c r="J590" i="23" s="1"/>
  <c r="E589" i="23"/>
  <c r="I589" i="23" s="1"/>
  <c r="J589" i="23" s="1"/>
  <c r="E588" i="23"/>
  <c r="I588" i="23" s="1"/>
  <c r="J588" i="23" s="1"/>
  <c r="E587" i="23"/>
  <c r="I587" i="23" s="1"/>
  <c r="J587" i="23" s="1"/>
  <c r="E586" i="23"/>
  <c r="I586" i="23" s="1"/>
  <c r="J586" i="23" s="1"/>
  <c r="E585" i="23"/>
  <c r="I585" i="23" s="1"/>
  <c r="J585" i="23" s="1"/>
  <c r="E584" i="23"/>
  <c r="I584" i="23" s="1"/>
  <c r="J584" i="23" s="1"/>
  <c r="E583" i="23"/>
  <c r="I583" i="23" s="1"/>
  <c r="J583" i="23" s="1"/>
  <c r="E582" i="23"/>
  <c r="I582" i="23" s="1"/>
  <c r="J582" i="23" s="1"/>
  <c r="E581" i="23"/>
  <c r="I581" i="23" s="1"/>
  <c r="J581" i="23" s="1"/>
  <c r="E580" i="23"/>
  <c r="I580" i="23" s="1"/>
  <c r="J580" i="23" s="1"/>
  <c r="E579" i="23"/>
  <c r="I579" i="23" s="1"/>
  <c r="J579" i="23" s="1"/>
  <c r="E578" i="23"/>
  <c r="I578" i="23" s="1"/>
  <c r="J578" i="23" s="1"/>
  <c r="E577" i="23"/>
  <c r="I577" i="23" s="1"/>
  <c r="J577" i="23" s="1"/>
  <c r="E576" i="23"/>
  <c r="I576" i="23" s="1"/>
  <c r="J576" i="23" s="1"/>
  <c r="E575" i="23"/>
  <c r="I575" i="23" s="1"/>
  <c r="J575" i="23" s="1"/>
  <c r="E574" i="23"/>
  <c r="I574" i="23" s="1"/>
  <c r="J574" i="23" s="1"/>
  <c r="E573" i="23"/>
  <c r="I573" i="23" s="1"/>
  <c r="J573" i="23" s="1"/>
  <c r="E572" i="23"/>
  <c r="I572" i="23" s="1"/>
  <c r="J572" i="23" s="1"/>
  <c r="E571" i="23"/>
  <c r="I571" i="23" s="1"/>
  <c r="J571" i="23" s="1"/>
  <c r="E570" i="23"/>
  <c r="I570" i="23" s="1"/>
  <c r="J570" i="23" s="1"/>
  <c r="E569" i="23"/>
  <c r="I569" i="23" s="1"/>
  <c r="J569" i="23" s="1"/>
  <c r="E568" i="23"/>
  <c r="I568" i="23" s="1"/>
  <c r="J568" i="23" s="1"/>
  <c r="E567" i="23"/>
  <c r="I567" i="23" s="1"/>
  <c r="J567" i="23" s="1"/>
  <c r="E566" i="23"/>
  <c r="I566" i="23" s="1"/>
  <c r="J566" i="23" s="1"/>
  <c r="E565" i="23"/>
  <c r="I565" i="23" s="1"/>
  <c r="J565" i="23" s="1"/>
  <c r="E564" i="23"/>
  <c r="I564" i="23" s="1"/>
  <c r="J564" i="23" s="1"/>
  <c r="E563" i="23"/>
  <c r="I563" i="23" s="1"/>
  <c r="J563" i="23" s="1"/>
  <c r="E562" i="23"/>
  <c r="I562" i="23" s="1"/>
  <c r="J562" i="23" s="1"/>
  <c r="E561" i="23"/>
  <c r="I561" i="23" s="1"/>
  <c r="J561" i="23" s="1"/>
  <c r="E560" i="23"/>
  <c r="I560" i="23" s="1"/>
  <c r="J560" i="23" s="1"/>
  <c r="E559" i="23"/>
  <c r="I559" i="23" s="1"/>
  <c r="J559" i="23" s="1"/>
  <c r="E558" i="23"/>
  <c r="I558" i="23" s="1"/>
  <c r="J558" i="23" s="1"/>
  <c r="E557" i="23"/>
  <c r="I557" i="23" s="1"/>
  <c r="J557" i="23" s="1"/>
  <c r="E556" i="23"/>
  <c r="I556" i="23" s="1"/>
  <c r="J556" i="23" s="1"/>
  <c r="E555" i="23"/>
  <c r="I555" i="23" s="1"/>
  <c r="J555" i="23" s="1"/>
  <c r="E554" i="23"/>
  <c r="I554" i="23" s="1"/>
  <c r="J554" i="23" s="1"/>
  <c r="E553" i="23"/>
  <c r="I553" i="23" s="1"/>
  <c r="J553" i="23" s="1"/>
  <c r="E552" i="23"/>
  <c r="I552" i="23" s="1"/>
  <c r="J552" i="23" s="1"/>
  <c r="E551" i="23"/>
  <c r="I551" i="23" s="1"/>
  <c r="J551" i="23" s="1"/>
  <c r="E550" i="23"/>
  <c r="I550" i="23" s="1"/>
  <c r="J550" i="23" s="1"/>
  <c r="E549" i="23"/>
  <c r="I549" i="23" s="1"/>
  <c r="J549" i="23" s="1"/>
  <c r="E548" i="23"/>
  <c r="I548" i="23" s="1"/>
  <c r="J548" i="23" s="1"/>
  <c r="E547" i="23"/>
  <c r="I547" i="23" s="1"/>
  <c r="J547" i="23" s="1"/>
  <c r="E546" i="23"/>
  <c r="I546" i="23" s="1"/>
  <c r="J546" i="23" s="1"/>
  <c r="E545" i="23"/>
  <c r="I545" i="23" s="1"/>
  <c r="J545" i="23" s="1"/>
  <c r="E544" i="23"/>
  <c r="I544" i="23" s="1"/>
  <c r="J544" i="23" s="1"/>
  <c r="E543" i="23"/>
  <c r="I543" i="23" s="1"/>
  <c r="J543" i="23" s="1"/>
  <c r="E542" i="23"/>
  <c r="I542" i="23" s="1"/>
  <c r="J542" i="23" s="1"/>
  <c r="E541" i="23"/>
  <c r="I541" i="23" s="1"/>
  <c r="J541" i="23" s="1"/>
  <c r="E540" i="23"/>
  <c r="I540" i="23" s="1"/>
  <c r="J540" i="23" s="1"/>
  <c r="E539" i="23"/>
  <c r="I539" i="23" s="1"/>
  <c r="J539" i="23" s="1"/>
  <c r="E538" i="23"/>
  <c r="I538" i="23" s="1"/>
  <c r="J538" i="23" s="1"/>
  <c r="E537" i="23"/>
  <c r="I537" i="23" s="1"/>
  <c r="J537" i="23" s="1"/>
  <c r="E536" i="23"/>
  <c r="I536" i="23" s="1"/>
  <c r="J536" i="23" s="1"/>
  <c r="E535" i="23"/>
  <c r="I535" i="23" s="1"/>
  <c r="J535" i="23" s="1"/>
  <c r="E534" i="23"/>
  <c r="I534" i="23" s="1"/>
  <c r="J534" i="23" s="1"/>
  <c r="E533" i="23"/>
  <c r="I533" i="23" s="1"/>
  <c r="J533" i="23" s="1"/>
  <c r="E532" i="23"/>
  <c r="I532" i="23" s="1"/>
  <c r="J532" i="23" s="1"/>
  <c r="E531" i="23"/>
  <c r="I531" i="23" s="1"/>
  <c r="J531" i="23" s="1"/>
  <c r="E530" i="23"/>
  <c r="I530" i="23" s="1"/>
  <c r="J530" i="23" s="1"/>
  <c r="E529" i="23"/>
  <c r="I529" i="23" s="1"/>
  <c r="J529" i="23" s="1"/>
  <c r="E528" i="23"/>
  <c r="I528" i="23" s="1"/>
  <c r="J528" i="23" s="1"/>
  <c r="E527" i="23"/>
  <c r="I527" i="23" s="1"/>
  <c r="J527" i="23" s="1"/>
  <c r="E526" i="23"/>
  <c r="I526" i="23" s="1"/>
  <c r="J526" i="23" s="1"/>
  <c r="E525" i="23"/>
  <c r="I525" i="23" s="1"/>
  <c r="J525" i="23" s="1"/>
  <c r="E524" i="23"/>
  <c r="I524" i="23" s="1"/>
  <c r="J524" i="23" s="1"/>
  <c r="E523" i="23"/>
  <c r="I523" i="23" s="1"/>
  <c r="J523" i="23" s="1"/>
  <c r="E522" i="23"/>
  <c r="I522" i="23" s="1"/>
  <c r="J522" i="23" s="1"/>
  <c r="E521" i="23"/>
  <c r="I521" i="23" s="1"/>
  <c r="J521" i="23" s="1"/>
  <c r="E520" i="23"/>
  <c r="I520" i="23" s="1"/>
  <c r="J520" i="23" s="1"/>
  <c r="E519" i="23"/>
  <c r="I519" i="23" s="1"/>
  <c r="J519" i="23" s="1"/>
  <c r="E518" i="23"/>
  <c r="I518" i="23" s="1"/>
  <c r="J518" i="23" s="1"/>
  <c r="E517" i="23"/>
  <c r="I517" i="23" s="1"/>
  <c r="J517" i="23" s="1"/>
  <c r="E516" i="23"/>
  <c r="I516" i="23" s="1"/>
  <c r="J516" i="23" s="1"/>
  <c r="E515" i="23"/>
  <c r="I515" i="23" s="1"/>
  <c r="J515" i="23" s="1"/>
  <c r="E514" i="23"/>
  <c r="I514" i="23" s="1"/>
  <c r="J514" i="23" s="1"/>
  <c r="E513" i="23"/>
  <c r="I513" i="23" s="1"/>
  <c r="J513" i="23" s="1"/>
  <c r="E512" i="23"/>
  <c r="I512" i="23" s="1"/>
  <c r="J512" i="23" s="1"/>
  <c r="E511" i="23"/>
  <c r="I511" i="23" s="1"/>
  <c r="J511" i="23" s="1"/>
  <c r="E510" i="23"/>
  <c r="I510" i="23" s="1"/>
  <c r="J510" i="23" s="1"/>
  <c r="E509" i="23"/>
  <c r="I509" i="23" s="1"/>
  <c r="J509" i="23" s="1"/>
  <c r="E508" i="23"/>
  <c r="I508" i="23" s="1"/>
  <c r="J508" i="23" s="1"/>
  <c r="E507" i="23"/>
  <c r="I507" i="23" s="1"/>
  <c r="J507" i="23" s="1"/>
  <c r="E506" i="23"/>
  <c r="I506" i="23" s="1"/>
  <c r="J506" i="23" s="1"/>
  <c r="E505" i="23"/>
  <c r="I505" i="23" s="1"/>
  <c r="J505" i="23" s="1"/>
  <c r="E504" i="23"/>
  <c r="I504" i="23" s="1"/>
  <c r="J504" i="23" s="1"/>
  <c r="E503" i="23"/>
  <c r="I503" i="23" s="1"/>
  <c r="J503" i="23" s="1"/>
  <c r="E502" i="23"/>
  <c r="I502" i="23" s="1"/>
  <c r="J502" i="23" s="1"/>
  <c r="E501" i="23"/>
  <c r="I501" i="23" s="1"/>
  <c r="J501" i="23" s="1"/>
  <c r="E500" i="23"/>
  <c r="I500" i="23" s="1"/>
  <c r="J500" i="23" s="1"/>
  <c r="E499" i="23"/>
  <c r="I499" i="23" s="1"/>
  <c r="J499" i="23" s="1"/>
  <c r="E498" i="23"/>
  <c r="I498" i="23" s="1"/>
  <c r="J498" i="23" s="1"/>
  <c r="E497" i="23"/>
  <c r="I497" i="23" s="1"/>
  <c r="J497" i="23" s="1"/>
  <c r="E496" i="23"/>
  <c r="I496" i="23" s="1"/>
  <c r="J496" i="23" s="1"/>
  <c r="E495" i="23"/>
  <c r="I495" i="23" s="1"/>
  <c r="J495" i="23" s="1"/>
  <c r="E494" i="23"/>
  <c r="I494" i="23" s="1"/>
  <c r="J494" i="23" s="1"/>
  <c r="E493" i="23"/>
  <c r="I493" i="23" s="1"/>
  <c r="J493" i="23" s="1"/>
  <c r="E492" i="23"/>
  <c r="I492" i="23" s="1"/>
  <c r="J492" i="23" s="1"/>
  <c r="E491" i="23"/>
  <c r="I491" i="23" s="1"/>
  <c r="J491" i="23" s="1"/>
  <c r="E490" i="23"/>
  <c r="I490" i="23" s="1"/>
  <c r="J490" i="23" s="1"/>
  <c r="E489" i="23"/>
  <c r="I489" i="23" s="1"/>
  <c r="J489" i="23" s="1"/>
  <c r="E488" i="23"/>
  <c r="I488" i="23" s="1"/>
  <c r="J488" i="23" s="1"/>
  <c r="E487" i="23"/>
  <c r="I487" i="23" s="1"/>
  <c r="J487" i="23" s="1"/>
  <c r="E486" i="23"/>
  <c r="I486" i="23" s="1"/>
  <c r="J486" i="23" s="1"/>
  <c r="E485" i="23"/>
  <c r="I485" i="23" s="1"/>
  <c r="J485" i="23" s="1"/>
  <c r="E484" i="23"/>
  <c r="I484" i="23" s="1"/>
  <c r="J484" i="23" s="1"/>
  <c r="E483" i="23"/>
  <c r="I483" i="23" s="1"/>
  <c r="J483" i="23" s="1"/>
  <c r="E482" i="23"/>
  <c r="I482" i="23" s="1"/>
  <c r="J482" i="23" s="1"/>
  <c r="E481" i="23"/>
  <c r="I481" i="23" s="1"/>
  <c r="J481" i="23" s="1"/>
  <c r="E480" i="23"/>
  <c r="I480" i="23" s="1"/>
  <c r="J480" i="23" s="1"/>
  <c r="E479" i="23"/>
  <c r="I479" i="23" s="1"/>
  <c r="J479" i="23" s="1"/>
  <c r="E478" i="23"/>
  <c r="I478" i="23" s="1"/>
  <c r="J478" i="23" s="1"/>
  <c r="E477" i="23"/>
  <c r="I477" i="23" s="1"/>
  <c r="J477" i="23" s="1"/>
  <c r="E476" i="23"/>
  <c r="I476" i="23" s="1"/>
  <c r="J476" i="23" s="1"/>
  <c r="E475" i="23"/>
  <c r="I475" i="23" s="1"/>
  <c r="J475" i="23" s="1"/>
  <c r="E474" i="23"/>
  <c r="I474" i="23" s="1"/>
  <c r="J474" i="23" s="1"/>
  <c r="E473" i="23"/>
  <c r="I473" i="23" s="1"/>
  <c r="J473" i="23" s="1"/>
  <c r="E472" i="23"/>
  <c r="I472" i="23" s="1"/>
  <c r="J472" i="23" s="1"/>
  <c r="E471" i="23"/>
  <c r="I471" i="23" s="1"/>
  <c r="J471" i="23" s="1"/>
  <c r="E470" i="23"/>
  <c r="I470" i="23" s="1"/>
  <c r="J470" i="23" s="1"/>
  <c r="E469" i="23"/>
  <c r="I469" i="23" s="1"/>
  <c r="J469" i="23" s="1"/>
  <c r="E468" i="23"/>
  <c r="I468" i="23" s="1"/>
  <c r="J468" i="23" s="1"/>
  <c r="E467" i="23"/>
  <c r="I467" i="23" s="1"/>
  <c r="J467" i="23" s="1"/>
  <c r="E466" i="23"/>
  <c r="I466" i="23" s="1"/>
  <c r="J466" i="23" s="1"/>
  <c r="E465" i="23"/>
  <c r="I465" i="23" s="1"/>
  <c r="J465" i="23" s="1"/>
  <c r="E464" i="23"/>
  <c r="I464" i="23" s="1"/>
  <c r="J464" i="23" s="1"/>
  <c r="E463" i="23"/>
  <c r="I463" i="23" s="1"/>
  <c r="J463" i="23" s="1"/>
  <c r="E462" i="23"/>
  <c r="I462" i="23" s="1"/>
  <c r="J462" i="23" s="1"/>
  <c r="E461" i="23"/>
  <c r="I461" i="23" s="1"/>
  <c r="J461" i="23" s="1"/>
  <c r="E460" i="23"/>
  <c r="I460" i="23" s="1"/>
  <c r="J460" i="23" s="1"/>
  <c r="E459" i="23"/>
  <c r="I459" i="23" s="1"/>
  <c r="J459" i="23" s="1"/>
  <c r="E458" i="23"/>
  <c r="I458" i="23" s="1"/>
  <c r="J458" i="23" s="1"/>
  <c r="E457" i="23"/>
  <c r="I457" i="23" s="1"/>
  <c r="J457" i="23" s="1"/>
  <c r="E456" i="23"/>
  <c r="I456" i="23" s="1"/>
  <c r="J456" i="23" s="1"/>
  <c r="E455" i="23"/>
  <c r="I455" i="23" s="1"/>
  <c r="J455" i="23" s="1"/>
  <c r="E454" i="23"/>
  <c r="I454" i="23" s="1"/>
  <c r="J454" i="23" s="1"/>
  <c r="E453" i="23"/>
  <c r="I453" i="23" s="1"/>
  <c r="J453" i="23" s="1"/>
  <c r="E452" i="23"/>
  <c r="I452" i="23" s="1"/>
  <c r="J452" i="23" s="1"/>
  <c r="E451" i="23"/>
  <c r="I451" i="23" s="1"/>
  <c r="J451" i="23" s="1"/>
  <c r="E450" i="23"/>
  <c r="I450" i="23" s="1"/>
  <c r="J450" i="23" s="1"/>
  <c r="E449" i="23"/>
  <c r="I449" i="23" s="1"/>
  <c r="J449" i="23" s="1"/>
  <c r="E448" i="23"/>
  <c r="I448" i="23" s="1"/>
  <c r="J448" i="23" s="1"/>
  <c r="E447" i="23"/>
  <c r="I447" i="23" s="1"/>
  <c r="J447" i="23" s="1"/>
  <c r="E446" i="23"/>
  <c r="I446" i="23" s="1"/>
  <c r="J446" i="23" s="1"/>
  <c r="E445" i="23"/>
  <c r="I445" i="23" s="1"/>
  <c r="J445" i="23" s="1"/>
  <c r="E444" i="23"/>
  <c r="I444" i="23" s="1"/>
  <c r="J444" i="23" s="1"/>
  <c r="E443" i="23"/>
  <c r="I443" i="23" s="1"/>
  <c r="J443" i="23" s="1"/>
  <c r="E442" i="23"/>
  <c r="I442" i="23" s="1"/>
  <c r="J442" i="23" s="1"/>
  <c r="E441" i="23"/>
  <c r="I441" i="23" s="1"/>
  <c r="J441" i="23" s="1"/>
  <c r="E440" i="23"/>
  <c r="I440" i="23" s="1"/>
  <c r="J440" i="23" s="1"/>
  <c r="E439" i="23"/>
  <c r="I439" i="23" s="1"/>
  <c r="J439" i="23" s="1"/>
  <c r="E438" i="23"/>
  <c r="I438" i="23" s="1"/>
  <c r="J438" i="23" s="1"/>
  <c r="E437" i="23"/>
  <c r="I437" i="23" s="1"/>
  <c r="J437" i="23" s="1"/>
  <c r="E436" i="23"/>
  <c r="I436" i="23" s="1"/>
  <c r="J436" i="23" s="1"/>
  <c r="E435" i="23"/>
  <c r="I435" i="23" s="1"/>
  <c r="J435" i="23" s="1"/>
  <c r="E434" i="23"/>
  <c r="I434" i="23" s="1"/>
  <c r="J434" i="23" s="1"/>
  <c r="E433" i="23"/>
  <c r="I433" i="23" s="1"/>
  <c r="J433" i="23" s="1"/>
  <c r="E432" i="23"/>
  <c r="I432" i="23" s="1"/>
  <c r="J432" i="23" s="1"/>
  <c r="E431" i="23"/>
  <c r="I431" i="23" s="1"/>
  <c r="J431" i="23" s="1"/>
  <c r="E430" i="23"/>
  <c r="I430" i="23" s="1"/>
  <c r="J430" i="23" s="1"/>
  <c r="E429" i="23"/>
  <c r="I429" i="23" s="1"/>
  <c r="J429" i="23" s="1"/>
  <c r="E428" i="23"/>
  <c r="I428" i="23" s="1"/>
  <c r="J428" i="23" s="1"/>
  <c r="E427" i="23"/>
  <c r="I427" i="23" s="1"/>
  <c r="J427" i="23" s="1"/>
  <c r="E426" i="23"/>
  <c r="I426" i="23" s="1"/>
  <c r="J426" i="23" s="1"/>
  <c r="E425" i="23"/>
  <c r="I425" i="23" s="1"/>
  <c r="J425" i="23" s="1"/>
  <c r="E424" i="23"/>
  <c r="I424" i="23" s="1"/>
  <c r="J424" i="23" s="1"/>
  <c r="E423" i="23"/>
  <c r="I423" i="23" s="1"/>
  <c r="J423" i="23" s="1"/>
  <c r="E422" i="23"/>
  <c r="I422" i="23" s="1"/>
  <c r="J422" i="23" s="1"/>
  <c r="E421" i="23"/>
  <c r="I421" i="23" s="1"/>
  <c r="J421" i="23" s="1"/>
  <c r="E420" i="23"/>
  <c r="I420" i="23" s="1"/>
  <c r="J420" i="23" s="1"/>
  <c r="E419" i="23"/>
  <c r="I419" i="23" s="1"/>
  <c r="J419" i="23" s="1"/>
  <c r="E418" i="23"/>
  <c r="I418" i="23" s="1"/>
  <c r="J418" i="23" s="1"/>
  <c r="E417" i="23"/>
  <c r="I417" i="23" s="1"/>
  <c r="J417" i="23" s="1"/>
  <c r="E416" i="23"/>
  <c r="I416" i="23" s="1"/>
  <c r="J416" i="23" s="1"/>
  <c r="E415" i="23"/>
  <c r="I415" i="23" s="1"/>
  <c r="J415" i="23" s="1"/>
  <c r="E414" i="23"/>
  <c r="I414" i="23" s="1"/>
  <c r="J414" i="23" s="1"/>
  <c r="E413" i="23"/>
  <c r="I413" i="23" s="1"/>
  <c r="J413" i="23" s="1"/>
  <c r="E412" i="23"/>
  <c r="I412" i="23" s="1"/>
  <c r="J412" i="23" s="1"/>
  <c r="E411" i="23"/>
  <c r="I411" i="23" s="1"/>
  <c r="J411" i="23" s="1"/>
  <c r="E410" i="23"/>
  <c r="I410" i="23" s="1"/>
  <c r="J410" i="23" s="1"/>
  <c r="E409" i="23"/>
  <c r="I409" i="23" s="1"/>
  <c r="J409" i="23" s="1"/>
  <c r="E408" i="23"/>
  <c r="I408" i="23" s="1"/>
  <c r="J408" i="23" s="1"/>
  <c r="E407" i="23"/>
  <c r="I407" i="23" s="1"/>
  <c r="J407" i="23" s="1"/>
  <c r="E406" i="23"/>
  <c r="I406" i="23" s="1"/>
  <c r="J406" i="23" s="1"/>
  <c r="E405" i="23"/>
  <c r="I405" i="23" s="1"/>
  <c r="J405" i="23" s="1"/>
  <c r="E404" i="23"/>
  <c r="I404" i="23" s="1"/>
  <c r="J404" i="23" s="1"/>
  <c r="E403" i="23"/>
  <c r="I403" i="23" s="1"/>
  <c r="J403" i="23" s="1"/>
  <c r="E402" i="23"/>
  <c r="I402" i="23" s="1"/>
  <c r="J402" i="23" s="1"/>
  <c r="E401" i="23"/>
  <c r="I401" i="23" s="1"/>
  <c r="J401" i="23" s="1"/>
  <c r="E400" i="23"/>
  <c r="I400" i="23" s="1"/>
  <c r="J400" i="23" s="1"/>
  <c r="E399" i="23"/>
  <c r="I399" i="23" s="1"/>
  <c r="J399" i="23" s="1"/>
  <c r="E398" i="23"/>
  <c r="I398" i="23" s="1"/>
  <c r="J398" i="23" s="1"/>
  <c r="E397" i="23"/>
  <c r="I397" i="23" s="1"/>
  <c r="J397" i="23" s="1"/>
  <c r="E396" i="23"/>
  <c r="I396" i="23" s="1"/>
  <c r="J396" i="23" s="1"/>
  <c r="E395" i="23"/>
  <c r="I395" i="23" s="1"/>
  <c r="J395" i="23" s="1"/>
  <c r="E394" i="23"/>
  <c r="I394" i="23" s="1"/>
  <c r="J394" i="23" s="1"/>
  <c r="E393" i="23"/>
  <c r="I393" i="23" s="1"/>
  <c r="J393" i="23" s="1"/>
  <c r="E392" i="23"/>
  <c r="I392" i="23" s="1"/>
  <c r="J392" i="23" s="1"/>
  <c r="E391" i="23"/>
  <c r="I391" i="23" s="1"/>
  <c r="J391" i="23" s="1"/>
  <c r="E390" i="23"/>
  <c r="I390" i="23" s="1"/>
  <c r="J390" i="23" s="1"/>
  <c r="E389" i="23"/>
  <c r="I389" i="23" s="1"/>
  <c r="J389" i="23" s="1"/>
  <c r="E388" i="23"/>
  <c r="I388" i="23" s="1"/>
  <c r="J388" i="23" s="1"/>
  <c r="E387" i="23"/>
  <c r="I387" i="23" s="1"/>
  <c r="J387" i="23" s="1"/>
  <c r="E386" i="23"/>
  <c r="I386" i="23" s="1"/>
  <c r="J386" i="23" s="1"/>
  <c r="E385" i="23"/>
  <c r="I385" i="23" s="1"/>
  <c r="J385" i="23" s="1"/>
  <c r="E384" i="23"/>
  <c r="I384" i="23" s="1"/>
  <c r="J384" i="23" s="1"/>
  <c r="E383" i="23"/>
  <c r="I383" i="23" s="1"/>
  <c r="J383" i="23" s="1"/>
  <c r="E382" i="23"/>
  <c r="I382" i="23" s="1"/>
  <c r="J382" i="23" s="1"/>
  <c r="E381" i="23"/>
  <c r="I381" i="23" s="1"/>
  <c r="J381" i="23" s="1"/>
  <c r="E380" i="23"/>
  <c r="I380" i="23" s="1"/>
  <c r="J380" i="23" s="1"/>
  <c r="E379" i="23"/>
  <c r="I379" i="23" s="1"/>
  <c r="J379" i="23" s="1"/>
  <c r="E378" i="23"/>
  <c r="I378" i="23" s="1"/>
  <c r="J378" i="23" s="1"/>
  <c r="E377" i="23"/>
  <c r="I377" i="23" s="1"/>
  <c r="J377" i="23" s="1"/>
  <c r="E376" i="23"/>
  <c r="I376" i="23" s="1"/>
  <c r="J376" i="23" s="1"/>
  <c r="E375" i="23"/>
  <c r="I375" i="23" s="1"/>
  <c r="J375" i="23" s="1"/>
  <c r="E374" i="23"/>
  <c r="I374" i="23" s="1"/>
  <c r="J374" i="23" s="1"/>
  <c r="E373" i="23"/>
  <c r="I373" i="23" s="1"/>
  <c r="J373" i="23" s="1"/>
  <c r="E372" i="23"/>
  <c r="I372" i="23" s="1"/>
  <c r="J372" i="23" s="1"/>
  <c r="E371" i="23"/>
  <c r="I371" i="23" s="1"/>
  <c r="J371" i="23" s="1"/>
  <c r="E370" i="23"/>
  <c r="I370" i="23" s="1"/>
  <c r="J370" i="23" s="1"/>
  <c r="E369" i="23"/>
  <c r="I369" i="23" s="1"/>
  <c r="J369" i="23" s="1"/>
  <c r="E368" i="23"/>
  <c r="I368" i="23" s="1"/>
  <c r="J368" i="23" s="1"/>
  <c r="E367" i="23"/>
  <c r="I367" i="23" s="1"/>
  <c r="J367" i="23" s="1"/>
  <c r="E366" i="23"/>
  <c r="I366" i="23" s="1"/>
  <c r="J366" i="23" s="1"/>
  <c r="E365" i="23"/>
  <c r="I365" i="23" s="1"/>
  <c r="J365" i="23" s="1"/>
  <c r="E364" i="23"/>
  <c r="I364" i="23" s="1"/>
  <c r="J364" i="23" s="1"/>
  <c r="E363" i="23"/>
  <c r="I363" i="23" s="1"/>
  <c r="J363" i="23" s="1"/>
  <c r="E362" i="23"/>
  <c r="I362" i="23" s="1"/>
  <c r="J362" i="23" s="1"/>
  <c r="E361" i="23"/>
  <c r="I361" i="23" s="1"/>
  <c r="J361" i="23" s="1"/>
  <c r="E360" i="23"/>
  <c r="I360" i="23" s="1"/>
  <c r="J360" i="23" s="1"/>
  <c r="E359" i="23"/>
  <c r="I359" i="23" s="1"/>
  <c r="J359" i="23" s="1"/>
  <c r="E358" i="23"/>
  <c r="I358" i="23" s="1"/>
  <c r="J358" i="23" s="1"/>
  <c r="E357" i="23"/>
  <c r="I357" i="23" s="1"/>
  <c r="J357" i="23" s="1"/>
  <c r="E356" i="23"/>
  <c r="I356" i="23" s="1"/>
  <c r="J356" i="23" s="1"/>
  <c r="E355" i="23"/>
  <c r="I355" i="23" s="1"/>
  <c r="J355" i="23" s="1"/>
  <c r="E354" i="23"/>
  <c r="I354" i="23" s="1"/>
  <c r="J354" i="23" s="1"/>
  <c r="E353" i="23"/>
  <c r="I353" i="23" s="1"/>
  <c r="J353" i="23" s="1"/>
  <c r="E352" i="23"/>
  <c r="I352" i="23" s="1"/>
  <c r="J352" i="23" s="1"/>
  <c r="E351" i="23"/>
  <c r="I351" i="23" s="1"/>
  <c r="J351" i="23" s="1"/>
  <c r="E350" i="23"/>
  <c r="I350" i="23" s="1"/>
  <c r="J350" i="23" s="1"/>
  <c r="E349" i="23"/>
  <c r="I349" i="23" s="1"/>
  <c r="J349" i="23" s="1"/>
  <c r="E348" i="23"/>
  <c r="I348" i="23" s="1"/>
  <c r="J348" i="23" s="1"/>
  <c r="E347" i="23"/>
  <c r="I347" i="23" s="1"/>
  <c r="J347" i="23" s="1"/>
  <c r="E346" i="23"/>
  <c r="I346" i="23" s="1"/>
  <c r="J346" i="23" s="1"/>
  <c r="E345" i="23"/>
  <c r="I345" i="23" s="1"/>
  <c r="J345" i="23" s="1"/>
  <c r="E344" i="23"/>
  <c r="I344" i="23" s="1"/>
  <c r="J344" i="23" s="1"/>
  <c r="E343" i="23"/>
  <c r="I343" i="23" s="1"/>
  <c r="J343" i="23" s="1"/>
  <c r="E342" i="23"/>
  <c r="I342" i="23" s="1"/>
  <c r="J342" i="23" s="1"/>
  <c r="E341" i="23"/>
  <c r="I341" i="23" s="1"/>
  <c r="J341" i="23" s="1"/>
  <c r="E340" i="23"/>
  <c r="I340" i="23" s="1"/>
  <c r="J340" i="23" s="1"/>
  <c r="E339" i="23"/>
  <c r="I339" i="23" s="1"/>
  <c r="J339" i="23" s="1"/>
  <c r="E338" i="23"/>
  <c r="I338" i="23" s="1"/>
  <c r="J338" i="23" s="1"/>
  <c r="E337" i="23"/>
  <c r="I337" i="23" s="1"/>
  <c r="J337" i="23" s="1"/>
  <c r="E336" i="23"/>
  <c r="I336" i="23" s="1"/>
  <c r="J336" i="23" s="1"/>
  <c r="E335" i="23"/>
  <c r="I335" i="23" s="1"/>
  <c r="J335" i="23" s="1"/>
  <c r="E334" i="23"/>
  <c r="I334" i="23" s="1"/>
  <c r="J334" i="23" s="1"/>
  <c r="E333" i="23"/>
  <c r="I333" i="23" s="1"/>
  <c r="J333" i="23" s="1"/>
  <c r="E332" i="23"/>
  <c r="I332" i="23" s="1"/>
  <c r="J332" i="23" s="1"/>
  <c r="E331" i="23"/>
  <c r="I331" i="23" s="1"/>
  <c r="J331" i="23" s="1"/>
  <c r="E330" i="23"/>
  <c r="I330" i="23" s="1"/>
  <c r="J330" i="23" s="1"/>
  <c r="E329" i="23"/>
  <c r="I329" i="23" s="1"/>
  <c r="J329" i="23" s="1"/>
  <c r="E328" i="23"/>
  <c r="I328" i="23" s="1"/>
  <c r="J328" i="23" s="1"/>
  <c r="E327" i="23"/>
  <c r="I327" i="23" s="1"/>
  <c r="J327" i="23" s="1"/>
  <c r="E326" i="23"/>
  <c r="I326" i="23" s="1"/>
  <c r="J326" i="23" s="1"/>
  <c r="E325" i="23"/>
  <c r="I325" i="23" s="1"/>
  <c r="J325" i="23" s="1"/>
  <c r="E324" i="23"/>
  <c r="I324" i="23" s="1"/>
  <c r="J324" i="23" s="1"/>
  <c r="E323" i="23"/>
  <c r="I323" i="23" s="1"/>
  <c r="J323" i="23" s="1"/>
  <c r="E322" i="23"/>
  <c r="I322" i="23" s="1"/>
  <c r="J322" i="23" s="1"/>
  <c r="E321" i="23"/>
  <c r="I321" i="23" s="1"/>
  <c r="J321" i="23" s="1"/>
  <c r="E320" i="23"/>
  <c r="I320" i="23" s="1"/>
  <c r="J320" i="23" s="1"/>
  <c r="E319" i="23"/>
  <c r="I319" i="23" s="1"/>
  <c r="J319" i="23" s="1"/>
  <c r="E318" i="23"/>
  <c r="I318" i="23" s="1"/>
  <c r="J318" i="23" s="1"/>
  <c r="E317" i="23"/>
  <c r="I317" i="23" s="1"/>
  <c r="J317" i="23" s="1"/>
  <c r="E316" i="23"/>
  <c r="I316" i="23" s="1"/>
  <c r="J316" i="23" s="1"/>
  <c r="E315" i="23"/>
  <c r="I315" i="23" s="1"/>
  <c r="J315" i="23" s="1"/>
  <c r="E314" i="23"/>
  <c r="I314" i="23" s="1"/>
  <c r="J314" i="23" s="1"/>
  <c r="E313" i="23"/>
  <c r="I313" i="23" s="1"/>
  <c r="J313" i="23" s="1"/>
  <c r="E312" i="23"/>
  <c r="I312" i="23" s="1"/>
  <c r="J312" i="23" s="1"/>
  <c r="E311" i="23"/>
  <c r="I311" i="23" s="1"/>
  <c r="J311" i="23" s="1"/>
  <c r="E310" i="23"/>
  <c r="I310" i="23" s="1"/>
  <c r="J310" i="23" s="1"/>
  <c r="E309" i="23"/>
  <c r="I309" i="23" s="1"/>
  <c r="J309" i="23" s="1"/>
  <c r="E308" i="23"/>
  <c r="I308" i="23" s="1"/>
  <c r="J308" i="23" s="1"/>
  <c r="E307" i="23"/>
  <c r="I307" i="23" s="1"/>
  <c r="J307" i="23" s="1"/>
  <c r="E306" i="23"/>
  <c r="I306" i="23" s="1"/>
  <c r="J306" i="23" s="1"/>
  <c r="E305" i="23"/>
  <c r="I305" i="23" s="1"/>
  <c r="J305" i="23" s="1"/>
  <c r="E304" i="23"/>
  <c r="I304" i="23" s="1"/>
  <c r="J304" i="23" s="1"/>
  <c r="E303" i="23"/>
  <c r="I303" i="23" s="1"/>
  <c r="J303" i="23" s="1"/>
  <c r="E302" i="23"/>
  <c r="I302" i="23" s="1"/>
  <c r="J302" i="23" s="1"/>
  <c r="E301" i="23"/>
  <c r="I301" i="23" s="1"/>
  <c r="J301" i="23" s="1"/>
  <c r="E300" i="23"/>
  <c r="I300" i="23" s="1"/>
  <c r="J300" i="23" s="1"/>
  <c r="E299" i="23"/>
  <c r="I299" i="23" s="1"/>
  <c r="J299" i="23" s="1"/>
  <c r="E298" i="23"/>
  <c r="I298" i="23" s="1"/>
  <c r="J298" i="23" s="1"/>
  <c r="E297" i="23"/>
  <c r="I297" i="23" s="1"/>
  <c r="J297" i="23" s="1"/>
  <c r="E296" i="23"/>
  <c r="I296" i="23" s="1"/>
  <c r="J296" i="23" s="1"/>
  <c r="E295" i="23"/>
  <c r="I295" i="23" s="1"/>
  <c r="J295" i="23" s="1"/>
  <c r="E294" i="23"/>
  <c r="I294" i="23" s="1"/>
  <c r="J294" i="23" s="1"/>
  <c r="E293" i="23"/>
  <c r="I293" i="23" s="1"/>
  <c r="J293" i="23" s="1"/>
  <c r="E292" i="23"/>
  <c r="I292" i="23" s="1"/>
  <c r="J292" i="23" s="1"/>
  <c r="E291" i="23"/>
  <c r="I291" i="23" s="1"/>
  <c r="J291" i="23" s="1"/>
  <c r="E290" i="23"/>
  <c r="I290" i="23" s="1"/>
  <c r="J290" i="23" s="1"/>
  <c r="E289" i="23"/>
  <c r="I289" i="23" s="1"/>
  <c r="J289" i="23" s="1"/>
  <c r="E288" i="23"/>
  <c r="I288" i="23" s="1"/>
  <c r="J288" i="23" s="1"/>
  <c r="E287" i="23"/>
  <c r="I287" i="23" s="1"/>
  <c r="J287" i="23" s="1"/>
  <c r="E286" i="23"/>
  <c r="I286" i="23" s="1"/>
  <c r="J286" i="23" s="1"/>
  <c r="E285" i="23"/>
  <c r="I285" i="23" s="1"/>
  <c r="J285" i="23" s="1"/>
  <c r="E284" i="23"/>
  <c r="I284" i="23" s="1"/>
  <c r="J284" i="23" s="1"/>
  <c r="E283" i="23"/>
  <c r="I283" i="23" s="1"/>
  <c r="J283" i="23" s="1"/>
  <c r="E282" i="23"/>
  <c r="I282" i="23" s="1"/>
  <c r="J282" i="23" s="1"/>
  <c r="E281" i="23"/>
  <c r="I281" i="23" s="1"/>
  <c r="J281" i="23" s="1"/>
  <c r="E280" i="23"/>
  <c r="I280" i="23" s="1"/>
  <c r="J280" i="23" s="1"/>
  <c r="E279" i="23"/>
  <c r="I279" i="23" s="1"/>
  <c r="J279" i="23" s="1"/>
  <c r="E278" i="23"/>
  <c r="I278" i="23" s="1"/>
  <c r="J278" i="23" s="1"/>
  <c r="E277" i="23"/>
  <c r="I277" i="23" s="1"/>
  <c r="J277" i="23" s="1"/>
  <c r="E276" i="23"/>
  <c r="I276" i="23" s="1"/>
  <c r="J276" i="23" s="1"/>
  <c r="E275" i="23"/>
  <c r="I275" i="23" s="1"/>
  <c r="J275" i="23" s="1"/>
  <c r="E274" i="23"/>
  <c r="I274" i="23" s="1"/>
  <c r="J274" i="23" s="1"/>
  <c r="E273" i="23"/>
  <c r="I273" i="23" s="1"/>
  <c r="J273" i="23" s="1"/>
  <c r="E272" i="23"/>
  <c r="I272" i="23" s="1"/>
  <c r="J272" i="23" s="1"/>
  <c r="E271" i="23"/>
  <c r="I271" i="23" s="1"/>
  <c r="J271" i="23" s="1"/>
  <c r="E270" i="23"/>
  <c r="I270" i="23" s="1"/>
  <c r="J270" i="23" s="1"/>
  <c r="E269" i="23"/>
  <c r="I269" i="23" s="1"/>
  <c r="J269" i="23" s="1"/>
  <c r="E268" i="23"/>
  <c r="I268" i="23" s="1"/>
  <c r="J268" i="23" s="1"/>
  <c r="E267" i="23"/>
  <c r="I267" i="23" s="1"/>
  <c r="J267" i="23" s="1"/>
  <c r="E266" i="23"/>
  <c r="I266" i="23" s="1"/>
  <c r="J266" i="23" s="1"/>
  <c r="E265" i="23"/>
  <c r="I265" i="23" s="1"/>
  <c r="J265" i="23" s="1"/>
  <c r="E264" i="23"/>
  <c r="I264" i="23" s="1"/>
  <c r="J264" i="23" s="1"/>
  <c r="E263" i="23"/>
  <c r="I263" i="23" s="1"/>
  <c r="J263" i="23" s="1"/>
  <c r="E262" i="23"/>
  <c r="I262" i="23" s="1"/>
  <c r="J262" i="23" s="1"/>
  <c r="E261" i="23"/>
  <c r="I261" i="23" s="1"/>
  <c r="J261" i="23" s="1"/>
  <c r="E260" i="23"/>
  <c r="I260" i="23" s="1"/>
  <c r="J260" i="23" s="1"/>
  <c r="E259" i="23"/>
  <c r="I259" i="23" s="1"/>
  <c r="J259" i="23" s="1"/>
  <c r="E258" i="23"/>
  <c r="I258" i="23" s="1"/>
  <c r="J258" i="23" s="1"/>
  <c r="E257" i="23"/>
  <c r="I257" i="23" s="1"/>
  <c r="J257" i="23" s="1"/>
  <c r="E256" i="23"/>
  <c r="I256" i="23" s="1"/>
  <c r="J256" i="23" s="1"/>
  <c r="E255" i="23"/>
  <c r="I255" i="23" s="1"/>
  <c r="J255" i="23" s="1"/>
  <c r="E254" i="23"/>
  <c r="I254" i="23" s="1"/>
  <c r="J254" i="23" s="1"/>
  <c r="E253" i="23"/>
  <c r="I253" i="23" s="1"/>
  <c r="J253" i="23" s="1"/>
  <c r="E252" i="23"/>
  <c r="I252" i="23" s="1"/>
  <c r="J252" i="23" s="1"/>
  <c r="E251" i="23"/>
  <c r="I251" i="23" s="1"/>
  <c r="J251" i="23" s="1"/>
  <c r="E250" i="23"/>
  <c r="I250" i="23" s="1"/>
  <c r="J250" i="23" s="1"/>
  <c r="E249" i="23"/>
  <c r="I249" i="23" s="1"/>
  <c r="J249" i="23" s="1"/>
  <c r="E248" i="23"/>
  <c r="I248" i="23" s="1"/>
  <c r="J248" i="23" s="1"/>
  <c r="E247" i="23"/>
  <c r="I247" i="23" s="1"/>
  <c r="J247" i="23" s="1"/>
  <c r="E246" i="23"/>
  <c r="I246" i="23" s="1"/>
  <c r="J246" i="23" s="1"/>
  <c r="E245" i="23"/>
  <c r="I245" i="23" s="1"/>
  <c r="J245" i="23" s="1"/>
  <c r="E244" i="23"/>
  <c r="I244" i="23" s="1"/>
  <c r="J244" i="23" s="1"/>
  <c r="E243" i="23"/>
  <c r="I243" i="23" s="1"/>
  <c r="J243" i="23" s="1"/>
  <c r="E242" i="23"/>
  <c r="I242" i="23" s="1"/>
  <c r="J242" i="23" s="1"/>
  <c r="E241" i="23"/>
  <c r="I241" i="23" s="1"/>
  <c r="J241" i="23" s="1"/>
  <c r="E240" i="23"/>
  <c r="I240" i="23" s="1"/>
  <c r="J240" i="23" s="1"/>
  <c r="E239" i="23"/>
  <c r="I239" i="23" s="1"/>
  <c r="J239" i="23" s="1"/>
  <c r="E238" i="23"/>
  <c r="I238" i="23" s="1"/>
  <c r="J238" i="23" s="1"/>
  <c r="E237" i="23"/>
  <c r="I237" i="23" s="1"/>
  <c r="J237" i="23" s="1"/>
  <c r="E236" i="23"/>
  <c r="I236" i="23" s="1"/>
  <c r="J236" i="23" s="1"/>
  <c r="E235" i="23"/>
  <c r="I235" i="23" s="1"/>
  <c r="J235" i="23" s="1"/>
  <c r="E234" i="23"/>
  <c r="I234" i="23" s="1"/>
  <c r="J234" i="23" s="1"/>
  <c r="E233" i="23"/>
  <c r="I233" i="23" s="1"/>
  <c r="J233" i="23" s="1"/>
  <c r="E232" i="23"/>
  <c r="I232" i="23" s="1"/>
  <c r="J232" i="23" s="1"/>
  <c r="E231" i="23"/>
  <c r="I231" i="23" s="1"/>
  <c r="J231" i="23" s="1"/>
  <c r="E230" i="23"/>
  <c r="I230" i="23" s="1"/>
  <c r="J230" i="23" s="1"/>
  <c r="E229" i="23"/>
  <c r="I229" i="23" s="1"/>
  <c r="J229" i="23" s="1"/>
  <c r="E228" i="23"/>
  <c r="I228" i="23" s="1"/>
  <c r="J228" i="23" s="1"/>
  <c r="E227" i="23"/>
  <c r="I227" i="23" s="1"/>
  <c r="J227" i="23" s="1"/>
  <c r="E226" i="23"/>
  <c r="I226" i="23" s="1"/>
  <c r="J226" i="23" s="1"/>
  <c r="E225" i="23"/>
  <c r="I225" i="23" s="1"/>
  <c r="J225" i="23" s="1"/>
  <c r="E224" i="23"/>
  <c r="I224" i="23" s="1"/>
  <c r="J224" i="23" s="1"/>
  <c r="E223" i="23"/>
  <c r="I223" i="23" s="1"/>
  <c r="J223" i="23" s="1"/>
  <c r="E222" i="23"/>
  <c r="I222" i="23" s="1"/>
  <c r="J222" i="23" s="1"/>
  <c r="E221" i="23"/>
  <c r="I221" i="23" s="1"/>
  <c r="J221" i="23" s="1"/>
  <c r="E220" i="23"/>
  <c r="I220" i="23" s="1"/>
  <c r="J220" i="23" s="1"/>
  <c r="E219" i="23"/>
  <c r="I219" i="23" s="1"/>
  <c r="J219" i="23" s="1"/>
  <c r="E218" i="23"/>
  <c r="I218" i="23" s="1"/>
  <c r="J218" i="23" s="1"/>
  <c r="E217" i="23"/>
  <c r="I217" i="23" s="1"/>
  <c r="J217" i="23" s="1"/>
  <c r="E216" i="23"/>
  <c r="I216" i="23" s="1"/>
  <c r="J216" i="23" s="1"/>
  <c r="E215" i="23"/>
  <c r="I215" i="23" s="1"/>
  <c r="J215" i="23" s="1"/>
  <c r="E214" i="23"/>
  <c r="I214" i="23" s="1"/>
  <c r="J214" i="23" s="1"/>
  <c r="E213" i="23"/>
  <c r="I213" i="23" s="1"/>
  <c r="J213" i="23" s="1"/>
  <c r="E212" i="23"/>
  <c r="I212" i="23" s="1"/>
  <c r="J212" i="23" s="1"/>
  <c r="E211" i="23"/>
  <c r="I211" i="23" s="1"/>
  <c r="J211" i="23" s="1"/>
  <c r="E210" i="23"/>
  <c r="I210" i="23" s="1"/>
  <c r="J210" i="23" s="1"/>
  <c r="E209" i="23"/>
  <c r="I209" i="23" s="1"/>
  <c r="J209" i="23" s="1"/>
  <c r="E208" i="23"/>
  <c r="I208" i="23" s="1"/>
  <c r="J208" i="23" s="1"/>
  <c r="E207" i="23"/>
  <c r="I207" i="23" s="1"/>
  <c r="J207" i="23" s="1"/>
  <c r="E206" i="23"/>
  <c r="I206" i="23" s="1"/>
  <c r="J206" i="23" s="1"/>
  <c r="E205" i="23"/>
  <c r="I205" i="23" s="1"/>
  <c r="J205" i="23" s="1"/>
  <c r="E204" i="23"/>
  <c r="I204" i="23" s="1"/>
  <c r="J204" i="23" s="1"/>
  <c r="E203" i="23"/>
  <c r="I203" i="23" s="1"/>
  <c r="J203" i="23" s="1"/>
  <c r="E202" i="23"/>
  <c r="I202" i="23" s="1"/>
  <c r="J202" i="23" s="1"/>
  <c r="E201" i="23"/>
  <c r="I201" i="23" s="1"/>
  <c r="J201" i="23" s="1"/>
  <c r="E200" i="23"/>
  <c r="I200" i="23" s="1"/>
  <c r="J200" i="23" s="1"/>
  <c r="E199" i="23"/>
  <c r="I199" i="23" s="1"/>
  <c r="J199" i="23" s="1"/>
  <c r="E198" i="23"/>
  <c r="I198" i="23" s="1"/>
  <c r="J198" i="23" s="1"/>
  <c r="E197" i="23"/>
  <c r="I197" i="23" s="1"/>
  <c r="J197" i="23" s="1"/>
  <c r="E196" i="23"/>
  <c r="I196" i="23" s="1"/>
  <c r="J196" i="23" s="1"/>
  <c r="E195" i="23"/>
  <c r="I195" i="23" s="1"/>
  <c r="J195" i="23" s="1"/>
  <c r="E194" i="23"/>
  <c r="I194" i="23" s="1"/>
  <c r="J194" i="23" s="1"/>
  <c r="E193" i="23"/>
  <c r="I193" i="23" s="1"/>
  <c r="J193" i="23" s="1"/>
  <c r="E192" i="23"/>
  <c r="I192" i="23" s="1"/>
  <c r="J192" i="23" s="1"/>
  <c r="E191" i="23"/>
  <c r="I191" i="23" s="1"/>
  <c r="J191" i="23" s="1"/>
  <c r="E190" i="23"/>
  <c r="I190" i="23" s="1"/>
  <c r="J190" i="23" s="1"/>
  <c r="E189" i="23"/>
  <c r="I189" i="23" s="1"/>
  <c r="J189" i="23" s="1"/>
  <c r="E188" i="23"/>
  <c r="I188" i="23" s="1"/>
  <c r="J188" i="23" s="1"/>
  <c r="E187" i="23"/>
  <c r="I187" i="23" s="1"/>
  <c r="J187" i="23" s="1"/>
  <c r="E186" i="23"/>
  <c r="I186" i="23" s="1"/>
  <c r="J186" i="23" s="1"/>
  <c r="E185" i="23"/>
  <c r="I185" i="23" s="1"/>
  <c r="J185" i="23" s="1"/>
  <c r="E184" i="23"/>
  <c r="I184" i="23" s="1"/>
  <c r="J184" i="23" s="1"/>
  <c r="E183" i="23"/>
  <c r="I183" i="23" s="1"/>
  <c r="J183" i="23" s="1"/>
  <c r="E182" i="23"/>
  <c r="I182" i="23" s="1"/>
  <c r="J182" i="23" s="1"/>
  <c r="E181" i="23"/>
  <c r="I181" i="23" s="1"/>
  <c r="J181" i="23" s="1"/>
  <c r="E180" i="23"/>
  <c r="I180" i="23" s="1"/>
  <c r="J180" i="23" s="1"/>
  <c r="E179" i="23"/>
  <c r="I179" i="23" s="1"/>
  <c r="J179" i="23" s="1"/>
  <c r="E178" i="23"/>
  <c r="I178" i="23" s="1"/>
  <c r="J178" i="23" s="1"/>
  <c r="E177" i="23"/>
  <c r="I177" i="23" s="1"/>
  <c r="J177" i="23" s="1"/>
  <c r="E176" i="23"/>
  <c r="I176" i="23" s="1"/>
  <c r="J176" i="23" s="1"/>
  <c r="E175" i="23"/>
  <c r="I175" i="23" s="1"/>
  <c r="J175" i="23" s="1"/>
  <c r="E174" i="23"/>
  <c r="I174" i="23" s="1"/>
  <c r="J174" i="23" s="1"/>
  <c r="E173" i="23"/>
  <c r="I173" i="23" s="1"/>
  <c r="J173" i="23" s="1"/>
  <c r="E172" i="23"/>
  <c r="I172" i="23" s="1"/>
  <c r="J172" i="23" s="1"/>
  <c r="E171" i="23"/>
  <c r="I171" i="23" s="1"/>
  <c r="J171" i="23" s="1"/>
  <c r="E170" i="23"/>
  <c r="I170" i="23" s="1"/>
  <c r="J170" i="23" s="1"/>
  <c r="E169" i="23"/>
  <c r="I169" i="23" s="1"/>
  <c r="J169" i="23" s="1"/>
  <c r="E168" i="23"/>
  <c r="I168" i="23" s="1"/>
  <c r="J168" i="23" s="1"/>
  <c r="E167" i="23"/>
  <c r="I167" i="23" s="1"/>
  <c r="J167" i="23" s="1"/>
  <c r="E166" i="23"/>
  <c r="I166" i="23" s="1"/>
  <c r="J166" i="23" s="1"/>
  <c r="E165" i="23"/>
  <c r="I165" i="23" s="1"/>
  <c r="J165" i="23" s="1"/>
  <c r="E164" i="23"/>
  <c r="I164" i="23" s="1"/>
  <c r="J164" i="23" s="1"/>
  <c r="E163" i="23"/>
  <c r="I163" i="23" s="1"/>
  <c r="J163" i="23" s="1"/>
  <c r="E162" i="23"/>
  <c r="I162" i="23" s="1"/>
  <c r="J162" i="23" s="1"/>
  <c r="E161" i="23"/>
  <c r="I161" i="23" s="1"/>
  <c r="J161" i="23" s="1"/>
  <c r="E160" i="23"/>
  <c r="I160" i="23" s="1"/>
  <c r="J160" i="23" s="1"/>
  <c r="E159" i="23"/>
  <c r="I159" i="23" s="1"/>
  <c r="J159" i="23" s="1"/>
  <c r="E158" i="23"/>
  <c r="I158" i="23" s="1"/>
  <c r="J158" i="23" s="1"/>
  <c r="E157" i="23"/>
  <c r="I157" i="23" s="1"/>
  <c r="J157" i="23" s="1"/>
  <c r="E156" i="23"/>
  <c r="I156" i="23" s="1"/>
  <c r="J156" i="23" s="1"/>
  <c r="E155" i="23"/>
  <c r="I155" i="23" s="1"/>
  <c r="J155" i="23" s="1"/>
  <c r="E154" i="23"/>
  <c r="I154" i="23" s="1"/>
  <c r="J154" i="23" s="1"/>
  <c r="E153" i="23"/>
  <c r="I153" i="23" s="1"/>
  <c r="J153" i="23" s="1"/>
  <c r="E152" i="23"/>
  <c r="I152" i="23" s="1"/>
  <c r="J152" i="23" s="1"/>
  <c r="E151" i="23"/>
  <c r="I151" i="23" s="1"/>
  <c r="J151" i="23" s="1"/>
  <c r="E150" i="23"/>
  <c r="I150" i="23" s="1"/>
  <c r="J150" i="23" s="1"/>
  <c r="E149" i="23"/>
  <c r="I149" i="23" s="1"/>
  <c r="J149" i="23" s="1"/>
  <c r="E148" i="23"/>
  <c r="I148" i="23" s="1"/>
  <c r="J148" i="23" s="1"/>
  <c r="E147" i="23"/>
  <c r="I147" i="23" s="1"/>
  <c r="J147" i="23" s="1"/>
  <c r="E146" i="23"/>
  <c r="I146" i="23" s="1"/>
  <c r="J146" i="23" s="1"/>
  <c r="E145" i="23"/>
  <c r="I145" i="23" s="1"/>
  <c r="J145" i="23" s="1"/>
  <c r="E144" i="23"/>
  <c r="I144" i="23" s="1"/>
  <c r="J144" i="23" s="1"/>
  <c r="E143" i="23"/>
  <c r="I143" i="23" s="1"/>
  <c r="J143" i="23" s="1"/>
  <c r="E142" i="23"/>
  <c r="I142" i="23" s="1"/>
  <c r="J142" i="23" s="1"/>
  <c r="E141" i="23"/>
  <c r="I141" i="23" s="1"/>
  <c r="J141" i="23" s="1"/>
  <c r="E140" i="23"/>
  <c r="I140" i="23" s="1"/>
  <c r="J140" i="23" s="1"/>
  <c r="E139" i="23"/>
  <c r="I139" i="23" s="1"/>
  <c r="J139" i="23" s="1"/>
  <c r="E138" i="23"/>
  <c r="I138" i="23" s="1"/>
  <c r="J138" i="23" s="1"/>
  <c r="E137" i="23"/>
  <c r="I137" i="23" s="1"/>
  <c r="J137" i="23" s="1"/>
  <c r="E136" i="23"/>
  <c r="I136" i="23" s="1"/>
  <c r="J136" i="23" s="1"/>
  <c r="E135" i="23"/>
  <c r="I135" i="23" s="1"/>
  <c r="J135" i="23" s="1"/>
  <c r="E134" i="23"/>
  <c r="I134" i="23" s="1"/>
  <c r="J134" i="23" s="1"/>
  <c r="E133" i="23"/>
  <c r="I133" i="23" s="1"/>
  <c r="J133" i="23" s="1"/>
  <c r="E132" i="23"/>
  <c r="I132" i="23" s="1"/>
  <c r="J132" i="23" s="1"/>
  <c r="E131" i="23"/>
  <c r="I131" i="23" s="1"/>
  <c r="J131" i="23" s="1"/>
  <c r="E130" i="23"/>
  <c r="I130" i="23" s="1"/>
  <c r="J130" i="23" s="1"/>
  <c r="E129" i="23"/>
  <c r="I129" i="23" s="1"/>
  <c r="J129" i="23" s="1"/>
  <c r="E128" i="23"/>
  <c r="I128" i="23" s="1"/>
  <c r="J128" i="23" s="1"/>
  <c r="E127" i="23"/>
  <c r="I127" i="23" s="1"/>
  <c r="J127" i="23" s="1"/>
  <c r="E126" i="23"/>
  <c r="I126" i="23" s="1"/>
  <c r="J126" i="23" s="1"/>
  <c r="E125" i="23"/>
  <c r="I125" i="23" s="1"/>
  <c r="J125" i="23" s="1"/>
  <c r="E124" i="23"/>
  <c r="I124" i="23" s="1"/>
  <c r="J124" i="23" s="1"/>
  <c r="E123" i="23"/>
  <c r="I123" i="23" s="1"/>
  <c r="J123" i="23" s="1"/>
  <c r="E122" i="23"/>
  <c r="I122" i="23" s="1"/>
  <c r="J122" i="23" s="1"/>
  <c r="E121" i="23"/>
  <c r="I121" i="23" s="1"/>
  <c r="J121" i="23" s="1"/>
  <c r="E120" i="23"/>
  <c r="I120" i="23" s="1"/>
  <c r="J120" i="23" s="1"/>
  <c r="E119" i="23"/>
  <c r="I119" i="23" s="1"/>
  <c r="J119" i="23" s="1"/>
  <c r="E118" i="23"/>
  <c r="I118" i="23" s="1"/>
  <c r="J118" i="23" s="1"/>
  <c r="E117" i="23"/>
  <c r="I117" i="23" s="1"/>
  <c r="J117" i="23" s="1"/>
  <c r="E116" i="23"/>
  <c r="I116" i="23" s="1"/>
  <c r="J116" i="23" s="1"/>
  <c r="E115" i="23"/>
  <c r="I115" i="23" s="1"/>
  <c r="J115" i="23" s="1"/>
  <c r="E114" i="23"/>
  <c r="I114" i="23" s="1"/>
  <c r="J114" i="23" s="1"/>
  <c r="E113" i="23"/>
  <c r="I113" i="23" s="1"/>
  <c r="J113" i="23" s="1"/>
  <c r="E112" i="23"/>
  <c r="I112" i="23" s="1"/>
  <c r="J112" i="23" s="1"/>
  <c r="E111" i="23"/>
  <c r="I111" i="23" s="1"/>
  <c r="J111" i="23" s="1"/>
  <c r="E110" i="23"/>
  <c r="I110" i="23" s="1"/>
  <c r="J110" i="23" s="1"/>
  <c r="E109" i="23"/>
  <c r="I109" i="23" s="1"/>
  <c r="J109" i="23" s="1"/>
  <c r="E108" i="23"/>
  <c r="I108" i="23" s="1"/>
  <c r="J108" i="23" s="1"/>
  <c r="E107" i="23"/>
  <c r="I107" i="23" s="1"/>
  <c r="J107" i="23" s="1"/>
  <c r="E106" i="23"/>
  <c r="I106" i="23" s="1"/>
  <c r="J106" i="23" s="1"/>
  <c r="E105" i="23"/>
  <c r="I105" i="23" s="1"/>
  <c r="J105" i="23" s="1"/>
  <c r="E104" i="23"/>
  <c r="I104" i="23" s="1"/>
  <c r="J104" i="23" s="1"/>
  <c r="E103" i="23"/>
  <c r="I103" i="23" s="1"/>
  <c r="J103" i="23" s="1"/>
  <c r="E102" i="23"/>
  <c r="I102" i="23" s="1"/>
  <c r="J102" i="23" s="1"/>
  <c r="E101" i="23"/>
  <c r="I101" i="23" s="1"/>
  <c r="J101" i="23" s="1"/>
  <c r="E100" i="23"/>
  <c r="I100" i="23" s="1"/>
  <c r="J100" i="23" s="1"/>
  <c r="E99" i="23"/>
  <c r="I99" i="23" s="1"/>
  <c r="J99" i="23" s="1"/>
  <c r="E98" i="23"/>
  <c r="I98" i="23" s="1"/>
  <c r="J98" i="23" s="1"/>
  <c r="E97" i="23"/>
  <c r="I97" i="23" s="1"/>
  <c r="J97" i="23" s="1"/>
  <c r="E96" i="23"/>
  <c r="I96" i="23" s="1"/>
  <c r="J96" i="23" s="1"/>
  <c r="E95" i="23"/>
  <c r="I95" i="23" s="1"/>
  <c r="J95" i="23" s="1"/>
  <c r="E94" i="23"/>
  <c r="I94" i="23" s="1"/>
  <c r="J94" i="23" s="1"/>
  <c r="E93" i="23"/>
  <c r="I93" i="23" s="1"/>
  <c r="J93" i="23" s="1"/>
  <c r="E92" i="23"/>
  <c r="I92" i="23" s="1"/>
  <c r="J92" i="23" s="1"/>
  <c r="E91" i="23"/>
  <c r="I91" i="23" s="1"/>
  <c r="J91" i="23" s="1"/>
  <c r="E90" i="23"/>
  <c r="I90" i="23" s="1"/>
  <c r="J90" i="23" s="1"/>
  <c r="E89" i="23"/>
  <c r="I89" i="23" s="1"/>
  <c r="J89" i="23" s="1"/>
  <c r="E88" i="23"/>
  <c r="I88" i="23" s="1"/>
  <c r="J88" i="23" s="1"/>
  <c r="E87" i="23"/>
  <c r="I87" i="23" s="1"/>
  <c r="J87" i="23" s="1"/>
  <c r="E86" i="23"/>
  <c r="I86" i="23" s="1"/>
  <c r="J86" i="23" s="1"/>
  <c r="E85" i="23"/>
  <c r="I85" i="23" s="1"/>
  <c r="J85" i="23" s="1"/>
  <c r="E84" i="23"/>
  <c r="I84" i="23" s="1"/>
  <c r="J84" i="23" s="1"/>
  <c r="E83" i="23"/>
  <c r="I83" i="23" s="1"/>
  <c r="J83" i="23" s="1"/>
  <c r="E82" i="23"/>
  <c r="I82" i="23" s="1"/>
  <c r="J82" i="23" s="1"/>
  <c r="E81" i="23"/>
  <c r="I81" i="23" s="1"/>
  <c r="J81" i="23" s="1"/>
  <c r="E80" i="23"/>
  <c r="I80" i="23" s="1"/>
  <c r="J80" i="23" s="1"/>
  <c r="E79" i="23"/>
  <c r="I79" i="23" s="1"/>
  <c r="J79" i="23" s="1"/>
  <c r="E78" i="23"/>
  <c r="I78" i="23" s="1"/>
  <c r="J78" i="23" s="1"/>
  <c r="E77" i="23"/>
  <c r="I77" i="23" s="1"/>
  <c r="J77" i="23" s="1"/>
  <c r="E76" i="23"/>
  <c r="I76" i="23" s="1"/>
  <c r="J76" i="23" s="1"/>
  <c r="E75" i="23"/>
  <c r="I75" i="23" s="1"/>
  <c r="J75" i="23" s="1"/>
  <c r="E74" i="23"/>
  <c r="I74" i="23" s="1"/>
  <c r="J74" i="23" s="1"/>
  <c r="E73" i="23"/>
  <c r="I73" i="23" s="1"/>
  <c r="J73" i="23" s="1"/>
  <c r="E72" i="23"/>
  <c r="I72" i="23" s="1"/>
  <c r="J72" i="23" s="1"/>
  <c r="E71" i="23"/>
  <c r="I71" i="23" s="1"/>
  <c r="J71" i="23" s="1"/>
  <c r="E70" i="23"/>
  <c r="I70" i="23" s="1"/>
  <c r="J70" i="23" s="1"/>
  <c r="E69" i="23"/>
  <c r="I69" i="23" s="1"/>
  <c r="J69" i="23" s="1"/>
  <c r="E68" i="23"/>
  <c r="I68" i="23" s="1"/>
  <c r="J68" i="23" s="1"/>
  <c r="E67" i="23"/>
  <c r="I67" i="23" s="1"/>
  <c r="J67" i="23" s="1"/>
  <c r="E66" i="23"/>
  <c r="I66" i="23" s="1"/>
  <c r="J66" i="23" s="1"/>
  <c r="E65" i="23"/>
  <c r="I65" i="23" s="1"/>
  <c r="J65" i="23" s="1"/>
  <c r="E64" i="23"/>
  <c r="I64" i="23" s="1"/>
  <c r="J64" i="23" s="1"/>
  <c r="E63" i="23"/>
  <c r="I63" i="23" s="1"/>
  <c r="J63" i="23" s="1"/>
  <c r="E62" i="23"/>
  <c r="I62" i="23" s="1"/>
  <c r="J62" i="23" s="1"/>
  <c r="E61" i="23"/>
  <c r="I61" i="23" s="1"/>
  <c r="J61" i="23" s="1"/>
  <c r="E60" i="23"/>
  <c r="I60" i="23" s="1"/>
  <c r="J60" i="23" s="1"/>
  <c r="E59" i="23"/>
  <c r="I59" i="23" s="1"/>
  <c r="J59" i="23" s="1"/>
  <c r="E58" i="23"/>
  <c r="I58" i="23" s="1"/>
  <c r="J58" i="23" s="1"/>
  <c r="E57" i="23"/>
  <c r="I57" i="23" s="1"/>
  <c r="J57" i="23" s="1"/>
  <c r="E56" i="23"/>
  <c r="I56" i="23" s="1"/>
  <c r="J56" i="23" s="1"/>
  <c r="E55" i="23"/>
  <c r="I55" i="23" s="1"/>
  <c r="J55" i="23" s="1"/>
  <c r="E54" i="23"/>
  <c r="I54" i="23" s="1"/>
  <c r="J54" i="23" s="1"/>
  <c r="E53" i="23"/>
  <c r="I53" i="23" s="1"/>
  <c r="J53" i="23" s="1"/>
  <c r="E52" i="23"/>
  <c r="I52" i="23" s="1"/>
  <c r="J52" i="23" s="1"/>
  <c r="E51" i="23"/>
  <c r="I51" i="23" s="1"/>
  <c r="J51" i="23" s="1"/>
  <c r="E50" i="23"/>
  <c r="I50" i="23" s="1"/>
  <c r="J50" i="23" s="1"/>
  <c r="E49" i="23"/>
  <c r="I49" i="23" s="1"/>
  <c r="J49" i="23" s="1"/>
  <c r="E48" i="23"/>
  <c r="I48" i="23" s="1"/>
  <c r="J48" i="23" s="1"/>
  <c r="E47" i="23"/>
  <c r="I47" i="23" s="1"/>
  <c r="J47" i="23" s="1"/>
  <c r="E46" i="23"/>
  <c r="I46" i="23" s="1"/>
  <c r="J46" i="23" s="1"/>
  <c r="E45" i="23"/>
  <c r="I45" i="23" s="1"/>
  <c r="J45" i="23" s="1"/>
  <c r="E44" i="23"/>
  <c r="I44" i="23" s="1"/>
  <c r="J44" i="23" s="1"/>
  <c r="E43" i="23"/>
  <c r="I43" i="23" s="1"/>
  <c r="J43" i="23" s="1"/>
  <c r="E42" i="23"/>
  <c r="I42" i="23" s="1"/>
  <c r="J42" i="23" s="1"/>
  <c r="E41" i="23"/>
  <c r="I41" i="23" s="1"/>
  <c r="J41" i="23" s="1"/>
  <c r="E40" i="23"/>
  <c r="I40" i="23" s="1"/>
  <c r="J40" i="23" s="1"/>
  <c r="E39" i="23"/>
  <c r="I39" i="23" s="1"/>
  <c r="J39" i="23" s="1"/>
  <c r="E38" i="23"/>
  <c r="I38" i="23" s="1"/>
  <c r="J38" i="23" s="1"/>
  <c r="E37" i="23"/>
  <c r="I37" i="23" s="1"/>
  <c r="J37" i="23" s="1"/>
  <c r="E36" i="23"/>
  <c r="I36" i="23" s="1"/>
  <c r="J36" i="23" s="1"/>
  <c r="E35" i="23"/>
  <c r="I35" i="23" s="1"/>
  <c r="J35" i="23" s="1"/>
  <c r="E34" i="23"/>
  <c r="I34" i="23" s="1"/>
  <c r="J34" i="23" s="1"/>
  <c r="E33" i="23"/>
  <c r="I33" i="23" s="1"/>
  <c r="J33" i="23" s="1"/>
  <c r="E32" i="23"/>
  <c r="I32" i="23" s="1"/>
  <c r="J32" i="23" s="1"/>
  <c r="E31" i="23"/>
  <c r="I31" i="23" s="1"/>
  <c r="J31" i="23" s="1"/>
  <c r="E30" i="23"/>
  <c r="I30" i="23" s="1"/>
  <c r="J30" i="23" s="1"/>
  <c r="E29" i="23"/>
  <c r="I29" i="23" s="1"/>
  <c r="J29" i="23" s="1"/>
  <c r="E28" i="23"/>
  <c r="I28" i="23" s="1"/>
  <c r="J28" i="23" s="1"/>
  <c r="E27" i="23"/>
  <c r="I27" i="23" s="1"/>
  <c r="J27" i="23" s="1"/>
  <c r="E26" i="23"/>
  <c r="I26" i="23" s="1"/>
  <c r="J26" i="23" s="1"/>
  <c r="E25" i="23"/>
  <c r="I25" i="23" s="1"/>
  <c r="J25" i="23" s="1"/>
  <c r="E24" i="23"/>
  <c r="I24" i="23" s="1"/>
  <c r="J24" i="23" s="1"/>
  <c r="E23" i="23"/>
  <c r="I23" i="23" s="1"/>
  <c r="J23" i="23" s="1"/>
  <c r="E22" i="23"/>
  <c r="I22" i="23" s="1"/>
  <c r="J22" i="23" s="1"/>
  <c r="E21" i="23"/>
  <c r="I21" i="23" s="1"/>
  <c r="J21" i="23" s="1"/>
  <c r="E20" i="23"/>
  <c r="I20" i="23" s="1"/>
  <c r="J20" i="23" s="1"/>
  <c r="E19" i="23"/>
  <c r="I19" i="23" s="1"/>
  <c r="J19" i="23" s="1"/>
  <c r="E18" i="23"/>
  <c r="I18" i="23" s="1"/>
  <c r="J18" i="23" s="1"/>
  <c r="E17" i="23"/>
  <c r="I17" i="23" s="1"/>
  <c r="J17" i="23" s="1"/>
  <c r="E16" i="23"/>
  <c r="I16" i="23" s="1"/>
  <c r="J16" i="23" s="1"/>
  <c r="E15" i="23"/>
  <c r="I15" i="23" s="1"/>
  <c r="J15" i="23" s="1"/>
  <c r="E14" i="23"/>
  <c r="I14" i="23" s="1"/>
  <c r="J14" i="23" s="1"/>
  <c r="E13" i="23"/>
  <c r="I13" i="23" s="1"/>
  <c r="J13" i="23" s="1"/>
  <c r="E12" i="23"/>
  <c r="I12" i="23" s="1"/>
  <c r="J12" i="23" s="1"/>
  <c r="E11" i="23"/>
  <c r="I11" i="23" s="1"/>
  <c r="J11" i="23" s="1"/>
  <c r="E10" i="23"/>
  <c r="I10" i="23" s="1"/>
  <c r="J10" i="23" s="1"/>
  <c r="E9" i="23"/>
  <c r="I9" i="23" s="1"/>
  <c r="J9" i="23" s="1"/>
  <c r="E8" i="23"/>
  <c r="I8" i="23" s="1"/>
  <c r="J8" i="23" s="1"/>
  <c r="E7" i="23"/>
  <c r="I7" i="23" s="1"/>
  <c r="J7" i="23" s="1"/>
  <c r="E6" i="23"/>
  <c r="I6" i="23" s="1"/>
  <c r="J6" i="23" s="1"/>
  <c r="E5" i="23"/>
  <c r="I5" i="23" s="1"/>
  <c r="J5" i="23" s="1"/>
  <c r="E4" i="23"/>
  <c r="I4" i="23" s="1"/>
  <c r="J4" i="23" s="1"/>
  <c r="E3" i="23"/>
  <c r="I3" i="23" s="1"/>
  <c r="J3" i="23" s="1"/>
  <c r="E2" i="23"/>
  <c r="I2" i="23" s="1"/>
  <c r="J2" i="23" s="1"/>
</calcChain>
</file>

<file path=xl/sharedStrings.xml><?xml version="1.0" encoding="utf-8"?>
<sst xmlns="http://schemas.openxmlformats.org/spreadsheetml/2006/main" count="7961" uniqueCount="4340">
  <si>
    <r>
      <rPr>
        <b/>
        <sz val="10"/>
        <color rgb="FFFFFFFF"/>
        <rFont val="Arial-BoldMT"/>
      </rPr>
      <t xml:space="preserve">ITEM NUMBER </t>
    </r>
  </si>
  <si>
    <r>
      <rPr>
        <b/>
        <sz val="10"/>
        <color rgb="FFFFFFFF"/>
        <rFont val="Arial-BoldMT"/>
      </rPr>
      <t xml:space="preserve">DESCRIPTION </t>
    </r>
  </si>
  <si>
    <r>
      <rPr>
        <b/>
        <sz val="10"/>
        <color rgb="FFFFFFFF"/>
        <rFont val="Arial-BoldMT"/>
      </rPr>
      <t xml:space="preserve">UOM </t>
    </r>
  </si>
  <si>
    <r>
      <rPr>
        <b/>
        <sz val="10"/>
        <color rgb="FFFFFFFF"/>
        <rFont val="Times New Roman"/>
        <family val="1"/>
      </rPr>
      <t xml:space="preserve">LIST PRICE </t>
    </r>
  </si>
  <si>
    <r>
      <rPr>
        <sz val="10"/>
        <rFont val="Times New Roman"/>
        <family val="1"/>
      </rPr>
      <t xml:space="preserve">$337.00 </t>
    </r>
  </si>
  <si>
    <r>
      <rPr>
        <sz val="10"/>
        <rFont val="Times New Roman"/>
        <family val="1"/>
      </rPr>
      <t xml:space="preserve">102-020808406 </t>
    </r>
  </si>
  <si>
    <r>
      <rPr>
        <sz val="10"/>
        <rFont val="Times New Roman"/>
        <family val="1"/>
      </rPr>
      <t xml:space="preserve">CABLE, CANBUS, 8'2" (2500mm) RIC290 </t>
    </r>
  </si>
  <si>
    <r>
      <rPr>
        <sz val="10"/>
        <rFont val="Times New Roman"/>
        <family val="1"/>
      </rPr>
      <t xml:space="preserve">EACH </t>
    </r>
  </si>
  <si>
    <r>
      <rPr>
        <sz val="10"/>
        <rFont val="Times New Roman"/>
        <family val="1"/>
      </rPr>
      <t xml:space="preserve">$79.00 </t>
    </r>
  </si>
  <si>
    <r>
      <rPr>
        <sz val="10"/>
        <rFont val="Times New Roman"/>
        <family val="1"/>
      </rPr>
      <t xml:space="preserve">102-020808415 </t>
    </r>
  </si>
  <si>
    <r>
      <rPr>
        <sz val="10"/>
        <rFont val="Times New Roman"/>
        <family val="1"/>
      </rPr>
      <t xml:space="preserve">Electric Lock, VRR 20 Motorized </t>
    </r>
  </si>
  <si>
    <r>
      <rPr>
        <sz val="10"/>
        <rFont val="Times New Roman"/>
        <family val="1"/>
      </rPr>
      <t xml:space="preserve">$651.00 </t>
    </r>
  </si>
  <si>
    <r>
      <rPr>
        <sz val="10"/>
        <rFont val="Times New Roman"/>
        <family val="1"/>
      </rPr>
      <t xml:space="preserve">102-020808482 </t>
    </r>
  </si>
  <si>
    <r>
      <rPr>
        <sz val="10"/>
        <rFont val="Times New Roman"/>
        <family val="1"/>
      </rPr>
      <t xml:space="preserve">Module, Expansion (FEM0) </t>
    </r>
  </si>
  <si>
    <r>
      <rPr>
        <sz val="10"/>
        <rFont val="Times New Roman"/>
        <family val="1"/>
      </rPr>
      <t xml:space="preserve">$1,228.00 </t>
    </r>
  </si>
  <si>
    <r>
      <rPr>
        <sz val="10"/>
        <rFont val="Times New Roman"/>
        <family val="1"/>
      </rPr>
      <t xml:space="preserve">102-020808513 </t>
    </r>
  </si>
  <si>
    <r>
      <rPr>
        <sz val="10"/>
        <rFont val="Times New Roman"/>
        <family val="1"/>
      </rPr>
      <t xml:space="preserve">Mounting Set, VRR Lock Microswitch&amp;Hardware </t>
    </r>
  </si>
  <si>
    <r>
      <rPr>
        <sz val="10"/>
        <rFont val="Times New Roman"/>
        <family val="1"/>
      </rPr>
      <t xml:space="preserve">$166.00 </t>
    </r>
  </si>
  <si>
    <r>
      <rPr>
        <sz val="10"/>
        <rFont val="Times New Roman"/>
        <family val="1"/>
      </rPr>
      <t xml:space="preserve">102-020808757 </t>
    </r>
  </si>
  <si>
    <r>
      <rPr>
        <sz val="10"/>
        <rFont val="Times New Roman"/>
        <family val="1"/>
      </rPr>
      <t xml:space="preserve">Manual Unlock Handle, VRR 20 Emergency Exit </t>
    </r>
  </si>
  <si>
    <r>
      <rPr>
        <sz val="10"/>
        <rFont val="Times New Roman"/>
        <family val="1"/>
      </rPr>
      <t xml:space="preserve">$354.00 </t>
    </r>
  </si>
  <si>
    <r>
      <rPr>
        <sz val="10"/>
        <rFont val="Times New Roman"/>
        <family val="1"/>
      </rPr>
      <t xml:space="preserve">102-020808805 </t>
    </r>
  </si>
  <si>
    <r>
      <rPr>
        <sz val="10"/>
        <rFont val="Times New Roman"/>
        <family val="1"/>
      </rPr>
      <t xml:space="preserve">Harness, Encoder 1750mm </t>
    </r>
  </si>
  <si>
    <r>
      <rPr>
        <sz val="10"/>
        <rFont val="Times New Roman"/>
        <family val="1"/>
      </rPr>
      <t xml:space="preserve">$99.00 </t>
    </r>
  </si>
  <si>
    <r>
      <rPr>
        <sz val="10"/>
        <rFont val="Times New Roman"/>
        <family val="1"/>
      </rPr>
      <t xml:space="preserve">102-032136 </t>
    </r>
  </si>
  <si>
    <r>
      <rPr>
        <sz val="10"/>
        <rFont val="Times New Roman"/>
        <family val="1"/>
      </rPr>
      <t xml:space="preserve">Wire Rope, 1.5mm </t>
    </r>
  </si>
  <si>
    <r>
      <rPr>
        <sz val="10"/>
        <rFont val="Times New Roman"/>
        <family val="1"/>
      </rPr>
      <t xml:space="preserve">FT </t>
    </r>
  </si>
  <si>
    <r>
      <rPr>
        <sz val="10"/>
        <rFont val="Times New Roman"/>
        <family val="1"/>
      </rPr>
      <t xml:space="preserve">$7.00 </t>
    </r>
  </si>
  <si>
    <r>
      <rPr>
        <sz val="10"/>
        <rFont val="Times New Roman"/>
        <family val="1"/>
      </rPr>
      <t xml:space="preserve">102-032167 </t>
    </r>
  </si>
  <si>
    <r>
      <rPr>
        <sz val="10"/>
        <rFont val="Times New Roman"/>
        <family val="1"/>
      </rPr>
      <t xml:space="preserve">Cable Sheath, 8mm VRR 20 Lock </t>
    </r>
  </si>
  <si>
    <r>
      <rPr>
        <sz val="10"/>
        <rFont val="Times New Roman"/>
        <family val="1"/>
      </rPr>
      <t xml:space="preserve">$3.00 </t>
    </r>
  </si>
  <si>
    <r>
      <rPr>
        <sz val="10"/>
        <rFont val="Times New Roman"/>
        <family val="1"/>
      </rPr>
      <t xml:space="preserve">102-126049 </t>
    </r>
  </si>
  <si>
    <r>
      <rPr>
        <sz val="10"/>
        <rFont val="Times New Roman"/>
        <family val="1"/>
      </rPr>
      <t xml:space="preserve">Push Arm Extension, 345mm, CL (S8100/S6100 Operator) </t>
    </r>
  </si>
  <si>
    <r>
      <rPr>
        <sz val="10"/>
        <rFont val="Times New Roman"/>
        <family val="1"/>
      </rPr>
      <t xml:space="preserve">$35.00 </t>
    </r>
  </si>
  <si>
    <r>
      <rPr>
        <sz val="10"/>
        <rFont val="Times New Roman"/>
        <family val="1"/>
      </rPr>
      <t xml:space="preserve">102-126051 </t>
    </r>
  </si>
  <si>
    <r>
      <rPr>
        <sz val="10"/>
        <rFont val="Times New Roman"/>
        <family val="1"/>
      </rPr>
      <t xml:space="preserve">Push Arm Extension, 230mm, CL (S8100/S6100 Operator) </t>
    </r>
  </si>
  <si>
    <r>
      <rPr>
        <sz val="10"/>
        <rFont val="Times New Roman"/>
        <family val="1"/>
      </rPr>
      <t xml:space="preserve">102-126521 </t>
    </r>
  </si>
  <si>
    <r>
      <rPr>
        <sz val="10"/>
        <rFont val="Times New Roman"/>
        <family val="1"/>
      </rPr>
      <t xml:space="preserve">Push Arm Extension, 230mm, DB (S8100/S6100 Operator) </t>
    </r>
  </si>
  <si>
    <r>
      <rPr>
        <sz val="10"/>
        <rFont val="Times New Roman"/>
        <family val="1"/>
      </rPr>
      <t xml:space="preserve">102-126527 </t>
    </r>
  </si>
  <si>
    <r>
      <rPr>
        <sz val="10"/>
        <rFont val="Times New Roman"/>
        <family val="1"/>
      </rPr>
      <t xml:space="preserve">Push Arm Extension, 345mm, DB (S8100/S6100 Operator) </t>
    </r>
  </si>
  <si>
    <r>
      <rPr>
        <sz val="10"/>
        <rFont val="Times New Roman"/>
        <family val="1"/>
      </rPr>
      <t xml:space="preserve">102-127812723 </t>
    </r>
  </si>
  <si>
    <r>
      <rPr>
        <sz val="10"/>
        <rFont val="Times New Roman"/>
        <family val="1"/>
      </rPr>
      <t xml:space="preserve">Battery Pack DFA 127 In 6" Casing(header assy.) </t>
    </r>
  </si>
  <si>
    <r>
      <rPr>
        <sz val="10"/>
        <rFont val="Times New Roman"/>
        <family val="1"/>
      </rPr>
      <t xml:space="preserve">$1,424.00 </t>
    </r>
  </si>
  <si>
    <r>
      <rPr>
        <sz val="10"/>
        <rFont val="Times New Roman"/>
        <family val="1"/>
      </rPr>
      <t xml:space="preserve">102-127812724 </t>
    </r>
  </si>
  <si>
    <r>
      <rPr>
        <sz val="10"/>
        <rFont val="Times New Roman"/>
        <family val="1"/>
      </rPr>
      <t xml:space="preserve">Kit Battery Pack DFA 127 </t>
    </r>
  </si>
  <si>
    <r>
      <rPr>
        <sz val="10"/>
        <rFont val="Times New Roman"/>
        <family val="1"/>
      </rPr>
      <t xml:space="preserve">$789.00 </t>
    </r>
  </si>
  <si>
    <r>
      <rPr>
        <sz val="10"/>
        <rFont val="Times New Roman"/>
        <family val="1"/>
      </rPr>
      <t xml:space="preserve">102-127816013 </t>
    </r>
  </si>
  <si>
    <r>
      <rPr>
        <sz val="10"/>
        <rFont val="Times New Roman"/>
        <family val="1"/>
      </rPr>
      <t xml:space="preserve">Adaptor, Drive Arm, 20mm, CL (S8100/S6100 Operator) </t>
    </r>
  </si>
  <si>
    <r>
      <rPr>
        <sz val="10"/>
        <rFont val="Times New Roman"/>
        <family val="1"/>
      </rPr>
      <t xml:space="preserve">$167.00 </t>
    </r>
  </si>
  <si>
    <r>
      <rPr>
        <sz val="10"/>
        <rFont val="Times New Roman"/>
        <family val="1"/>
      </rPr>
      <t xml:space="preserve">102-127816014 </t>
    </r>
  </si>
  <si>
    <r>
      <rPr>
        <sz val="10"/>
        <rFont val="Times New Roman"/>
        <family val="1"/>
      </rPr>
      <t xml:space="preserve">Adaptor, Drive Arm, 35mm, CL (S8100/S6100 Operator) </t>
    </r>
  </si>
  <si>
    <r>
      <rPr>
        <sz val="10"/>
        <rFont val="Times New Roman"/>
        <family val="1"/>
      </rPr>
      <t xml:space="preserve">$176.00 </t>
    </r>
  </si>
  <si>
    <r>
      <rPr>
        <sz val="10"/>
        <rFont val="Times New Roman"/>
        <family val="1"/>
      </rPr>
      <t xml:space="preserve">102-127816016 </t>
    </r>
  </si>
  <si>
    <r>
      <rPr>
        <sz val="10"/>
        <rFont val="Times New Roman"/>
        <family val="1"/>
      </rPr>
      <t xml:space="preserve">Adaptor, Drive Arm, 50mm, CL (S8100/S6100 Operator) </t>
    </r>
  </si>
  <si>
    <r>
      <rPr>
        <sz val="10"/>
        <rFont val="Times New Roman"/>
        <family val="1"/>
      </rPr>
      <t xml:space="preserve">102-127816017 </t>
    </r>
  </si>
  <si>
    <r>
      <rPr>
        <sz val="10"/>
        <rFont val="Times New Roman"/>
        <family val="1"/>
      </rPr>
      <t xml:space="preserve">Adaptor, Drive Arm, 80mm, CL (S8100/S6100 Operator) </t>
    </r>
  </si>
  <si>
    <r>
      <rPr>
        <sz val="10"/>
        <rFont val="Times New Roman"/>
        <family val="1"/>
      </rPr>
      <t xml:space="preserve">$173.00 </t>
    </r>
  </si>
  <si>
    <r>
      <rPr>
        <sz val="10"/>
        <rFont val="Times New Roman"/>
        <family val="1"/>
      </rPr>
      <t xml:space="preserve">102-127816028 </t>
    </r>
  </si>
  <si>
    <r>
      <rPr>
        <sz val="10"/>
        <rFont val="Times New Roman"/>
        <family val="1"/>
      </rPr>
      <t xml:space="preserve">Arm Assembly, Slide, Clear </t>
    </r>
  </si>
  <si>
    <r>
      <rPr>
        <sz val="10"/>
        <rFont val="Times New Roman"/>
        <family val="1"/>
      </rPr>
      <t xml:space="preserve">$1,090.00 </t>
    </r>
  </si>
  <si>
    <r>
      <rPr>
        <sz val="10"/>
        <rFont val="Times New Roman"/>
        <family val="1"/>
      </rPr>
      <t xml:space="preserve">102-127816078 </t>
    </r>
  </si>
  <si>
    <r>
      <rPr>
        <sz val="10"/>
        <rFont val="Times New Roman"/>
        <family val="1"/>
      </rPr>
      <t xml:space="preserve">Arm Assembly, Offset Slide, LH, Clear </t>
    </r>
  </si>
  <si>
    <r>
      <rPr>
        <sz val="10"/>
        <rFont val="Times New Roman"/>
        <family val="1"/>
      </rPr>
      <t xml:space="preserve">102-127816079 </t>
    </r>
  </si>
  <si>
    <r>
      <rPr>
        <sz val="10"/>
        <rFont val="Times New Roman"/>
        <family val="1"/>
      </rPr>
      <t xml:space="preserve">Arm Assembly, Offset Slide, RH, Clear </t>
    </r>
  </si>
  <si>
    <r>
      <rPr>
        <sz val="10"/>
        <rFont val="Times New Roman"/>
        <family val="1"/>
      </rPr>
      <t xml:space="preserve">102-127816085 </t>
    </r>
  </si>
  <si>
    <r>
      <rPr>
        <sz val="10"/>
        <rFont val="Times New Roman"/>
        <family val="1"/>
      </rPr>
      <t xml:space="preserve">Adaptor, Drive Arm, 20mm, DB (S8100/S6100 Operator) </t>
    </r>
  </si>
  <si>
    <r>
      <rPr>
        <sz val="10"/>
        <rFont val="Times New Roman"/>
        <family val="1"/>
      </rPr>
      <t xml:space="preserve">$214.00 </t>
    </r>
  </si>
  <si>
    <r>
      <rPr>
        <sz val="10"/>
        <rFont val="Times New Roman"/>
        <family val="1"/>
      </rPr>
      <t xml:space="preserve">102-127816086 </t>
    </r>
  </si>
  <si>
    <r>
      <rPr>
        <sz val="10"/>
        <rFont val="Times New Roman"/>
        <family val="1"/>
      </rPr>
      <t xml:space="preserve">Adaptor, Drive Arm, 35mm, DB (S8100/S6100 Operator) </t>
    </r>
  </si>
  <si>
    <r>
      <rPr>
        <sz val="10"/>
        <rFont val="Times New Roman"/>
        <family val="1"/>
      </rPr>
      <t xml:space="preserve">102-127816087 </t>
    </r>
  </si>
  <si>
    <r>
      <rPr>
        <sz val="10"/>
        <rFont val="Times New Roman"/>
        <family val="1"/>
      </rPr>
      <t xml:space="preserve">Adaptor, Drive Arm, 50mm, DB (S8100/S6100 Operator) </t>
    </r>
  </si>
  <si>
    <r>
      <rPr>
        <sz val="10"/>
        <rFont val="Times New Roman"/>
        <family val="1"/>
      </rPr>
      <t xml:space="preserve">102-127816089 </t>
    </r>
  </si>
  <si>
    <r>
      <rPr>
        <sz val="10"/>
        <rFont val="Times New Roman"/>
        <family val="1"/>
      </rPr>
      <t xml:space="preserve">Adaptor, Drive Arm, 80mm, DB (S8100/S6100 Operator) </t>
    </r>
  </si>
  <si>
    <r>
      <rPr>
        <sz val="10"/>
        <rFont val="Times New Roman"/>
        <family val="1"/>
      </rPr>
      <t xml:space="preserve">102-127816110 </t>
    </r>
  </si>
  <si>
    <r>
      <rPr>
        <sz val="10"/>
        <rFont val="Times New Roman"/>
        <family val="1"/>
      </rPr>
      <t xml:space="preserve">Arm Assembly, Slide, Dark Bronze </t>
    </r>
  </si>
  <si>
    <r>
      <rPr>
        <sz val="10"/>
        <rFont val="Times New Roman"/>
        <family val="1"/>
      </rPr>
      <t xml:space="preserve">$1,094.00 </t>
    </r>
  </si>
  <si>
    <r>
      <rPr>
        <sz val="10"/>
        <rFont val="Times New Roman"/>
        <family val="1"/>
      </rPr>
      <t xml:space="preserve">102-127816111 </t>
    </r>
  </si>
  <si>
    <r>
      <rPr>
        <sz val="10"/>
        <rFont val="Times New Roman"/>
        <family val="1"/>
      </rPr>
      <t xml:space="preserve">Arm Assembly, Offset Slide, LH, Dark Bronze </t>
    </r>
  </si>
  <si>
    <r>
      <rPr>
        <sz val="10"/>
        <rFont val="Times New Roman"/>
        <family val="1"/>
      </rPr>
      <t xml:space="preserve">102-127816112 </t>
    </r>
  </si>
  <si>
    <r>
      <rPr>
        <sz val="10"/>
        <rFont val="Times New Roman"/>
        <family val="1"/>
      </rPr>
      <t xml:space="preserve">Arm Assembly, Offset Slide, RH, Dark Bronze </t>
    </r>
  </si>
  <si>
    <r>
      <rPr>
        <sz val="10"/>
        <rFont val="Times New Roman"/>
        <family val="1"/>
      </rPr>
      <t xml:space="preserve">102-290808880 </t>
    </r>
  </si>
  <si>
    <r>
      <rPr>
        <sz val="10"/>
        <rFont val="Times New Roman"/>
        <family val="1"/>
      </rPr>
      <t xml:space="preserve">Weather Shield,RIC290 Alu neutral anodized </t>
    </r>
  </si>
  <si>
    <r>
      <rPr>
        <sz val="10"/>
        <rFont val="Times New Roman"/>
        <family val="1"/>
      </rPr>
      <t xml:space="preserve">$410.00 </t>
    </r>
  </si>
  <si>
    <r>
      <rPr>
        <sz val="10"/>
        <rFont val="Times New Roman"/>
        <family val="1"/>
      </rPr>
      <t xml:space="preserve">102-401392 </t>
    </r>
  </si>
  <si>
    <r>
      <rPr>
        <sz val="10"/>
        <rFont val="Times New Roman"/>
        <family val="1"/>
      </rPr>
      <t xml:space="preserve">RC-Swing MS1200BL Sensor OnDoor Presence, CANbus </t>
    </r>
  </si>
  <si>
    <r>
      <rPr>
        <sz val="10"/>
        <rFont val="Times New Roman"/>
        <family val="1"/>
      </rPr>
      <t xml:space="preserve">$1,819.00 </t>
    </r>
  </si>
  <si>
    <r>
      <rPr>
        <sz val="10"/>
        <rFont val="Times New Roman"/>
        <family val="1"/>
      </rPr>
      <t xml:space="preserve">Push Side  Doorstop Kit (HA7-100/HA7-200) **NON-STK** </t>
    </r>
  </si>
  <si>
    <r>
      <rPr>
        <sz val="10"/>
        <rFont val="Times New Roman"/>
        <family val="1"/>
      </rPr>
      <t xml:space="preserve">$58.00 </t>
    </r>
  </si>
  <si>
    <r>
      <rPr>
        <sz val="10"/>
        <rFont val="Times New Roman"/>
        <family val="1"/>
      </rPr>
      <t xml:space="preserve">102-902813766 </t>
    </r>
  </si>
  <si>
    <r>
      <rPr>
        <sz val="10"/>
        <rFont val="Times New Roman"/>
        <family val="1"/>
      </rPr>
      <t xml:space="preserve">Can Cable for WiDi L=180mm </t>
    </r>
  </si>
  <si>
    <r>
      <rPr>
        <sz val="10"/>
        <rFont val="Times New Roman"/>
        <family val="1"/>
      </rPr>
      <t xml:space="preserve">$71.00 </t>
    </r>
  </si>
  <si>
    <r>
      <rPr>
        <sz val="10"/>
        <rFont val="Times New Roman"/>
        <family val="1"/>
      </rPr>
      <t xml:space="preserve">202-003118818 </t>
    </r>
  </si>
  <si>
    <r>
      <rPr>
        <sz val="10"/>
        <rFont val="Times New Roman"/>
        <family val="1"/>
      </rPr>
      <t xml:space="preserve">Bracket, Belt Clasp, 17mm </t>
    </r>
  </si>
  <si>
    <r>
      <rPr>
        <sz val="10"/>
        <rFont val="Times New Roman"/>
        <family val="1"/>
      </rPr>
      <t xml:space="preserve">$96.00 </t>
    </r>
  </si>
  <si>
    <r>
      <rPr>
        <sz val="10"/>
        <rFont val="Times New Roman"/>
        <family val="1"/>
      </rPr>
      <t xml:space="preserve">202-003118819 </t>
    </r>
  </si>
  <si>
    <r>
      <rPr>
        <sz val="10"/>
        <rFont val="Times New Roman"/>
        <family val="1"/>
      </rPr>
      <t xml:space="preserve">Bracket, Belt Base, 21mm </t>
    </r>
  </si>
  <si>
    <r>
      <rPr>
        <sz val="10"/>
        <rFont val="Times New Roman"/>
        <family val="1"/>
      </rPr>
      <t xml:space="preserve">$100.00 </t>
    </r>
  </si>
  <si>
    <r>
      <rPr>
        <sz val="10"/>
        <rFont val="Times New Roman"/>
        <family val="1"/>
      </rPr>
      <t xml:space="preserve">202-003118824 </t>
    </r>
  </si>
  <si>
    <r>
      <rPr>
        <sz val="10"/>
        <rFont val="Times New Roman"/>
        <family val="1"/>
      </rPr>
      <t xml:space="preserve">Bracket, Drive Components Conversion Kit,Stanley,2000 </t>
    </r>
  </si>
  <si>
    <r>
      <rPr>
        <sz val="10"/>
        <rFont val="Times New Roman"/>
        <family val="1"/>
      </rPr>
      <t xml:space="preserve">$590.00 </t>
    </r>
  </si>
  <si>
    <r>
      <rPr>
        <sz val="10"/>
        <rFont val="Times New Roman"/>
        <family val="1"/>
      </rPr>
      <t xml:space="preserve">202-003118839 </t>
    </r>
  </si>
  <si>
    <r>
      <rPr>
        <sz val="10"/>
        <rFont val="Times New Roman"/>
        <family val="1"/>
      </rPr>
      <t xml:space="preserve">Plate, Spacer, Drive Component Conversion Kit, Stanley, 2000 </t>
    </r>
  </si>
  <si>
    <r>
      <rPr>
        <sz val="10"/>
        <rFont val="Times New Roman"/>
        <family val="1"/>
      </rPr>
      <t xml:space="preserve">$126.00 </t>
    </r>
  </si>
  <si>
    <r>
      <rPr>
        <sz val="10"/>
        <rFont val="Times New Roman"/>
        <family val="1"/>
      </rPr>
      <t xml:space="preserve">202-003118840 </t>
    </r>
  </si>
  <si>
    <r>
      <rPr>
        <sz val="10"/>
        <rFont val="Times New Roman"/>
        <family val="1"/>
      </rPr>
      <t xml:space="preserve">Bracket, Belt Clamp, Secondary Conversion Kit, Stanely, 2000 </t>
    </r>
  </si>
  <si>
    <r>
      <rPr>
        <sz val="10"/>
        <rFont val="Times New Roman"/>
        <family val="1"/>
      </rPr>
      <t xml:space="preserve">$196.00 </t>
    </r>
  </si>
  <si>
    <r>
      <rPr>
        <sz val="10"/>
        <rFont val="Times New Roman"/>
        <family val="1"/>
      </rPr>
      <t xml:space="preserve">202-003118841 </t>
    </r>
  </si>
  <si>
    <r>
      <rPr>
        <sz val="10"/>
        <rFont val="Times New Roman"/>
        <family val="1"/>
      </rPr>
      <t xml:space="preserve">Bracket, Belt Clamp, Primary, Conversion Kit, Stanely, 2000 </t>
    </r>
  </si>
  <si>
    <r>
      <rPr>
        <sz val="10"/>
        <rFont val="Times New Roman"/>
        <family val="1"/>
      </rPr>
      <t xml:space="preserve">202-003118845 </t>
    </r>
  </si>
  <si>
    <r>
      <rPr>
        <sz val="10"/>
        <rFont val="Times New Roman"/>
        <family val="1"/>
      </rPr>
      <t xml:space="preserve">Set Screw, 1/2-20 x 1 inch Cup Point </t>
    </r>
  </si>
  <si>
    <r>
      <rPr>
        <sz val="10"/>
        <rFont val="Times New Roman"/>
        <family val="1"/>
      </rPr>
      <t xml:space="preserve">$17.00 </t>
    </r>
  </si>
  <si>
    <r>
      <rPr>
        <sz val="10"/>
        <rFont val="Times New Roman"/>
        <family val="1"/>
      </rPr>
      <t xml:space="preserve">202-003118853 </t>
    </r>
  </si>
  <si>
    <r>
      <rPr>
        <sz val="10"/>
        <rFont val="Times New Roman"/>
        <family val="1"/>
      </rPr>
      <t xml:space="preserve">Square Nut, 3/8-16 x 5/8 inch </t>
    </r>
  </si>
  <si>
    <r>
      <rPr>
        <sz val="10"/>
        <rFont val="Times New Roman"/>
        <family val="1"/>
      </rPr>
      <t xml:space="preserve">202-003118855 </t>
    </r>
  </si>
  <si>
    <r>
      <rPr>
        <sz val="10"/>
        <rFont val="Times New Roman"/>
        <family val="1"/>
      </rPr>
      <t xml:space="preserve">Plate, Mounting,Elct. Comp. Conversion Kit, Stanely, 2000 </t>
    </r>
  </si>
  <si>
    <r>
      <rPr>
        <sz val="10"/>
        <rFont val="Times New Roman"/>
        <family val="1"/>
      </rPr>
      <t xml:space="preserve">$311.00 </t>
    </r>
  </si>
  <si>
    <r>
      <rPr>
        <sz val="10"/>
        <rFont val="Times New Roman"/>
        <family val="1"/>
      </rPr>
      <t xml:space="preserve">202-003118872 </t>
    </r>
  </si>
  <si>
    <r>
      <rPr>
        <sz val="10"/>
        <rFont val="Times New Roman"/>
        <family val="1"/>
      </rPr>
      <t xml:space="preserve">Extension Cable, Rx, M8, Male-Female, Gray </t>
    </r>
  </si>
  <si>
    <r>
      <rPr>
        <sz val="10"/>
        <rFont val="Times New Roman"/>
        <family val="1"/>
      </rPr>
      <t xml:space="preserve">$46.00 </t>
    </r>
  </si>
  <si>
    <r>
      <rPr>
        <sz val="10"/>
        <rFont val="Times New Roman"/>
        <family val="1"/>
      </rPr>
      <t xml:space="preserve">202-003118873 </t>
    </r>
  </si>
  <si>
    <r>
      <rPr>
        <sz val="10"/>
        <rFont val="Times New Roman"/>
        <family val="1"/>
      </rPr>
      <t xml:space="preserve">Extension Cable, Tx, M8, Male-Female, Black </t>
    </r>
  </si>
  <si>
    <r>
      <rPr>
        <sz val="10"/>
        <rFont val="Times New Roman"/>
        <family val="1"/>
      </rPr>
      <t xml:space="preserve">202-003119011 </t>
    </r>
  </si>
  <si>
    <r>
      <rPr>
        <sz val="10"/>
        <rFont val="Times New Roman"/>
        <family val="1"/>
      </rPr>
      <t xml:space="preserve">All Glass Door Seal Channel, Clear </t>
    </r>
  </si>
  <si>
    <r>
      <rPr>
        <sz val="10"/>
        <rFont val="Times New Roman"/>
        <family val="1"/>
      </rPr>
      <t xml:space="preserve">$169.00 </t>
    </r>
  </si>
  <si>
    <r>
      <rPr>
        <sz val="10"/>
        <rFont val="Times New Roman"/>
        <family val="1"/>
      </rPr>
      <t xml:space="preserve">202-003119020 </t>
    </r>
  </si>
  <si>
    <r>
      <rPr>
        <sz val="10"/>
        <rFont val="Times New Roman"/>
        <family val="1"/>
      </rPr>
      <t xml:space="preserve">Bracket, Ball Catch, Panic Modified, RH </t>
    </r>
  </si>
  <si>
    <r>
      <rPr>
        <sz val="10"/>
        <rFont val="Times New Roman"/>
        <family val="1"/>
      </rPr>
      <t xml:space="preserve">$18.00 </t>
    </r>
  </si>
  <si>
    <r>
      <rPr>
        <sz val="10"/>
        <rFont val="Times New Roman"/>
        <family val="1"/>
      </rPr>
      <t xml:space="preserve">202-003119267 </t>
    </r>
  </si>
  <si>
    <r>
      <rPr>
        <sz val="10"/>
        <rFont val="Times New Roman"/>
        <family val="1"/>
      </rPr>
      <t xml:space="preserve">Dust Proof Keeper, CRL </t>
    </r>
  </si>
  <si>
    <r>
      <rPr>
        <sz val="10"/>
        <rFont val="Times New Roman"/>
        <family val="1"/>
      </rPr>
      <t xml:space="preserve">$67.00 </t>
    </r>
  </si>
  <si>
    <r>
      <rPr>
        <sz val="10"/>
        <rFont val="Times New Roman"/>
        <family val="1"/>
      </rPr>
      <t xml:space="preserve">202-003120592 </t>
    </r>
  </si>
  <si>
    <r>
      <rPr>
        <sz val="10"/>
        <rFont val="Times New Roman"/>
        <family val="1"/>
      </rPr>
      <t xml:space="preserve">Wire Assembly, Ground Ring Tongue to Ring Tounge 36" </t>
    </r>
  </si>
  <si>
    <r>
      <rPr>
        <sz val="10"/>
        <rFont val="Times New Roman"/>
        <family val="1"/>
      </rPr>
      <t xml:space="preserve">$5.00 </t>
    </r>
  </si>
  <si>
    <r>
      <rPr>
        <sz val="9"/>
        <rFont val="Times New Roman"/>
        <family val="1"/>
      </rPr>
      <t xml:space="preserve">Prices and product availability subject to change without notice. </t>
    </r>
  </si>
  <si>
    <r>
      <rPr>
        <sz val="8"/>
        <rFont val="Times New Roman"/>
        <family val="1"/>
      </rPr>
      <t xml:space="preserve">4/1/2025 </t>
    </r>
  </si>
  <si>
    <r>
      <rPr>
        <sz val="9"/>
        <rFont val="Times New Roman"/>
        <family val="1"/>
      </rPr>
      <t xml:space="preserve">All orders subject to a $50 minimum product total. </t>
    </r>
  </si>
  <si>
    <r>
      <rPr>
        <sz val="8"/>
        <rFont val="Times New Roman"/>
        <family val="1"/>
      </rPr>
      <t xml:space="preserve">Page 1 of  21 </t>
    </r>
  </si>
  <si>
    <r>
      <rPr>
        <sz val="10"/>
        <rFont val="Times New Roman"/>
        <family val="1"/>
      </rPr>
      <t xml:space="preserve">$1.00 </t>
    </r>
  </si>
  <si>
    <r>
      <rPr>
        <sz val="10"/>
        <rFont val="Times New Roman"/>
        <family val="1"/>
      </rPr>
      <t xml:space="preserve">202-003121062 </t>
    </r>
  </si>
  <si>
    <r>
      <rPr>
        <sz val="10"/>
        <rFont val="Times New Roman"/>
        <family val="1"/>
      </rPr>
      <t xml:space="preserve">End Cap, Cover, 4.25 Header Automatic Series </t>
    </r>
  </si>
  <si>
    <r>
      <rPr>
        <sz val="10"/>
        <rFont val="Times New Roman"/>
        <family val="1"/>
      </rPr>
      <t xml:space="preserve">$127.00 </t>
    </r>
  </si>
  <si>
    <r>
      <rPr>
        <sz val="10"/>
        <rFont val="Times New Roman"/>
        <family val="1"/>
      </rPr>
      <t xml:space="preserve">202-003121225 </t>
    </r>
  </si>
  <si>
    <r>
      <rPr>
        <sz val="10"/>
        <rFont val="Times New Roman"/>
        <family val="1"/>
      </rPr>
      <t xml:space="preserve">Module, Extended FEM1 </t>
    </r>
  </si>
  <si>
    <r>
      <rPr>
        <sz val="10"/>
        <rFont val="Times New Roman"/>
        <family val="1"/>
      </rPr>
      <t xml:space="preserve">$1,561.00 </t>
    </r>
  </si>
  <si>
    <r>
      <rPr>
        <sz val="10"/>
        <rFont val="Times New Roman"/>
        <family val="1"/>
      </rPr>
      <t xml:space="preserve">202-003121449 </t>
    </r>
  </si>
  <si>
    <r>
      <rPr>
        <sz val="10"/>
        <rFont val="Times New Roman"/>
        <family val="1"/>
      </rPr>
      <t xml:space="preserve">Sensor, Saftey, IXIO-ST, BEA   **DROP SHIP** </t>
    </r>
  </si>
  <si>
    <r>
      <rPr>
        <sz val="10"/>
        <rFont val="Times New Roman"/>
        <family val="1"/>
      </rPr>
      <t xml:space="preserve">$346.00 </t>
    </r>
  </si>
  <si>
    <r>
      <rPr>
        <sz val="10"/>
        <rFont val="Times New Roman"/>
        <family val="1"/>
      </rPr>
      <t xml:space="preserve">202-003121688 </t>
    </r>
  </si>
  <si>
    <r>
      <rPr>
        <sz val="10"/>
        <rFont val="Times New Roman"/>
        <family val="1"/>
      </rPr>
      <t xml:space="preserve">RIC290 Sensor, Ceiling Mount | Version **Drop Ship** </t>
    </r>
  </si>
  <si>
    <r>
      <rPr>
        <sz val="10"/>
        <rFont val="Times New Roman"/>
        <family val="1"/>
      </rPr>
      <t xml:space="preserve">$803.00 </t>
    </r>
  </si>
  <si>
    <r>
      <rPr>
        <sz val="10"/>
        <rFont val="Times New Roman"/>
        <family val="1"/>
      </rPr>
      <t xml:space="preserve">202-003121695 </t>
    </r>
  </si>
  <si>
    <r>
      <rPr>
        <sz val="10"/>
        <rFont val="Times New Roman"/>
        <family val="1"/>
      </rPr>
      <t xml:space="preserve">Bracket, Header Mounting, LH 4.25 Low Pro Header </t>
    </r>
  </si>
  <si>
    <r>
      <rPr>
        <sz val="10"/>
        <rFont val="Times New Roman"/>
        <family val="1"/>
      </rPr>
      <t xml:space="preserve">$113.00 </t>
    </r>
  </si>
  <si>
    <r>
      <rPr>
        <sz val="10"/>
        <rFont val="Times New Roman"/>
        <family val="1"/>
      </rPr>
      <t xml:space="preserve">202-003121696 </t>
    </r>
  </si>
  <si>
    <r>
      <rPr>
        <sz val="10"/>
        <rFont val="Times New Roman"/>
        <family val="1"/>
      </rPr>
      <t xml:space="preserve">Bracket, Header Mounting, RH 4.25 Low Pro Header </t>
    </r>
  </si>
  <si>
    <r>
      <rPr>
        <sz val="10"/>
        <rFont val="Times New Roman"/>
        <family val="1"/>
      </rPr>
      <t xml:space="preserve">202-003121697 </t>
    </r>
  </si>
  <si>
    <r>
      <rPr>
        <sz val="10"/>
        <rFont val="Times New Roman"/>
        <family val="1"/>
      </rPr>
      <t xml:space="preserve">Bracket, Cover Support 4.25 Low Pro Header </t>
    </r>
  </si>
  <si>
    <r>
      <rPr>
        <sz val="10"/>
        <rFont val="Times New Roman"/>
        <family val="1"/>
      </rPr>
      <t xml:space="preserve">$154.00 </t>
    </r>
  </si>
  <si>
    <r>
      <rPr>
        <sz val="10"/>
        <rFont val="Times New Roman"/>
        <family val="1"/>
      </rPr>
      <t xml:space="preserve">202-003121716 </t>
    </r>
  </si>
  <si>
    <r>
      <rPr>
        <sz val="10"/>
        <rFont val="Times New Roman"/>
        <family val="1"/>
      </rPr>
      <t xml:space="preserve">Block, TBG, Heel Guide </t>
    </r>
  </si>
  <si>
    <r>
      <rPr>
        <sz val="10"/>
        <rFont val="Times New Roman"/>
        <family val="1"/>
      </rPr>
      <t xml:space="preserve">$289.00 </t>
    </r>
  </si>
  <si>
    <r>
      <rPr>
        <sz val="10"/>
        <rFont val="Times New Roman"/>
        <family val="1"/>
      </rPr>
      <t xml:space="preserve">202-003121744 </t>
    </r>
  </si>
  <si>
    <r>
      <rPr>
        <sz val="10"/>
        <rFont val="Times New Roman"/>
        <family val="1"/>
      </rPr>
      <t xml:space="preserve">Bracket, Sidelite Strike Flushbolt </t>
    </r>
  </si>
  <si>
    <r>
      <rPr>
        <sz val="10"/>
        <rFont val="Times New Roman"/>
        <family val="1"/>
      </rPr>
      <t xml:space="preserve">$51.00 </t>
    </r>
  </si>
  <si>
    <r>
      <rPr>
        <sz val="10"/>
        <rFont val="Times New Roman"/>
        <family val="1"/>
      </rPr>
      <t xml:space="preserve">202-003121745 </t>
    </r>
  </si>
  <si>
    <r>
      <rPr>
        <sz val="10"/>
        <rFont val="Times New Roman"/>
        <family val="1"/>
      </rPr>
      <t xml:space="preserve">Connector, CAN End Plug </t>
    </r>
  </si>
  <si>
    <r>
      <rPr>
        <sz val="10"/>
        <rFont val="Times New Roman"/>
        <family val="1"/>
      </rPr>
      <t xml:space="preserve">$42.00 </t>
    </r>
  </si>
  <si>
    <r>
      <rPr>
        <sz val="10"/>
        <rFont val="Times New Roman"/>
        <family val="1"/>
      </rPr>
      <t xml:space="preserve">202-003121952 </t>
    </r>
  </si>
  <si>
    <r>
      <rPr>
        <sz val="10"/>
        <rFont val="Times New Roman"/>
        <family val="1"/>
      </rPr>
      <t xml:space="preserve">Bracket, Belt Clamp, 5800 </t>
    </r>
  </si>
  <si>
    <r>
      <rPr>
        <sz val="10"/>
        <rFont val="Times New Roman"/>
        <family val="1"/>
      </rPr>
      <t xml:space="preserve">$61.00 </t>
    </r>
  </si>
  <si>
    <r>
      <rPr>
        <sz val="10"/>
        <rFont val="Times New Roman"/>
        <family val="1"/>
      </rPr>
      <t xml:space="preserve">202-003122171 </t>
    </r>
  </si>
  <si>
    <r>
      <rPr>
        <sz val="10"/>
        <rFont val="Times New Roman"/>
        <family val="1"/>
      </rPr>
      <t xml:space="preserve">Flushbolt, Two Way, MS880 Adams Rite 1880 </t>
    </r>
  </si>
  <si>
    <r>
      <rPr>
        <sz val="10"/>
        <rFont val="Times New Roman"/>
        <family val="1"/>
      </rPr>
      <t xml:space="preserve">$960.00 </t>
    </r>
  </si>
  <si>
    <r>
      <rPr>
        <sz val="10"/>
        <rFont val="Times New Roman"/>
        <family val="1"/>
      </rPr>
      <t xml:space="preserve">202-003122274 </t>
    </r>
  </si>
  <si>
    <r>
      <rPr>
        <sz val="10"/>
        <rFont val="Times New Roman"/>
        <family val="1"/>
      </rPr>
      <t xml:space="preserve">Bracket, Electric Lock, VRR 20 </t>
    </r>
  </si>
  <si>
    <r>
      <rPr>
        <sz val="10"/>
        <rFont val="Times New Roman"/>
        <family val="1"/>
      </rPr>
      <t xml:space="preserve">202-003122353 </t>
    </r>
  </si>
  <si>
    <r>
      <rPr>
        <sz val="10"/>
        <rFont val="Times New Roman"/>
        <family val="1"/>
      </rPr>
      <t xml:space="preserve">BEA Jamb Mounted Touchless Activation, 10MS41J </t>
    </r>
  </si>
  <si>
    <r>
      <rPr>
        <sz val="10"/>
        <rFont val="Times New Roman"/>
        <family val="1"/>
      </rPr>
      <t xml:space="preserve">$723.00 </t>
    </r>
  </si>
  <si>
    <r>
      <rPr>
        <sz val="10"/>
        <rFont val="Times New Roman"/>
        <family val="1"/>
      </rPr>
      <t xml:space="preserve">202-003122382 </t>
    </r>
  </si>
  <si>
    <r>
      <rPr>
        <sz val="10"/>
        <rFont val="Times New Roman"/>
        <family val="1"/>
      </rPr>
      <t xml:space="preserve">Bracket, VRR Cables </t>
    </r>
  </si>
  <si>
    <r>
      <rPr>
        <sz val="10"/>
        <rFont val="Times New Roman"/>
        <family val="1"/>
      </rPr>
      <t xml:space="preserve">$125.00 </t>
    </r>
  </si>
  <si>
    <r>
      <rPr>
        <sz val="10"/>
        <rFont val="Times New Roman"/>
        <family val="1"/>
      </rPr>
      <t xml:space="preserve">202-003122446 </t>
    </r>
  </si>
  <si>
    <r>
      <rPr>
        <sz val="10"/>
        <rFont val="Times New Roman"/>
        <family val="1"/>
      </rPr>
      <t xml:space="preserve">Crimp, .0625Wire, .375long </t>
    </r>
  </si>
  <si>
    <r>
      <rPr>
        <sz val="10"/>
        <rFont val="Times New Roman"/>
        <family val="1"/>
      </rPr>
      <t xml:space="preserve">$2.00 </t>
    </r>
  </si>
  <si>
    <r>
      <rPr>
        <sz val="10"/>
        <rFont val="Times New Roman"/>
        <family val="1"/>
      </rPr>
      <t xml:space="preserve">202-003123555 </t>
    </r>
  </si>
  <si>
    <r>
      <rPr>
        <sz val="10"/>
        <rFont val="Times New Roman"/>
        <family val="1"/>
      </rPr>
      <t xml:space="preserve">Bracket, UHEP Jamb, Front HDR </t>
    </r>
  </si>
  <si>
    <r>
      <rPr>
        <sz val="10"/>
        <rFont val="Times New Roman"/>
        <family val="1"/>
      </rPr>
      <t xml:space="preserve">$108.00 </t>
    </r>
  </si>
  <si>
    <r>
      <rPr>
        <sz val="10"/>
        <rFont val="Times New Roman"/>
        <family val="1"/>
      </rPr>
      <t xml:space="preserve">202-003123556 </t>
    </r>
  </si>
  <si>
    <r>
      <rPr>
        <sz val="10"/>
        <rFont val="Times New Roman"/>
        <family val="1"/>
      </rPr>
      <t xml:space="preserve">Bracket, UHEP Jamb, Back HDR </t>
    </r>
  </si>
  <si>
    <r>
      <rPr>
        <sz val="10"/>
        <rFont val="Times New Roman"/>
        <family val="1"/>
      </rPr>
      <t xml:space="preserve">$116.00 </t>
    </r>
  </si>
  <si>
    <r>
      <rPr>
        <sz val="10"/>
        <rFont val="Times New Roman"/>
        <family val="1"/>
      </rPr>
      <t xml:space="preserve">202-003123564 </t>
    </r>
  </si>
  <si>
    <r>
      <rPr>
        <sz val="10"/>
        <rFont val="Times New Roman"/>
        <family val="1"/>
      </rPr>
      <t xml:space="preserve">Bracket,Jamb Threshold Mount </t>
    </r>
  </si>
  <si>
    <r>
      <rPr>
        <sz val="10"/>
        <rFont val="Times New Roman"/>
        <family val="1"/>
      </rPr>
      <t xml:space="preserve">$19.00 </t>
    </r>
  </si>
  <si>
    <r>
      <rPr>
        <sz val="10"/>
        <rFont val="Times New Roman"/>
        <family val="1"/>
      </rPr>
      <t xml:space="preserve">202-003123633 </t>
    </r>
  </si>
  <si>
    <r>
      <rPr>
        <sz val="10"/>
        <rFont val="Times New Roman"/>
        <family val="1"/>
      </rPr>
      <t xml:space="preserve">Spacer, 1.25 x 1 x .25, Al </t>
    </r>
  </si>
  <si>
    <r>
      <rPr>
        <sz val="10"/>
        <rFont val="Times New Roman"/>
        <family val="1"/>
      </rPr>
      <t xml:space="preserve">$4.00 </t>
    </r>
  </si>
  <si>
    <r>
      <rPr>
        <sz val="10"/>
        <rFont val="Times New Roman"/>
        <family val="1"/>
      </rPr>
      <t xml:space="preserve">202-003123738 </t>
    </r>
  </si>
  <si>
    <r>
      <rPr>
        <sz val="10"/>
        <rFont val="Times New Roman"/>
        <family val="1"/>
      </rPr>
      <t xml:space="preserve">Bumper Pad,Adhesive Back Cut-to-Length 2" </t>
    </r>
  </si>
  <si>
    <r>
      <rPr>
        <sz val="10"/>
        <rFont val="Times New Roman"/>
        <family val="1"/>
      </rPr>
      <t xml:space="preserve">202-003124272 </t>
    </r>
  </si>
  <si>
    <r>
      <rPr>
        <sz val="10"/>
        <rFont val="Times New Roman"/>
        <family val="1"/>
      </rPr>
      <t xml:space="preserve">Screw, 1/4-14 X 1/2",Phillips, Pan, SMS, Type B, Zinc </t>
    </r>
  </si>
  <si>
    <r>
      <rPr>
        <sz val="10"/>
        <rFont val="Times New Roman"/>
        <family val="1"/>
      </rPr>
      <t xml:space="preserve">202-003124834 </t>
    </r>
  </si>
  <si>
    <r>
      <rPr>
        <sz val="10"/>
        <rFont val="Times New Roman"/>
        <family val="1"/>
      </rPr>
      <t xml:space="preserve">Kit, Vestibule Pkg 900 Push Plates, RF </t>
    </r>
  </si>
  <si>
    <r>
      <rPr>
        <sz val="10"/>
        <rFont val="Times New Roman"/>
        <family val="1"/>
      </rPr>
      <t xml:space="preserve">$1,492.00 </t>
    </r>
  </si>
  <si>
    <r>
      <rPr>
        <sz val="10"/>
        <rFont val="Times New Roman"/>
        <family val="1"/>
      </rPr>
      <t xml:space="preserve">202-003124835 </t>
    </r>
  </si>
  <si>
    <r>
      <rPr>
        <sz val="10"/>
        <rFont val="Times New Roman"/>
        <family val="1"/>
      </rPr>
      <t xml:space="preserve">4.5" BEA SQ SS Push Plate Package - 900 Mhz Wireless "Push To Open" EACH </t>
    </r>
  </si>
  <si>
    <r>
      <rPr>
        <sz val="10"/>
        <rFont val="Times New Roman"/>
        <family val="1"/>
      </rPr>
      <t xml:space="preserve">$844.00 </t>
    </r>
  </si>
  <si>
    <r>
      <rPr>
        <sz val="10"/>
        <rFont val="Times New Roman"/>
        <family val="1"/>
      </rPr>
      <t xml:space="preserve">202-003125230-4 </t>
    </r>
  </si>
  <si>
    <r>
      <rPr>
        <sz val="10"/>
        <rFont val="Times New Roman"/>
        <family val="1"/>
      </rPr>
      <t xml:space="preserve">Strip, Straight, Short, Brush and Holder, 4in </t>
    </r>
  </si>
  <si>
    <r>
      <rPr>
        <sz val="10"/>
        <rFont val="Times New Roman"/>
        <family val="1"/>
      </rPr>
      <t xml:space="preserve">$11.00 </t>
    </r>
  </si>
  <si>
    <r>
      <rPr>
        <sz val="10"/>
        <rFont val="Times New Roman"/>
        <family val="1"/>
      </rPr>
      <t xml:space="preserve">202-003125233 </t>
    </r>
  </si>
  <si>
    <r>
      <rPr>
        <sz val="10"/>
        <rFont val="Times New Roman"/>
        <family val="1"/>
      </rPr>
      <t xml:space="preserve">Dongle, i-record WiDi included </t>
    </r>
  </si>
  <si>
    <r>
      <rPr>
        <sz val="10"/>
        <rFont val="Times New Roman"/>
        <family val="1"/>
      </rPr>
      <t xml:space="preserve">202-003125413 </t>
    </r>
  </si>
  <si>
    <r>
      <rPr>
        <sz val="10"/>
        <rFont val="Times New Roman"/>
        <family val="1"/>
      </rPr>
      <t xml:space="preserve">Mounting Tape, 3M VHB, | .5" Wide </t>
    </r>
  </si>
  <si>
    <r>
      <rPr>
        <sz val="10"/>
        <rFont val="Times New Roman"/>
        <family val="1"/>
      </rPr>
      <t xml:space="preserve">$6.00 </t>
    </r>
  </si>
  <si>
    <r>
      <rPr>
        <sz val="10"/>
        <rFont val="Times New Roman"/>
        <family val="1"/>
      </rPr>
      <t xml:space="preserve">202-003125484 </t>
    </r>
  </si>
  <si>
    <r>
      <rPr>
        <sz val="10"/>
        <rFont val="Times New Roman"/>
        <family val="1"/>
      </rPr>
      <t xml:space="preserve">Bracket, Lock Strike, Standard </t>
    </r>
  </si>
  <si>
    <r>
      <rPr>
        <sz val="10"/>
        <rFont val="Times New Roman"/>
        <family val="1"/>
      </rPr>
      <t xml:space="preserve">202-003125517 </t>
    </r>
  </si>
  <si>
    <r>
      <rPr>
        <sz val="10"/>
        <rFont val="Times New Roman"/>
        <family val="1"/>
      </rPr>
      <t xml:space="preserve">Bracket, Lock Strike, Telescope </t>
    </r>
  </si>
  <si>
    <r>
      <rPr>
        <sz val="10"/>
        <rFont val="Times New Roman"/>
        <family val="1"/>
      </rPr>
      <t xml:space="preserve">$62.00 </t>
    </r>
  </si>
  <si>
    <r>
      <rPr>
        <sz val="10"/>
        <rFont val="Times New Roman"/>
        <family val="1"/>
      </rPr>
      <t xml:space="preserve">202-003128082 </t>
    </r>
  </si>
  <si>
    <r>
      <rPr>
        <sz val="10"/>
        <rFont val="Times New Roman"/>
        <family val="1"/>
      </rPr>
      <t xml:space="preserve">BEA SS Single Gang Battery Powered MS51 "Wave To Open" Text &amp; Han EACH </t>
    </r>
  </si>
  <si>
    <r>
      <rPr>
        <sz val="10"/>
        <rFont val="Times New Roman"/>
        <family val="1"/>
      </rPr>
      <t xml:space="preserve">$1,218.00 </t>
    </r>
  </si>
  <si>
    <r>
      <rPr>
        <sz val="10"/>
        <rFont val="Times New Roman"/>
        <family val="1"/>
      </rPr>
      <t xml:space="preserve">202-003812205 </t>
    </r>
  </si>
  <si>
    <r>
      <rPr>
        <sz val="10"/>
        <rFont val="Times New Roman"/>
        <family val="1"/>
      </rPr>
      <t xml:space="preserve">Motordrive-Plate Assembly System 20, with Brake </t>
    </r>
  </si>
  <si>
    <r>
      <rPr>
        <sz val="10"/>
        <rFont val="Times New Roman"/>
        <family val="1"/>
      </rPr>
      <t xml:space="preserve">$2,901.00 </t>
    </r>
  </si>
  <si>
    <r>
      <rPr>
        <sz val="10"/>
        <rFont val="Times New Roman"/>
        <family val="1"/>
      </rPr>
      <t xml:space="preserve">202-003812218 </t>
    </r>
  </si>
  <si>
    <r>
      <rPr>
        <sz val="10"/>
        <rFont val="Times New Roman"/>
        <family val="1"/>
      </rPr>
      <t xml:space="preserve">Kit, Conversion,Stanley 2000 Series, Locking      (SN) </t>
    </r>
  </si>
  <si>
    <r>
      <rPr>
        <sz val="10"/>
        <rFont val="Times New Roman"/>
        <family val="1"/>
      </rPr>
      <t xml:space="preserve">$6,575.00 </t>
    </r>
  </si>
  <si>
    <r>
      <rPr>
        <sz val="10"/>
        <rFont val="Times New Roman"/>
        <family val="1"/>
      </rPr>
      <t xml:space="preserve">202-003812265 </t>
    </r>
  </si>
  <si>
    <r>
      <rPr>
        <sz val="10"/>
        <rFont val="Times New Roman"/>
        <family val="1"/>
      </rPr>
      <t xml:space="preserve">PIN GUIDE ASSEMBLY 5200 FULL BREAKOUT SERIES </t>
    </r>
  </si>
  <si>
    <r>
      <rPr>
        <sz val="10"/>
        <rFont val="Times New Roman"/>
        <family val="1"/>
      </rPr>
      <t xml:space="preserve">$104.00 </t>
    </r>
  </si>
  <si>
    <r>
      <rPr>
        <sz val="10"/>
        <rFont val="Times New Roman"/>
        <family val="1"/>
      </rPr>
      <t xml:space="preserve">202-003812714 </t>
    </r>
  </si>
  <si>
    <r>
      <rPr>
        <sz val="10"/>
        <rFont val="Times New Roman"/>
        <family val="1"/>
      </rPr>
      <t xml:space="preserve">Kit, Conversion, Stanley, 2000 Series, Standard          (SN) </t>
    </r>
  </si>
  <si>
    <r>
      <rPr>
        <sz val="10"/>
        <rFont val="Times New Roman"/>
        <family val="1"/>
      </rPr>
      <t xml:space="preserve">$5,642.00 </t>
    </r>
  </si>
  <si>
    <r>
      <rPr>
        <sz val="10"/>
        <rFont val="Times New Roman"/>
        <family val="1"/>
      </rPr>
      <t xml:space="preserve">202-003813049 </t>
    </r>
  </si>
  <si>
    <r>
      <rPr>
        <sz val="10"/>
        <rFont val="Times New Roman"/>
        <family val="1"/>
      </rPr>
      <t xml:space="preserve">Control Module, Display with Long Cable </t>
    </r>
  </si>
  <si>
    <r>
      <rPr>
        <sz val="10"/>
        <rFont val="Times New Roman"/>
        <family val="1"/>
      </rPr>
      <t xml:space="preserve">$829.00 </t>
    </r>
  </si>
  <si>
    <r>
      <rPr>
        <sz val="10"/>
        <rFont val="Times New Roman"/>
        <family val="1"/>
      </rPr>
      <t xml:space="preserve">202-003813999 </t>
    </r>
  </si>
  <si>
    <r>
      <rPr>
        <sz val="10"/>
        <rFont val="Times New Roman"/>
        <family val="1"/>
      </rPr>
      <t xml:space="preserve">Bottom Guide, NBO, Floor Mounted </t>
    </r>
  </si>
  <si>
    <r>
      <rPr>
        <sz val="10"/>
        <rFont val="Times New Roman"/>
        <family val="1"/>
      </rPr>
      <t xml:space="preserve">$22.00 </t>
    </r>
  </si>
  <si>
    <r>
      <rPr>
        <sz val="10"/>
        <rFont val="Times New Roman"/>
        <family val="1"/>
      </rPr>
      <t xml:space="preserve">202-003814184 </t>
    </r>
  </si>
  <si>
    <r>
      <rPr>
        <sz val="10"/>
        <rFont val="Times New Roman"/>
        <family val="1"/>
      </rPr>
      <t xml:space="preserve">Bottom Guide Ass'y, TBG Max Open, RH </t>
    </r>
  </si>
  <si>
    <r>
      <rPr>
        <sz val="10"/>
        <rFont val="Times New Roman"/>
        <family val="1"/>
      </rPr>
      <t xml:space="preserve">$303.00 </t>
    </r>
  </si>
  <si>
    <r>
      <rPr>
        <sz val="10"/>
        <rFont val="Times New Roman"/>
        <family val="1"/>
      </rPr>
      <t xml:space="preserve">202-003814185 </t>
    </r>
  </si>
  <si>
    <r>
      <rPr>
        <sz val="10"/>
        <rFont val="Times New Roman"/>
        <family val="1"/>
      </rPr>
      <t xml:space="preserve">Bottom Guide Ass'y, TBG Max Open, LH </t>
    </r>
  </si>
  <si>
    <r>
      <rPr>
        <sz val="10"/>
        <rFont val="Times New Roman"/>
        <family val="1"/>
      </rPr>
      <t xml:space="preserve">202-003814202 </t>
    </r>
  </si>
  <si>
    <r>
      <rPr>
        <sz val="10"/>
        <rFont val="Times New Roman"/>
        <family val="1"/>
      </rPr>
      <t xml:space="preserve">Assy, Electric Lock, VRR 20, Motorized </t>
    </r>
  </si>
  <si>
    <r>
      <rPr>
        <sz val="10"/>
        <rFont val="Times New Roman"/>
        <family val="1"/>
      </rPr>
      <t xml:space="preserve">$1,031.00 </t>
    </r>
  </si>
  <si>
    <r>
      <rPr>
        <sz val="10"/>
        <rFont val="Times New Roman"/>
        <family val="1"/>
      </rPr>
      <t xml:space="preserve">202-003814817 </t>
    </r>
  </si>
  <si>
    <r>
      <rPr>
        <sz val="10"/>
        <rFont val="Times New Roman"/>
        <family val="1"/>
      </rPr>
      <t xml:space="preserve">Bracket,Flushbolt-Magnet&amp; Switch Assembly </t>
    </r>
  </si>
  <si>
    <r>
      <rPr>
        <sz val="10"/>
        <rFont val="Times New Roman"/>
        <family val="1"/>
      </rPr>
      <t xml:space="preserve">202-003814848 </t>
    </r>
  </si>
  <si>
    <r>
      <rPr>
        <sz val="10"/>
        <rFont val="Times New Roman"/>
        <family val="1"/>
      </rPr>
      <t xml:space="preserve">Kit, UHEP Jamb, Back HDR </t>
    </r>
  </si>
  <si>
    <r>
      <rPr>
        <sz val="10"/>
        <rFont val="Times New Roman"/>
        <family val="1"/>
      </rPr>
      <t xml:space="preserve">202-003814849 </t>
    </r>
  </si>
  <si>
    <r>
      <rPr>
        <sz val="10"/>
        <rFont val="Times New Roman"/>
        <family val="1"/>
      </rPr>
      <t xml:space="preserve">Kit, UHEP Jamb, Front HDR </t>
    </r>
  </si>
  <si>
    <r>
      <rPr>
        <sz val="10"/>
        <rFont val="Times New Roman"/>
        <family val="1"/>
      </rPr>
      <t xml:space="preserve">$114.00 </t>
    </r>
  </si>
  <si>
    <r>
      <rPr>
        <sz val="10"/>
        <rFont val="Times New Roman"/>
        <family val="1"/>
      </rPr>
      <t xml:space="preserve">202-003814850 </t>
    </r>
  </si>
  <si>
    <r>
      <rPr>
        <sz val="10"/>
        <rFont val="Times New Roman"/>
        <family val="1"/>
      </rPr>
      <t xml:space="preserve">Kit, Jamb, Threshold Mount </t>
    </r>
  </si>
  <si>
    <r>
      <rPr>
        <sz val="10"/>
        <rFont val="Times New Roman"/>
        <family val="1"/>
      </rPr>
      <t xml:space="preserve">$25.00 </t>
    </r>
  </si>
  <si>
    <r>
      <rPr>
        <sz val="10"/>
        <rFont val="Times New Roman"/>
        <family val="1"/>
      </rPr>
      <t xml:space="preserve">202-003815622 </t>
    </r>
  </si>
  <si>
    <r>
      <rPr>
        <sz val="10"/>
        <rFont val="Times New Roman"/>
        <family val="1"/>
      </rPr>
      <t xml:space="preserve">Kit, ElectroMechanical Locking Device w/Override (5800) </t>
    </r>
  </si>
  <si>
    <r>
      <rPr>
        <sz val="10"/>
        <rFont val="Times New Roman"/>
        <family val="1"/>
      </rPr>
      <t xml:space="preserve">$1,997.00 </t>
    </r>
  </si>
  <si>
    <r>
      <rPr>
        <sz val="10"/>
        <rFont val="Times New Roman"/>
        <family val="1"/>
      </rPr>
      <t xml:space="preserve">202-003815662 </t>
    </r>
  </si>
  <si>
    <r>
      <rPr>
        <sz val="10"/>
        <rFont val="Times New Roman"/>
        <family val="1"/>
      </rPr>
      <t xml:space="preserve">Seal Assembly,FBO All Glass Over 87" </t>
    </r>
  </si>
  <si>
    <r>
      <rPr>
        <sz val="10"/>
        <rFont val="Times New Roman"/>
        <family val="1"/>
      </rPr>
      <t xml:space="preserve">$400.00 </t>
    </r>
  </si>
  <si>
    <r>
      <rPr>
        <sz val="10"/>
        <rFont val="Times New Roman"/>
        <family val="1"/>
      </rPr>
      <t xml:space="preserve">202-003815700 </t>
    </r>
  </si>
  <si>
    <r>
      <rPr>
        <sz val="10"/>
        <rFont val="Times New Roman"/>
        <family val="1"/>
      </rPr>
      <t xml:space="preserve">Seal Assembly,FBO All Glass Under 87" </t>
    </r>
  </si>
  <si>
    <r>
      <rPr>
        <sz val="10"/>
        <rFont val="Times New Roman"/>
        <family val="1"/>
      </rPr>
      <t xml:space="preserve">202-003815706 </t>
    </r>
  </si>
  <si>
    <r>
      <rPr>
        <sz val="10"/>
        <rFont val="Times New Roman"/>
        <family val="1"/>
      </rPr>
      <t xml:space="preserve">VRR 51 Lock, Electric, Fail Secure </t>
    </r>
  </si>
  <si>
    <r>
      <rPr>
        <sz val="10"/>
        <rFont val="Times New Roman"/>
        <family val="1"/>
      </rPr>
      <t xml:space="preserve">$894.00 </t>
    </r>
  </si>
  <si>
    <r>
      <rPr>
        <sz val="8"/>
        <rFont val="Times New Roman"/>
        <family val="1"/>
      </rPr>
      <t xml:space="preserve">Page 2 of  21 </t>
    </r>
  </si>
  <si>
    <r>
      <rPr>
        <sz val="10"/>
        <rFont val="Times New Roman"/>
        <family val="1"/>
      </rPr>
      <t xml:space="preserve">202-003815735 </t>
    </r>
  </si>
  <si>
    <r>
      <rPr>
        <sz val="10"/>
        <rFont val="Times New Roman"/>
        <family val="1"/>
      </rPr>
      <t xml:space="preserve">VRR 51 Lock Kit, Bi-part, Fail Safe </t>
    </r>
  </si>
  <si>
    <r>
      <rPr>
        <sz val="10"/>
        <rFont val="Times New Roman"/>
        <family val="1"/>
      </rPr>
      <t xml:space="preserve">$2,026.00 </t>
    </r>
  </si>
  <si>
    <r>
      <rPr>
        <sz val="10"/>
        <rFont val="Times New Roman"/>
        <family val="1"/>
      </rPr>
      <t xml:space="preserve">202-003815736 </t>
    </r>
  </si>
  <si>
    <r>
      <rPr>
        <sz val="10"/>
        <rFont val="Times New Roman"/>
        <family val="1"/>
      </rPr>
      <t xml:space="preserve">VRR 51 Lock Kit, Bi-part, Fail Secure </t>
    </r>
  </si>
  <si>
    <r>
      <rPr>
        <sz val="10"/>
        <rFont val="Times New Roman"/>
        <family val="1"/>
      </rPr>
      <t xml:space="preserve">202-003815737 </t>
    </r>
  </si>
  <si>
    <r>
      <rPr>
        <sz val="10"/>
        <rFont val="Times New Roman"/>
        <family val="1"/>
      </rPr>
      <t xml:space="preserve">VRR 51 Lock Kit, Bi-Part, Fail Safe, Telescope </t>
    </r>
  </si>
  <si>
    <r>
      <rPr>
        <sz val="10"/>
        <rFont val="Times New Roman"/>
        <family val="1"/>
      </rPr>
      <t xml:space="preserve">202-003815738 </t>
    </r>
  </si>
  <si>
    <r>
      <rPr>
        <sz val="10"/>
        <rFont val="Times New Roman"/>
        <family val="1"/>
      </rPr>
      <t xml:space="preserve">VRR 51 Lock Kit, Bi-part Fail Secure, Telescope </t>
    </r>
  </si>
  <si>
    <r>
      <rPr>
        <sz val="10"/>
        <rFont val="Times New Roman"/>
        <family val="1"/>
      </rPr>
      <t xml:space="preserve">202-003815747 </t>
    </r>
  </si>
  <si>
    <r>
      <rPr>
        <sz val="10"/>
        <rFont val="Times New Roman"/>
        <family val="1"/>
      </rPr>
      <t xml:space="preserve">VRR 51 Lock, Electric, Fail Secure, Monitored </t>
    </r>
  </si>
  <si>
    <r>
      <rPr>
        <sz val="10"/>
        <rFont val="Times New Roman"/>
        <family val="1"/>
      </rPr>
      <t xml:space="preserve">202-003815775 </t>
    </r>
  </si>
  <si>
    <r>
      <rPr>
        <sz val="10"/>
        <rFont val="Times New Roman"/>
        <family val="1"/>
      </rPr>
      <t xml:space="preserve">Kit, Security Monitor Switch </t>
    </r>
  </si>
  <si>
    <r>
      <rPr>
        <sz val="10"/>
        <rFont val="Times New Roman"/>
        <family val="1"/>
      </rPr>
      <t xml:space="preserve">202-003815978 </t>
    </r>
  </si>
  <si>
    <r>
      <rPr>
        <sz val="10"/>
        <rFont val="Times New Roman"/>
        <family val="1"/>
      </rPr>
      <t xml:space="preserve">VRR 51 Lock, Electric, Fail Safe, Monitored </t>
    </r>
  </si>
  <si>
    <r>
      <rPr>
        <sz val="10"/>
        <rFont val="Times New Roman"/>
        <family val="1"/>
      </rPr>
      <t xml:space="preserve">202-003816316 </t>
    </r>
  </si>
  <si>
    <r>
      <rPr>
        <sz val="10"/>
        <rFont val="Times New Roman"/>
        <family val="1"/>
      </rPr>
      <t xml:space="preserve">Transom Sag Rod Hardware Kit (Threaded Rod Sold Separately) </t>
    </r>
  </si>
  <si>
    <r>
      <rPr>
        <sz val="10"/>
        <rFont val="Times New Roman"/>
        <family val="1"/>
      </rPr>
      <t xml:space="preserve">$270.00 </t>
    </r>
  </si>
  <si>
    <r>
      <rPr>
        <sz val="10"/>
        <rFont val="Times New Roman"/>
        <family val="1"/>
      </rPr>
      <t xml:space="preserve">202-003816638 </t>
    </r>
  </si>
  <si>
    <r>
      <rPr>
        <sz val="10"/>
        <rFont val="Times New Roman"/>
        <family val="1"/>
      </rPr>
      <t xml:space="preserve">SA Floor Clip Kit </t>
    </r>
  </si>
  <si>
    <r>
      <rPr>
        <sz val="10"/>
        <rFont val="Times New Roman"/>
        <family val="1"/>
      </rPr>
      <t xml:space="preserve">$37.00 </t>
    </r>
  </si>
  <si>
    <r>
      <rPr>
        <sz val="10"/>
        <rFont val="Times New Roman"/>
        <family val="1"/>
      </rPr>
      <t xml:space="preserve">202-004119287CL </t>
    </r>
  </si>
  <si>
    <r>
      <rPr>
        <sz val="10"/>
        <rFont val="Times New Roman"/>
        <family val="1"/>
      </rPr>
      <t xml:space="preserve">Cover (5800), 4.25" 24' Length </t>
    </r>
  </si>
  <si>
    <r>
      <rPr>
        <sz val="10"/>
        <rFont val="Times New Roman"/>
        <family val="1"/>
      </rPr>
      <t xml:space="preserve">202-004124191 </t>
    </r>
  </si>
  <si>
    <r>
      <rPr>
        <sz val="10"/>
        <rFont val="Times New Roman"/>
        <family val="1"/>
      </rPr>
      <t xml:space="preserve">Strike, Positive Latch SS/CR </t>
    </r>
  </si>
  <si>
    <r>
      <rPr>
        <sz val="10"/>
        <rFont val="Times New Roman"/>
        <family val="1"/>
      </rPr>
      <t xml:space="preserve">$9.00 </t>
    </r>
  </si>
  <si>
    <r>
      <rPr>
        <sz val="10"/>
        <rFont val="Times New Roman"/>
        <family val="1"/>
      </rPr>
      <t xml:space="preserve">202-004126970 </t>
    </r>
  </si>
  <si>
    <r>
      <rPr>
        <sz val="10"/>
        <rFont val="Times New Roman"/>
        <family val="1"/>
      </rPr>
      <t xml:space="preserve">Pin, Positive Latch (0.2 X 1.2 Long, 12-24 Threads </t>
    </r>
  </si>
  <si>
    <r>
      <rPr>
        <sz val="10"/>
        <rFont val="Times New Roman"/>
        <family val="1"/>
      </rPr>
      <t xml:space="preserve">202-005118899 </t>
    </r>
  </si>
  <si>
    <r>
      <rPr>
        <sz val="10"/>
        <rFont val="Times New Roman"/>
        <family val="1"/>
      </rPr>
      <t xml:space="preserve">BEA Bollard Mounting Post, Silver *DROPSHIP* </t>
    </r>
  </si>
  <si>
    <r>
      <rPr>
        <sz val="10"/>
        <rFont val="Times New Roman"/>
        <family val="1"/>
      </rPr>
      <t xml:space="preserve">$817.00 </t>
    </r>
  </si>
  <si>
    <r>
      <rPr>
        <sz val="10"/>
        <rFont val="Times New Roman"/>
        <family val="1"/>
      </rPr>
      <t xml:space="preserve">202-005118900 </t>
    </r>
  </si>
  <si>
    <r>
      <rPr>
        <sz val="10"/>
        <rFont val="Times New Roman"/>
        <family val="1"/>
      </rPr>
      <t xml:space="preserve">BEA Bollard Mounting Post, Black *DROPSHIP* </t>
    </r>
  </si>
  <si>
    <r>
      <rPr>
        <sz val="10"/>
        <rFont val="Times New Roman"/>
        <family val="1"/>
      </rPr>
      <t xml:space="preserve">202-005118901 </t>
    </r>
  </si>
  <si>
    <r>
      <rPr>
        <sz val="10"/>
        <rFont val="Times New Roman"/>
        <family val="1"/>
      </rPr>
      <t xml:space="preserve">BEA Bollard Mounting Post, Dark Bronze *DROP SHIP* </t>
    </r>
  </si>
  <si>
    <r>
      <rPr>
        <sz val="10"/>
        <rFont val="Times New Roman"/>
        <family val="1"/>
      </rPr>
      <t xml:space="preserve">202-005118905 </t>
    </r>
  </si>
  <si>
    <r>
      <rPr>
        <sz val="10"/>
        <rFont val="Times New Roman"/>
        <family val="1"/>
      </rPr>
      <t xml:space="preserve">Touchless Activation MS11 "SS" Single"Wave to Open (OBSOLETE) </t>
    </r>
  </si>
  <si>
    <r>
      <rPr>
        <sz val="10"/>
        <rFont val="Times New Roman"/>
        <family val="1"/>
      </rPr>
      <t xml:space="preserve">$728.00 </t>
    </r>
  </si>
  <si>
    <r>
      <rPr>
        <sz val="10"/>
        <rFont val="Times New Roman"/>
        <family val="1"/>
      </rPr>
      <t xml:space="preserve">202-005118906 </t>
    </r>
  </si>
  <si>
    <r>
      <rPr>
        <sz val="10"/>
        <rFont val="Times New Roman"/>
        <family val="1"/>
      </rPr>
      <t xml:space="preserve">Touchless Activation,MS11,"SS" Double"Wave to Open" OBSOLETE </t>
    </r>
  </si>
  <si>
    <r>
      <rPr>
        <sz val="10"/>
        <rFont val="Times New Roman"/>
        <family val="1"/>
      </rPr>
      <t xml:space="preserve">$768.00 </t>
    </r>
  </si>
  <si>
    <r>
      <rPr>
        <sz val="10"/>
        <rFont val="Times New Roman"/>
        <family val="1"/>
      </rPr>
      <t xml:space="preserve">202-005118907 </t>
    </r>
  </si>
  <si>
    <r>
      <rPr>
        <sz val="10"/>
        <rFont val="Times New Roman"/>
        <family val="1"/>
      </rPr>
      <t xml:space="preserve">BEA Black Single &amp; Double Gang MS31 Text &amp; Hand Logo </t>
    </r>
  </si>
  <si>
    <r>
      <rPr>
        <sz val="10"/>
        <rFont val="Times New Roman"/>
        <family val="1"/>
      </rPr>
      <t xml:space="preserve">$717.00 </t>
    </r>
  </si>
  <si>
    <r>
      <rPr>
        <sz val="10"/>
        <rFont val="Times New Roman"/>
        <family val="1"/>
      </rPr>
      <t xml:space="preserve">202-005118908 </t>
    </r>
  </si>
  <si>
    <r>
      <rPr>
        <sz val="10"/>
        <rFont val="Times New Roman"/>
        <family val="1"/>
      </rPr>
      <t xml:space="preserve">BEA Gray Single &amp; Double Gang MS31 Text &amp; Hand Logo </t>
    </r>
  </si>
  <si>
    <r>
      <rPr>
        <sz val="10"/>
        <rFont val="Times New Roman"/>
        <family val="1"/>
      </rPr>
      <t xml:space="preserve">202-005118910 </t>
    </r>
  </si>
  <si>
    <r>
      <rPr>
        <sz val="10"/>
        <rFont val="Times New Roman"/>
        <family val="1"/>
      </rPr>
      <t xml:space="preserve">Surface Mount Box,BEA for 4.5x4.5 Push Plates </t>
    </r>
  </si>
  <si>
    <r>
      <rPr>
        <sz val="10"/>
        <rFont val="Times New Roman"/>
        <family val="1"/>
      </rPr>
      <t xml:space="preserve">202-005118914 </t>
    </r>
  </si>
  <si>
    <r>
      <rPr>
        <sz val="10"/>
        <rFont val="Times New Roman"/>
        <family val="1"/>
      </rPr>
      <t xml:space="preserve">BEA Push Plate, Jamb SS,HC Push to Open </t>
    </r>
  </si>
  <si>
    <r>
      <rPr>
        <sz val="10"/>
        <rFont val="Times New Roman"/>
        <family val="1"/>
      </rPr>
      <t xml:space="preserve">$128.00 </t>
    </r>
  </si>
  <si>
    <r>
      <rPr>
        <sz val="10"/>
        <rFont val="Times New Roman"/>
        <family val="1"/>
      </rPr>
      <t xml:space="preserve">202-005120781 </t>
    </r>
  </si>
  <si>
    <r>
      <rPr>
        <sz val="10"/>
        <rFont val="Times New Roman"/>
        <family val="1"/>
      </rPr>
      <t xml:space="preserve">Bearing Block, Pivot, Heavy Duty </t>
    </r>
  </si>
  <si>
    <r>
      <rPr>
        <sz val="10"/>
        <rFont val="Times New Roman"/>
        <family val="1"/>
      </rPr>
      <t xml:space="preserve">$36.00 </t>
    </r>
  </si>
  <si>
    <r>
      <rPr>
        <sz val="10"/>
        <rFont val="Times New Roman"/>
        <family val="1"/>
      </rPr>
      <t xml:space="preserve">202-005121570 </t>
    </r>
  </si>
  <si>
    <r>
      <rPr>
        <sz val="10"/>
        <rFont val="Times New Roman"/>
        <family val="1"/>
      </rPr>
      <t xml:space="preserve">End Cap, Header, 8000, BDED Cut-out, Simple Swing </t>
    </r>
  </si>
  <si>
    <r>
      <rPr>
        <sz val="10"/>
        <rFont val="Times New Roman"/>
        <family val="1"/>
      </rPr>
      <t xml:space="preserve">202-005121578 </t>
    </r>
  </si>
  <si>
    <r>
      <rPr>
        <sz val="10"/>
        <rFont val="Times New Roman"/>
        <family val="1"/>
      </rPr>
      <t xml:space="preserve">Bracket, Header to Jamb, BDED Simple Swing, Left Hand </t>
    </r>
  </si>
  <si>
    <r>
      <rPr>
        <sz val="10"/>
        <rFont val="Times New Roman"/>
        <family val="1"/>
      </rPr>
      <t xml:space="preserve">202-005121579 </t>
    </r>
  </si>
  <si>
    <r>
      <rPr>
        <sz val="10"/>
        <rFont val="Times New Roman"/>
        <family val="1"/>
      </rPr>
      <t xml:space="preserve">Bracket, Header to Jamb, BDED Simple Swing, Right Hand </t>
    </r>
  </si>
  <si>
    <r>
      <rPr>
        <sz val="10"/>
        <rFont val="Times New Roman"/>
        <family val="1"/>
      </rPr>
      <t xml:space="preserve">202-005122379 </t>
    </r>
  </si>
  <si>
    <r>
      <rPr>
        <sz val="10"/>
        <rFont val="Times New Roman"/>
        <family val="1"/>
      </rPr>
      <t xml:space="preserve">BEA 10BR3X 3-Relay Logic | module </t>
    </r>
  </si>
  <si>
    <r>
      <rPr>
        <sz val="10"/>
        <rFont val="Times New Roman"/>
        <family val="1"/>
      </rPr>
      <t xml:space="preserve">$304.00 </t>
    </r>
  </si>
  <si>
    <r>
      <rPr>
        <sz val="10"/>
        <rFont val="Times New Roman"/>
        <family val="1"/>
      </rPr>
      <t xml:space="preserve">202-005123256 </t>
    </r>
  </si>
  <si>
    <r>
      <rPr>
        <sz val="10"/>
        <rFont val="Times New Roman"/>
        <family val="1"/>
      </rPr>
      <t xml:space="preserve">LZR FLATSCAN SWB,BEA,kit,black OnDoor Presence Sensors,Mon. </t>
    </r>
  </si>
  <si>
    <r>
      <rPr>
        <sz val="10"/>
        <rFont val="Times New Roman"/>
        <family val="1"/>
      </rPr>
      <t xml:space="preserve">$2,578.00 </t>
    </r>
  </si>
  <si>
    <r>
      <rPr>
        <sz val="10"/>
        <rFont val="Times New Roman"/>
        <family val="1"/>
      </rPr>
      <t xml:space="preserve">202-005124243 </t>
    </r>
  </si>
  <si>
    <r>
      <rPr>
        <sz val="10"/>
        <rFont val="Times New Roman"/>
        <family val="1"/>
      </rPr>
      <t xml:space="preserve">4.5"x4.5" BEA Black SQ Push Plate Flush Mounting Box </t>
    </r>
  </si>
  <si>
    <r>
      <rPr>
        <sz val="10"/>
        <rFont val="Times New Roman"/>
        <family val="1"/>
      </rPr>
      <t xml:space="preserve">$98.00 </t>
    </r>
  </si>
  <si>
    <r>
      <rPr>
        <sz val="10"/>
        <rFont val="Times New Roman"/>
        <family val="1"/>
      </rPr>
      <t xml:space="preserve">202-005124412 </t>
    </r>
  </si>
  <si>
    <r>
      <rPr>
        <sz val="10"/>
        <rFont val="Times New Roman"/>
        <family val="1"/>
      </rPr>
      <t xml:space="preserve">CM-330 Battery Powered Hands- free Surewave Switch </t>
    </r>
  </si>
  <si>
    <r>
      <rPr>
        <sz val="10"/>
        <rFont val="Times New Roman"/>
        <family val="1"/>
      </rPr>
      <t xml:space="preserve">$831.00 </t>
    </r>
  </si>
  <si>
    <r>
      <rPr>
        <sz val="10"/>
        <rFont val="Times New Roman"/>
        <family val="1"/>
      </rPr>
      <t xml:space="preserve">202-005124413 </t>
    </r>
  </si>
  <si>
    <r>
      <rPr>
        <sz val="10"/>
        <rFont val="Times New Roman"/>
        <family val="1"/>
      </rPr>
      <t xml:space="preserve">CM-RX90 Wireless Reciever </t>
    </r>
  </si>
  <si>
    <r>
      <rPr>
        <sz val="10"/>
        <rFont val="Times New Roman"/>
        <family val="1"/>
      </rPr>
      <t xml:space="preserve">$262.00 </t>
    </r>
  </si>
  <si>
    <r>
      <rPr>
        <sz val="10"/>
        <rFont val="Times New Roman"/>
        <family val="1"/>
      </rPr>
      <t xml:space="preserve">202-005124604 </t>
    </r>
  </si>
  <si>
    <r>
      <rPr>
        <sz val="10"/>
        <rFont val="Times New Roman"/>
        <family val="1"/>
      </rPr>
      <t xml:space="preserve">Mounting Block, HD Pivot, Shim medium stile </t>
    </r>
  </si>
  <si>
    <r>
      <rPr>
        <sz val="10"/>
        <rFont val="Times New Roman"/>
        <family val="1"/>
      </rPr>
      <t xml:space="preserve">202-005124934 </t>
    </r>
  </si>
  <si>
    <r>
      <rPr>
        <sz val="10"/>
        <rFont val="Times New Roman"/>
        <family val="1"/>
      </rPr>
      <t xml:space="preserve">BEA 10IRA, Ixio Deluxe Rain Cover </t>
    </r>
  </si>
  <si>
    <r>
      <rPr>
        <sz val="10"/>
        <rFont val="Times New Roman"/>
        <family val="1"/>
      </rPr>
      <t xml:space="preserve">$192.00 </t>
    </r>
  </si>
  <si>
    <r>
      <rPr>
        <sz val="10"/>
        <rFont val="Times New Roman"/>
        <family val="1"/>
      </rPr>
      <t xml:space="preserve">202-005125285 </t>
    </r>
  </si>
  <si>
    <r>
      <rPr>
        <sz val="10"/>
        <rFont val="Times New Roman"/>
        <family val="1"/>
      </rPr>
      <t xml:space="preserve">Kit, Activation, Restroom Kit, BEA, Wireless **DROP SHIP** </t>
    </r>
  </si>
  <si>
    <r>
      <rPr>
        <sz val="10"/>
        <rFont val="Times New Roman"/>
        <family val="1"/>
      </rPr>
      <t xml:space="preserve">$711.00 </t>
    </r>
  </si>
  <si>
    <r>
      <rPr>
        <sz val="10"/>
        <rFont val="Times New Roman"/>
        <family val="1"/>
      </rPr>
      <t xml:space="preserve">202-005125437 </t>
    </r>
  </si>
  <si>
    <r>
      <rPr>
        <sz val="10"/>
        <rFont val="Times New Roman"/>
        <family val="1"/>
      </rPr>
      <t xml:space="preserve">BEA SS Single Gang MS41 "Wave To Open" Text &amp; Hand Logo </t>
    </r>
  </si>
  <si>
    <r>
      <rPr>
        <sz val="10"/>
        <rFont val="Times New Roman"/>
        <family val="1"/>
      </rPr>
      <t xml:space="preserve">$735.00 </t>
    </r>
  </si>
  <si>
    <r>
      <rPr>
        <sz val="10"/>
        <rFont val="Times New Roman"/>
        <family val="1"/>
      </rPr>
      <t xml:space="preserve">202-005125438 </t>
    </r>
  </si>
  <si>
    <r>
      <rPr>
        <sz val="10"/>
        <rFont val="Times New Roman"/>
        <family val="1"/>
      </rPr>
      <t xml:space="preserve">$770.00 </t>
    </r>
  </si>
  <si>
    <r>
      <rPr>
        <sz val="10"/>
        <rFont val="Times New Roman"/>
        <family val="1"/>
      </rPr>
      <t xml:space="preserve">202-005126121 </t>
    </r>
  </si>
  <si>
    <r>
      <rPr>
        <sz val="10"/>
        <rFont val="Times New Roman"/>
        <family val="1"/>
      </rPr>
      <t xml:space="preserve">Bracket, Display Mount, Internal </t>
    </r>
  </si>
  <si>
    <r>
      <rPr>
        <sz val="10"/>
        <rFont val="Times New Roman"/>
        <family val="1"/>
      </rPr>
      <t xml:space="preserve">202-005127521 </t>
    </r>
  </si>
  <si>
    <r>
      <rPr>
        <sz val="10"/>
        <rFont val="Times New Roman"/>
        <family val="1"/>
      </rPr>
      <t xml:space="preserve">Simpleswing Spindle Cover </t>
    </r>
  </si>
  <si>
    <r>
      <rPr>
        <sz val="10"/>
        <rFont val="Times New Roman"/>
        <family val="1"/>
      </rPr>
      <t xml:space="preserve">202-00518912 </t>
    </r>
  </si>
  <si>
    <r>
      <rPr>
        <sz val="10"/>
        <rFont val="Times New Roman"/>
        <family val="1"/>
      </rPr>
      <t xml:space="preserve">BEA Surface Mount Box 1.5 x 4.75" 10BOXJAMBSM </t>
    </r>
  </si>
  <si>
    <r>
      <rPr>
        <sz val="10"/>
        <rFont val="Times New Roman"/>
        <family val="1"/>
      </rPr>
      <t xml:space="preserve">$57.00 </t>
    </r>
  </si>
  <si>
    <r>
      <rPr>
        <sz val="10"/>
        <rFont val="Times New Roman"/>
        <family val="1"/>
      </rPr>
      <t xml:space="preserve">202-005812190 </t>
    </r>
  </si>
  <si>
    <r>
      <rPr>
        <sz val="10"/>
        <rFont val="Times New Roman"/>
        <family val="1"/>
      </rPr>
      <t xml:space="preserve">Kit, 8600 Sensors, Single Door *DROP SHIP* 10LZRMICROSCAN1690 </t>
    </r>
  </si>
  <si>
    <r>
      <rPr>
        <sz val="10"/>
        <rFont val="Times New Roman"/>
        <family val="1"/>
      </rPr>
      <t xml:space="preserve">$3,637.00 </t>
    </r>
  </si>
  <si>
    <r>
      <rPr>
        <sz val="10"/>
        <rFont val="Times New Roman"/>
        <family val="1"/>
      </rPr>
      <t xml:space="preserve">202-005812191 </t>
    </r>
  </si>
  <si>
    <r>
      <rPr>
        <sz val="10"/>
        <rFont val="Times New Roman"/>
        <family val="1"/>
      </rPr>
      <t xml:space="preserve">Kit8600SensorsDbleDoorDROPSHIP 2-10EAGLES 10LZRMICROSCAN26EACH </t>
    </r>
  </si>
  <si>
    <r>
      <rPr>
        <sz val="10"/>
        <rFont val="Times New Roman"/>
        <family val="1"/>
      </rPr>
      <t xml:space="preserve">$5,196.00 </t>
    </r>
  </si>
  <si>
    <r>
      <rPr>
        <sz val="10"/>
        <rFont val="Times New Roman"/>
        <family val="1"/>
      </rPr>
      <t xml:space="preserve">202-005812192 </t>
    </r>
  </si>
  <si>
    <r>
      <rPr>
        <sz val="10"/>
        <rFont val="Times New Roman"/>
        <family val="1"/>
      </rPr>
      <t xml:space="preserve">Kit, 8600 Sensor,Double-Egress 10LZRMICROSCAN2DE690 DROP SHIP EACH </t>
    </r>
  </si>
  <si>
    <r>
      <rPr>
        <sz val="10"/>
        <rFont val="Times New Roman"/>
        <family val="1"/>
      </rPr>
      <t xml:space="preserve">$7,881.00 </t>
    </r>
  </si>
  <si>
    <r>
      <rPr>
        <sz val="10"/>
        <rFont val="Times New Roman"/>
        <family val="1"/>
      </rPr>
      <t xml:space="preserve">202-005812669 </t>
    </r>
  </si>
  <si>
    <r>
      <rPr>
        <sz val="10"/>
        <rFont val="Times New Roman"/>
        <family val="1"/>
      </rPr>
      <t xml:space="preserve">Pivot, Bottom, Assembly, HD Surface Applied w/o Threshold </t>
    </r>
  </si>
  <si>
    <r>
      <rPr>
        <sz val="10"/>
        <rFont val="Times New Roman"/>
        <family val="1"/>
      </rPr>
      <t xml:space="preserve">$500.00 </t>
    </r>
  </si>
  <si>
    <r>
      <rPr>
        <sz val="10"/>
        <rFont val="Times New Roman"/>
        <family val="1"/>
      </rPr>
      <t xml:space="preserve">202-005816400 </t>
    </r>
  </si>
  <si>
    <r>
      <rPr>
        <sz val="10"/>
        <rFont val="Times New Roman"/>
        <family val="1"/>
      </rPr>
      <t xml:space="preserve">Kit, Standard Arm, CL (S8100/S6100 Operator) </t>
    </r>
  </si>
  <si>
    <r>
      <rPr>
        <sz val="10"/>
        <rFont val="Times New Roman"/>
        <family val="1"/>
      </rPr>
      <t xml:space="preserve">$707.00 </t>
    </r>
  </si>
  <si>
    <r>
      <rPr>
        <sz val="10"/>
        <rFont val="Times New Roman"/>
        <family val="1"/>
      </rPr>
      <t xml:space="preserve">202-005816402 </t>
    </r>
  </si>
  <si>
    <r>
      <rPr>
        <sz val="10"/>
        <rFont val="Times New Roman"/>
        <family val="1"/>
      </rPr>
      <t xml:space="preserve">Kit, Standard Arm, DB (S8100/S6100 Operator) </t>
    </r>
  </si>
  <si>
    <r>
      <rPr>
        <sz val="10"/>
        <rFont val="Times New Roman"/>
        <family val="1"/>
      </rPr>
      <t xml:space="preserve">202-102117704 </t>
    </r>
  </si>
  <si>
    <r>
      <rPr>
        <sz val="10"/>
        <rFont val="Times New Roman"/>
        <family val="1"/>
      </rPr>
      <t xml:space="preserve">Wrench, 17mm, Sheetmetal </t>
    </r>
  </si>
  <si>
    <r>
      <rPr>
        <sz val="10"/>
        <rFont val="Times New Roman"/>
        <family val="1"/>
      </rPr>
      <t xml:space="preserve">202-127962 </t>
    </r>
  </si>
  <si>
    <r>
      <rPr>
        <sz val="10"/>
        <rFont val="Times New Roman"/>
        <family val="1"/>
      </rPr>
      <t xml:space="preserve">0562 Dome Plug </t>
    </r>
  </si>
  <si>
    <r>
      <rPr>
        <sz val="10"/>
        <rFont val="Times New Roman"/>
        <family val="1"/>
      </rPr>
      <t xml:space="preserve">202-128102 </t>
    </r>
  </si>
  <si>
    <r>
      <rPr>
        <sz val="10"/>
        <rFont val="Times New Roman"/>
        <family val="1"/>
      </rPr>
      <t xml:space="preserve">Nylon Plastic Snap, 3-Point Locking </t>
    </r>
  </si>
  <si>
    <r>
      <rPr>
        <sz val="8"/>
        <rFont val="Times New Roman"/>
        <family val="1"/>
      </rPr>
      <t xml:space="preserve">Page 3 of  21 </t>
    </r>
  </si>
  <si>
    <r>
      <rPr>
        <sz val="10"/>
        <rFont val="Times New Roman"/>
        <family val="1"/>
      </rPr>
      <t xml:space="preserve">$10.00 </t>
    </r>
  </si>
  <si>
    <r>
      <rPr>
        <sz val="10"/>
        <rFont val="Times New Roman"/>
        <family val="1"/>
      </rPr>
      <t xml:space="preserve">2-45-0002 </t>
    </r>
  </si>
  <si>
    <r>
      <rPr>
        <sz val="10"/>
        <rFont val="Times New Roman"/>
        <family val="1"/>
      </rPr>
      <t xml:space="preserve">Screw Pack, Threshold </t>
    </r>
  </si>
  <si>
    <r>
      <rPr>
        <sz val="10"/>
        <rFont val="Times New Roman"/>
        <family val="1"/>
      </rPr>
      <t xml:space="preserve">$8.00 </t>
    </r>
  </si>
  <si>
    <r>
      <rPr>
        <sz val="10"/>
        <rFont val="Times New Roman"/>
        <family val="1"/>
      </rPr>
      <t xml:space="preserve">2-45-0003-CL </t>
    </r>
  </si>
  <si>
    <r>
      <rPr>
        <sz val="10"/>
        <rFont val="Times New Roman"/>
        <family val="1"/>
      </rPr>
      <t xml:space="preserve">Screw Pack, Pull Handle </t>
    </r>
  </si>
  <si>
    <r>
      <rPr>
        <sz val="10"/>
        <rFont val="Times New Roman"/>
        <family val="1"/>
      </rPr>
      <t xml:space="preserve">2-45-0003-DB </t>
    </r>
  </si>
  <si>
    <r>
      <rPr>
        <sz val="10"/>
        <rFont val="Times New Roman"/>
        <family val="1"/>
      </rPr>
      <t xml:space="preserve">2-51-0001 </t>
    </r>
  </si>
  <si>
    <r>
      <rPr>
        <sz val="10"/>
        <rFont val="Times New Roman"/>
        <family val="1"/>
      </rPr>
      <t xml:space="preserve">Screw Pack, Single &amp; Bipart </t>
    </r>
  </si>
  <si>
    <r>
      <rPr>
        <sz val="10"/>
        <rFont val="Times New Roman"/>
        <family val="1"/>
      </rPr>
      <t xml:space="preserve">$49.00 </t>
    </r>
  </si>
  <si>
    <r>
      <rPr>
        <sz val="10"/>
        <rFont val="Times New Roman"/>
        <family val="1"/>
      </rPr>
      <t xml:space="preserve">2-51-0001-BL </t>
    </r>
  </si>
  <si>
    <r>
      <rPr>
        <sz val="10"/>
        <rFont val="Times New Roman"/>
        <family val="1"/>
      </rPr>
      <t xml:space="preserve">Screw Pack, Cart Bars / Push Bars </t>
    </r>
  </si>
  <si>
    <r>
      <rPr>
        <sz val="10"/>
        <rFont val="Times New Roman"/>
        <family val="1"/>
      </rPr>
      <t xml:space="preserve">2-51-0001-CL </t>
    </r>
  </si>
  <si>
    <r>
      <rPr>
        <sz val="10"/>
        <rFont val="Times New Roman"/>
        <family val="1"/>
      </rPr>
      <t xml:space="preserve">2-51-0003 </t>
    </r>
  </si>
  <si>
    <r>
      <rPr>
        <sz val="10"/>
        <rFont val="Times New Roman"/>
        <family val="1"/>
      </rPr>
      <t xml:space="preserve">Screw Pack, Transom </t>
    </r>
  </si>
  <si>
    <r>
      <rPr>
        <sz val="10"/>
        <rFont val="Times New Roman"/>
        <family val="1"/>
      </rPr>
      <t xml:space="preserve">2-81-0001 </t>
    </r>
  </si>
  <si>
    <r>
      <rPr>
        <sz val="10"/>
        <rFont val="Times New Roman"/>
        <family val="1"/>
      </rPr>
      <t xml:space="preserve">Screw Pack, DFA Single </t>
    </r>
  </si>
  <si>
    <r>
      <rPr>
        <sz val="10"/>
        <rFont val="Times New Roman"/>
        <family val="1"/>
      </rPr>
      <t xml:space="preserve">2-82-0002 </t>
    </r>
  </si>
  <si>
    <r>
      <rPr>
        <sz val="10"/>
        <rFont val="Times New Roman"/>
        <family val="1"/>
      </rPr>
      <t xml:space="preserve">Screw Pack, SS/Square DFA Dual </t>
    </r>
  </si>
  <si>
    <r>
      <rPr>
        <sz val="10"/>
        <rFont val="Times New Roman"/>
        <family val="1"/>
      </rPr>
      <t xml:space="preserve">Pull Door Stop (HA7100-HA7200) **NON-STK** </t>
    </r>
  </si>
  <si>
    <r>
      <rPr>
        <sz val="10"/>
        <rFont val="Times New Roman"/>
        <family val="1"/>
      </rPr>
      <t xml:space="preserve">4-06-0010-CL </t>
    </r>
  </si>
  <si>
    <r>
      <rPr>
        <sz val="10"/>
        <rFont val="Times New Roman"/>
        <family val="1"/>
      </rPr>
      <t xml:space="preserve">Glass Retention, 1/4", Sqr Clear Anodized </t>
    </r>
  </si>
  <si>
    <r>
      <rPr>
        <sz val="10"/>
        <rFont val="Times New Roman"/>
        <family val="1"/>
      </rPr>
      <t xml:space="preserve">$14.00 </t>
    </r>
  </si>
  <si>
    <r>
      <rPr>
        <sz val="10"/>
        <rFont val="Times New Roman"/>
        <family val="1"/>
      </rPr>
      <t xml:space="preserve">4-06-0010-DB </t>
    </r>
  </si>
  <si>
    <r>
      <rPr>
        <sz val="10"/>
        <rFont val="Times New Roman"/>
        <family val="1"/>
      </rPr>
      <t xml:space="preserve">Glass Retention, 1/4", Sqr Dark Bronze Anodized </t>
    </r>
  </si>
  <si>
    <r>
      <rPr>
        <sz val="10"/>
        <rFont val="Times New Roman"/>
        <family val="1"/>
      </rPr>
      <t xml:space="preserve">$16.00 </t>
    </r>
  </si>
  <si>
    <r>
      <rPr>
        <sz val="10"/>
        <rFont val="Times New Roman"/>
        <family val="1"/>
      </rPr>
      <t xml:space="preserve">4-06-0011-CL </t>
    </r>
  </si>
  <si>
    <r>
      <rPr>
        <sz val="10"/>
        <rFont val="Times New Roman"/>
        <family val="1"/>
      </rPr>
      <t xml:space="preserve">Glass Retention, 1/4", Bev Clear Anodized </t>
    </r>
  </si>
  <si>
    <r>
      <rPr>
        <sz val="10"/>
        <rFont val="Times New Roman"/>
        <family val="1"/>
      </rPr>
      <t xml:space="preserve">$12.00 </t>
    </r>
  </si>
  <si>
    <r>
      <rPr>
        <sz val="10"/>
        <rFont val="Times New Roman"/>
        <family val="1"/>
      </rPr>
      <t xml:space="preserve">4-06-0011-DB </t>
    </r>
  </si>
  <si>
    <r>
      <rPr>
        <sz val="10"/>
        <rFont val="Times New Roman"/>
        <family val="1"/>
      </rPr>
      <t xml:space="preserve">Glass Retention, 1/4", Bev Dark Bronze Anodized </t>
    </r>
  </si>
  <si>
    <r>
      <rPr>
        <sz val="10"/>
        <rFont val="Times New Roman"/>
        <family val="1"/>
      </rPr>
      <t xml:space="preserve">4-06-0012-CL </t>
    </r>
  </si>
  <si>
    <r>
      <rPr>
        <sz val="10"/>
        <rFont val="Times New Roman"/>
        <family val="1"/>
      </rPr>
      <t xml:space="preserve">Glass Retention, 3/8", Sqr Clear Anodized </t>
    </r>
  </si>
  <si>
    <r>
      <rPr>
        <sz val="10"/>
        <rFont val="Times New Roman"/>
        <family val="1"/>
      </rPr>
      <t xml:space="preserve">4-06-0012-DB </t>
    </r>
  </si>
  <si>
    <r>
      <rPr>
        <sz val="10"/>
        <rFont val="Times New Roman"/>
        <family val="1"/>
      </rPr>
      <t xml:space="preserve">Glass Retention, 3/8", Sqr Dark Bronze Anodized </t>
    </r>
  </si>
  <si>
    <r>
      <rPr>
        <sz val="10"/>
        <rFont val="Times New Roman"/>
        <family val="1"/>
      </rPr>
      <t xml:space="preserve">4-06-0013-CL </t>
    </r>
  </si>
  <si>
    <r>
      <rPr>
        <sz val="10"/>
        <rFont val="Times New Roman"/>
        <family val="1"/>
      </rPr>
      <t xml:space="preserve">Glass Retention, 1/2", Sqr (9/16", 5/8") Clear Anodized </t>
    </r>
  </si>
  <si>
    <r>
      <rPr>
        <sz val="10"/>
        <rFont val="Times New Roman"/>
        <family val="1"/>
      </rPr>
      <t xml:space="preserve">$20.00 </t>
    </r>
  </si>
  <si>
    <r>
      <rPr>
        <sz val="10"/>
        <rFont val="Times New Roman"/>
        <family val="1"/>
      </rPr>
      <t xml:space="preserve">4-06-0013-DB </t>
    </r>
  </si>
  <si>
    <r>
      <rPr>
        <sz val="10"/>
        <rFont val="Times New Roman"/>
        <family val="1"/>
      </rPr>
      <t xml:space="preserve">Glass Retention, 1/2", Sqr (9/16", 5/8") Dark Bronze Ano </t>
    </r>
  </si>
  <si>
    <r>
      <rPr>
        <sz val="10"/>
        <rFont val="Times New Roman"/>
        <family val="1"/>
      </rPr>
      <t xml:space="preserve">4-06-0014-CL </t>
    </r>
  </si>
  <si>
    <r>
      <rPr>
        <sz val="10"/>
        <rFont val="Times New Roman"/>
        <family val="1"/>
      </rPr>
      <t xml:space="preserve">Glass Retention, 3/4", Sqr Clear Anodized </t>
    </r>
  </si>
  <si>
    <r>
      <rPr>
        <sz val="10"/>
        <rFont val="Times New Roman"/>
        <family val="1"/>
      </rPr>
      <t xml:space="preserve">4-06-0014-DB </t>
    </r>
  </si>
  <si>
    <r>
      <rPr>
        <sz val="10"/>
        <rFont val="Times New Roman"/>
        <family val="1"/>
      </rPr>
      <t xml:space="preserve">Glass Retention, 3/4", Sqr Dark Bronze Anodized </t>
    </r>
  </si>
  <si>
    <r>
      <rPr>
        <sz val="10"/>
        <rFont val="Times New Roman"/>
        <family val="1"/>
      </rPr>
      <t xml:space="preserve">4-06-0015-CL </t>
    </r>
  </si>
  <si>
    <r>
      <rPr>
        <sz val="10"/>
        <rFont val="Times New Roman"/>
        <family val="1"/>
      </rPr>
      <t xml:space="preserve">Glass Retention, 1", Sqr Clear Anodized </t>
    </r>
  </si>
  <si>
    <r>
      <rPr>
        <sz val="10"/>
        <rFont val="Times New Roman"/>
        <family val="1"/>
      </rPr>
      <t xml:space="preserve">$13.00 </t>
    </r>
  </si>
  <si>
    <r>
      <rPr>
        <sz val="10"/>
        <rFont val="Times New Roman"/>
        <family val="1"/>
      </rPr>
      <t xml:space="preserve">4-06-0015-DB </t>
    </r>
  </si>
  <si>
    <r>
      <rPr>
        <sz val="10"/>
        <rFont val="Times New Roman"/>
        <family val="1"/>
      </rPr>
      <t xml:space="preserve">Glass Retention, 1", Sqr Dark Bronze Anodized </t>
    </r>
  </si>
  <si>
    <r>
      <rPr>
        <sz val="10"/>
        <rFont val="Times New Roman"/>
        <family val="1"/>
      </rPr>
      <t xml:space="preserve">4-10-1010 </t>
    </r>
  </si>
  <si>
    <r>
      <rPr>
        <sz val="10"/>
        <rFont val="Times New Roman"/>
        <family val="1"/>
      </rPr>
      <t xml:space="preserve">Nut, Door Adjustment </t>
    </r>
  </si>
  <si>
    <r>
      <rPr>
        <sz val="10"/>
        <rFont val="Times New Roman"/>
        <family val="1"/>
      </rPr>
      <t xml:space="preserve">$26.00 </t>
    </r>
  </si>
  <si>
    <r>
      <rPr>
        <sz val="10"/>
        <rFont val="Times New Roman"/>
        <family val="1"/>
      </rPr>
      <t xml:space="preserve">4-11-0432 </t>
    </r>
  </si>
  <si>
    <r>
      <rPr>
        <sz val="10"/>
        <rFont val="Times New Roman"/>
        <family val="1"/>
      </rPr>
      <t xml:space="preserve">Angle Ass'y., Sidelite Pivot (Top) - L.H. </t>
    </r>
  </si>
  <si>
    <r>
      <rPr>
        <sz val="10"/>
        <rFont val="Times New Roman"/>
        <family val="1"/>
      </rPr>
      <t xml:space="preserve">$73.00 </t>
    </r>
  </si>
  <si>
    <r>
      <rPr>
        <sz val="10"/>
        <rFont val="Times New Roman"/>
        <family val="1"/>
      </rPr>
      <t xml:space="preserve">4-11-0433 </t>
    </r>
  </si>
  <si>
    <r>
      <rPr>
        <sz val="10"/>
        <rFont val="Times New Roman"/>
        <family val="1"/>
      </rPr>
      <t xml:space="preserve">Angle Ass'y., Sidelite Pivot (Top) - R.H. </t>
    </r>
  </si>
  <si>
    <r>
      <rPr>
        <sz val="10"/>
        <rFont val="Times New Roman"/>
        <family val="1"/>
      </rPr>
      <t xml:space="preserve">4-11-0434 </t>
    </r>
  </si>
  <si>
    <r>
      <rPr>
        <sz val="10"/>
        <rFont val="Times New Roman"/>
        <family val="1"/>
      </rPr>
      <t xml:space="preserve">Angle Ass'y., Sidelite Pivot (Bottom) - L.H. </t>
    </r>
  </si>
  <si>
    <r>
      <rPr>
        <sz val="10"/>
        <rFont val="Times New Roman"/>
        <family val="1"/>
      </rPr>
      <t xml:space="preserve">$75.00 </t>
    </r>
  </si>
  <si>
    <r>
      <rPr>
        <sz val="10"/>
        <rFont val="Times New Roman"/>
        <family val="1"/>
      </rPr>
      <t xml:space="preserve">4-11-0435 </t>
    </r>
  </si>
  <si>
    <r>
      <rPr>
        <sz val="10"/>
        <rFont val="Times New Roman"/>
        <family val="1"/>
      </rPr>
      <t xml:space="preserve">Angle Ass'y., Sidelite Pivot (Bottom) - R.H. </t>
    </r>
  </si>
  <si>
    <r>
      <rPr>
        <sz val="10"/>
        <rFont val="Times New Roman"/>
        <family val="1"/>
      </rPr>
      <t xml:space="preserve">4-11-0436 </t>
    </r>
  </si>
  <si>
    <r>
      <rPr>
        <sz val="10"/>
        <rFont val="Times New Roman"/>
        <family val="1"/>
      </rPr>
      <t xml:space="preserve">Angle Ass'y., Sidelite Pivot (Top) - L.H. Medium Stile </t>
    </r>
  </si>
  <si>
    <r>
      <rPr>
        <sz val="10"/>
        <rFont val="Times New Roman"/>
        <family val="1"/>
      </rPr>
      <t xml:space="preserve">$77.00 </t>
    </r>
  </si>
  <si>
    <r>
      <rPr>
        <sz val="10"/>
        <rFont val="Times New Roman"/>
        <family val="1"/>
      </rPr>
      <t xml:space="preserve">4-11-0437 </t>
    </r>
  </si>
  <si>
    <r>
      <rPr>
        <sz val="10"/>
        <rFont val="Times New Roman"/>
        <family val="1"/>
      </rPr>
      <t xml:space="preserve">Angle Ass'y., Sidelite Pivot (Top) - R.H. Medium Stile </t>
    </r>
  </si>
  <si>
    <r>
      <rPr>
        <sz val="10"/>
        <rFont val="Times New Roman"/>
        <family val="1"/>
      </rPr>
      <t xml:space="preserve">4-11-0438 </t>
    </r>
  </si>
  <si>
    <r>
      <rPr>
        <sz val="10"/>
        <rFont val="Times New Roman"/>
        <family val="1"/>
      </rPr>
      <t xml:space="preserve">Angle Ass'y., Sidelite Pivot (Bottom) - L.H. Medium Stile </t>
    </r>
  </si>
  <si>
    <r>
      <rPr>
        <sz val="10"/>
        <rFont val="Times New Roman"/>
        <family val="1"/>
      </rPr>
      <t xml:space="preserve">4-11-0439 </t>
    </r>
  </si>
  <si>
    <r>
      <rPr>
        <sz val="10"/>
        <rFont val="Times New Roman"/>
        <family val="1"/>
      </rPr>
      <t xml:space="preserve">Angle Ass'y., Sidelite Pivot (Bottom) - R.H. Medium Stile </t>
    </r>
  </si>
  <si>
    <r>
      <rPr>
        <sz val="10"/>
        <rFont val="Times New Roman"/>
        <family val="1"/>
      </rPr>
      <t xml:space="preserve">4-11-0459 </t>
    </r>
  </si>
  <si>
    <r>
      <rPr>
        <sz val="10"/>
        <rFont val="Times New Roman"/>
        <family val="1"/>
      </rPr>
      <t xml:space="preserve">Pin Guide Ass'y.- RBO Units (Reverse Breakout) </t>
    </r>
  </si>
  <si>
    <r>
      <rPr>
        <sz val="10"/>
        <rFont val="Times New Roman"/>
        <family val="1"/>
      </rPr>
      <t xml:space="preserve">4-11-0469 </t>
    </r>
  </si>
  <si>
    <r>
      <rPr>
        <sz val="10"/>
        <rFont val="Times New Roman"/>
        <family val="1"/>
      </rPr>
      <t xml:space="preserve">Pin Guide Ass'y. (Parts Orders) </t>
    </r>
  </si>
  <si>
    <r>
      <rPr>
        <sz val="10"/>
        <rFont val="Times New Roman"/>
        <family val="1"/>
      </rPr>
      <t xml:space="preserve">$162.00 </t>
    </r>
  </si>
  <si>
    <r>
      <rPr>
        <sz val="10"/>
        <rFont val="Times New Roman"/>
        <family val="1"/>
      </rPr>
      <t xml:space="preserve">4-11-0470 </t>
    </r>
  </si>
  <si>
    <r>
      <rPr>
        <sz val="10"/>
        <rFont val="Times New Roman"/>
        <family val="1"/>
      </rPr>
      <t xml:space="preserve">Sway Guide Ass'y. - L.H. (Parts Orders) </t>
    </r>
  </si>
  <si>
    <r>
      <rPr>
        <sz val="10"/>
        <rFont val="Times New Roman"/>
        <family val="1"/>
      </rPr>
      <t xml:space="preserve">$408.00 </t>
    </r>
  </si>
  <si>
    <r>
      <rPr>
        <sz val="10"/>
        <rFont val="Times New Roman"/>
        <family val="1"/>
      </rPr>
      <t xml:space="preserve">4-11-0471 </t>
    </r>
  </si>
  <si>
    <r>
      <rPr>
        <sz val="10"/>
        <rFont val="Times New Roman"/>
        <family val="1"/>
      </rPr>
      <t xml:space="preserve">Sway Guide Ass'y. - R.H. (Parts Orders) </t>
    </r>
  </si>
  <si>
    <r>
      <rPr>
        <sz val="10"/>
        <rFont val="Times New Roman"/>
        <family val="1"/>
      </rPr>
      <t xml:space="preserve">4-11-1031 </t>
    </r>
  </si>
  <si>
    <r>
      <rPr>
        <sz val="10"/>
        <rFont val="Times New Roman"/>
        <family val="1"/>
      </rPr>
      <t xml:space="preserve">Pin, Sidelite Pivot (Bottom) </t>
    </r>
  </si>
  <si>
    <r>
      <rPr>
        <sz val="10"/>
        <rFont val="Times New Roman"/>
        <family val="1"/>
      </rPr>
      <t xml:space="preserve">4-11-1052 </t>
    </r>
  </si>
  <si>
    <r>
      <rPr>
        <sz val="10"/>
        <rFont val="Times New Roman"/>
        <family val="1"/>
      </rPr>
      <t xml:space="preserve">Plate, Lock Strike </t>
    </r>
  </si>
  <si>
    <r>
      <rPr>
        <sz val="10"/>
        <rFont val="Times New Roman"/>
        <family val="1"/>
      </rPr>
      <t xml:space="preserve">4-11-1078 </t>
    </r>
  </si>
  <si>
    <r>
      <rPr>
        <sz val="10"/>
        <rFont val="Times New Roman"/>
        <family val="1"/>
      </rPr>
      <t xml:space="preserve">Stud, Bottom Guide Roller </t>
    </r>
  </si>
  <si>
    <r>
      <rPr>
        <sz val="10"/>
        <rFont val="Times New Roman"/>
        <family val="1"/>
      </rPr>
      <t xml:space="preserve">$34.00 </t>
    </r>
  </si>
  <si>
    <r>
      <rPr>
        <sz val="10"/>
        <rFont val="Times New Roman"/>
        <family val="1"/>
      </rPr>
      <t xml:space="preserve">4-11-1082 </t>
    </r>
  </si>
  <si>
    <r>
      <rPr>
        <sz val="10"/>
        <rFont val="Times New Roman"/>
        <family val="1"/>
      </rPr>
      <t xml:space="preserve">Plate, Backer </t>
    </r>
  </si>
  <si>
    <r>
      <rPr>
        <sz val="10"/>
        <rFont val="Times New Roman"/>
        <family val="1"/>
      </rPr>
      <t xml:space="preserve">4-11-1085 </t>
    </r>
  </si>
  <si>
    <r>
      <rPr>
        <sz val="10"/>
        <rFont val="Times New Roman"/>
        <family val="1"/>
      </rPr>
      <t xml:space="preserve">Angle, Sidelite Pivot (Bottom) </t>
    </r>
  </si>
  <si>
    <r>
      <rPr>
        <sz val="10"/>
        <rFont val="Times New Roman"/>
        <family val="1"/>
      </rPr>
      <t xml:space="preserve">$21.00 </t>
    </r>
  </si>
  <si>
    <r>
      <rPr>
        <sz val="10"/>
        <rFont val="Times New Roman"/>
        <family val="1"/>
      </rPr>
      <t xml:space="preserve">4-11-1086 </t>
    </r>
  </si>
  <si>
    <r>
      <rPr>
        <sz val="10"/>
        <rFont val="Times New Roman"/>
        <family val="1"/>
      </rPr>
      <t xml:space="preserve">Angle, Sidelite Pivot (Top) </t>
    </r>
  </si>
  <si>
    <r>
      <rPr>
        <sz val="10"/>
        <rFont val="Times New Roman"/>
        <family val="1"/>
      </rPr>
      <t xml:space="preserve">4-11-4093 </t>
    </r>
  </si>
  <si>
    <r>
      <rPr>
        <sz val="10"/>
        <rFont val="Times New Roman"/>
        <family val="1"/>
      </rPr>
      <t xml:space="preserve">Bracket, Alarm Contact Switch </t>
    </r>
  </si>
  <si>
    <r>
      <rPr>
        <sz val="10"/>
        <rFont val="Times New Roman"/>
        <family val="1"/>
      </rPr>
      <t xml:space="preserve">4-11-4095-DB </t>
    </r>
  </si>
  <si>
    <r>
      <rPr>
        <sz val="10"/>
        <rFont val="Times New Roman"/>
        <family val="1"/>
      </rPr>
      <t xml:space="preserve">Interlock (Mach) </t>
    </r>
  </si>
  <si>
    <r>
      <rPr>
        <sz val="10"/>
        <rFont val="Times New Roman"/>
        <family val="1"/>
      </rPr>
      <t xml:space="preserve">4-11-4096 </t>
    </r>
  </si>
  <si>
    <r>
      <rPr>
        <sz val="10"/>
        <rFont val="Times New Roman"/>
        <family val="1"/>
      </rPr>
      <t xml:space="preserve">Block, Shear (Machined) - SB1 </t>
    </r>
  </si>
  <si>
    <r>
      <rPr>
        <sz val="10"/>
        <rFont val="Times New Roman"/>
        <family val="1"/>
      </rPr>
      <t xml:space="preserve">4-11-4097 </t>
    </r>
  </si>
  <si>
    <r>
      <rPr>
        <sz val="10"/>
        <rFont val="Times New Roman"/>
        <family val="1"/>
      </rPr>
      <t xml:space="preserve">Block, Shear (Machined) - SB2 </t>
    </r>
  </si>
  <si>
    <r>
      <rPr>
        <sz val="10"/>
        <rFont val="Times New Roman"/>
        <family val="1"/>
      </rPr>
      <t xml:space="preserve">4-11-4098 </t>
    </r>
  </si>
  <si>
    <r>
      <rPr>
        <sz val="10"/>
        <rFont val="Times New Roman"/>
        <family val="1"/>
      </rPr>
      <t xml:space="preserve">Block, Shear (Machined) - SB3 </t>
    </r>
  </si>
  <si>
    <r>
      <rPr>
        <sz val="10"/>
        <rFont val="Times New Roman"/>
        <family val="1"/>
      </rPr>
      <t xml:space="preserve">4-11-4303 </t>
    </r>
  </si>
  <si>
    <r>
      <rPr>
        <sz val="10"/>
        <rFont val="Times New Roman"/>
        <family val="1"/>
      </rPr>
      <t xml:space="preserve">Bracket, Top Pivot (PP/SA ACCESS PANEL) </t>
    </r>
  </si>
  <si>
    <r>
      <rPr>
        <sz val="10"/>
        <rFont val="Times New Roman"/>
        <family val="1"/>
      </rPr>
      <t xml:space="preserve">$52.00 </t>
    </r>
  </si>
  <si>
    <r>
      <rPr>
        <sz val="8"/>
        <rFont val="Times New Roman"/>
        <family val="1"/>
      </rPr>
      <t xml:space="preserve">Page 4 of  21 </t>
    </r>
  </si>
  <si>
    <r>
      <rPr>
        <sz val="10"/>
        <rFont val="Times New Roman"/>
        <family val="1"/>
      </rPr>
      <t xml:space="preserve">$405.00 </t>
    </r>
  </si>
  <si>
    <r>
      <rPr>
        <sz val="10"/>
        <rFont val="Times New Roman"/>
        <family val="1"/>
      </rPr>
      <t xml:space="preserve">4-12-0471 </t>
    </r>
  </si>
  <si>
    <r>
      <rPr>
        <sz val="10"/>
        <rFont val="Times New Roman"/>
        <family val="1"/>
      </rPr>
      <t xml:space="preserve">Sway Guide Ass'y. - R.H. Tele (Parts Orders) </t>
    </r>
  </si>
  <si>
    <r>
      <rPr>
        <sz val="10"/>
        <rFont val="Times New Roman"/>
        <family val="1"/>
      </rPr>
      <t xml:space="preserve">4-19-0025 </t>
    </r>
  </si>
  <si>
    <r>
      <rPr>
        <sz val="10"/>
        <rFont val="Times New Roman"/>
        <family val="1"/>
      </rPr>
      <t xml:space="preserve">Transfer Pivot Ass'y. Trackless ICU </t>
    </r>
  </si>
  <si>
    <r>
      <rPr>
        <sz val="10"/>
        <rFont val="Times New Roman"/>
        <family val="1"/>
      </rPr>
      <t xml:space="preserve">$239.00 </t>
    </r>
  </si>
  <si>
    <r>
      <rPr>
        <sz val="10"/>
        <rFont val="Times New Roman"/>
        <family val="1"/>
      </rPr>
      <t xml:space="preserve">4-19-0026 </t>
    </r>
  </si>
  <si>
    <r>
      <rPr>
        <sz val="10"/>
        <rFont val="Times New Roman"/>
        <family val="1"/>
      </rPr>
      <t xml:space="preserve">Bottom Guide Ass'y. - LH Trackless ICU </t>
    </r>
  </si>
  <si>
    <r>
      <rPr>
        <sz val="10"/>
        <rFont val="Times New Roman"/>
        <family val="1"/>
      </rPr>
      <t xml:space="preserve">$358.00 </t>
    </r>
  </si>
  <si>
    <r>
      <rPr>
        <sz val="10"/>
        <rFont val="Times New Roman"/>
        <family val="1"/>
      </rPr>
      <t xml:space="preserve">4-19-0027 </t>
    </r>
  </si>
  <si>
    <r>
      <rPr>
        <sz val="10"/>
        <rFont val="Times New Roman"/>
        <family val="1"/>
      </rPr>
      <t xml:space="preserve">Bottom Guide Ass'y. - RH Trackless ICU </t>
    </r>
  </si>
  <si>
    <r>
      <rPr>
        <sz val="10"/>
        <rFont val="Times New Roman"/>
        <family val="1"/>
      </rPr>
      <t xml:space="preserve">4-19-1007 </t>
    </r>
  </si>
  <si>
    <r>
      <rPr>
        <sz val="10"/>
        <rFont val="Times New Roman"/>
        <family val="1"/>
      </rPr>
      <t xml:space="preserve">Pin, Sidelite Pivot (Bottom) Trackless ICU/CCU </t>
    </r>
  </si>
  <si>
    <r>
      <rPr>
        <sz val="10"/>
        <rFont val="Times New Roman"/>
        <family val="1"/>
      </rPr>
      <t xml:space="preserve">4-19-1015 </t>
    </r>
  </si>
  <si>
    <r>
      <rPr>
        <sz val="10"/>
        <rFont val="Times New Roman"/>
        <family val="1"/>
      </rPr>
      <t xml:space="preserve">Stop Link, Sidelite (SLW &lt; 40") </t>
    </r>
  </si>
  <si>
    <r>
      <rPr>
        <sz val="10"/>
        <rFont val="Times New Roman"/>
        <family val="1"/>
      </rPr>
      <t xml:space="preserve">$50.00 </t>
    </r>
  </si>
  <si>
    <r>
      <rPr>
        <sz val="10"/>
        <rFont val="Times New Roman"/>
        <family val="1"/>
      </rPr>
      <t xml:space="preserve">4-19-1016 </t>
    </r>
  </si>
  <si>
    <r>
      <rPr>
        <sz val="10"/>
        <rFont val="Times New Roman"/>
        <family val="1"/>
      </rPr>
      <t xml:space="preserve">Stop Link, Sidelite (FOR SLW &gt; 40") </t>
    </r>
  </si>
  <si>
    <r>
      <rPr>
        <sz val="10"/>
        <rFont val="Times New Roman"/>
        <family val="1"/>
      </rPr>
      <t xml:space="preserve">4-19-1017 </t>
    </r>
  </si>
  <si>
    <r>
      <rPr>
        <sz val="10"/>
        <rFont val="Times New Roman"/>
        <family val="1"/>
      </rPr>
      <t xml:space="preserve">Stop Track, Sidelite (SLW &lt; 40") </t>
    </r>
  </si>
  <si>
    <r>
      <rPr>
        <sz val="10"/>
        <rFont val="Times New Roman"/>
        <family val="1"/>
      </rPr>
      <t xml:space="preserve">$65.00 </t>
    </r>
  </si>
  <si>
    <r>
      <rPr>
        <sz val="10"/>
        <rFont val="Times New Roman"/>
        <family val="1"/>
      </rPr>
      <t xml:space="preserve">4-19-1018 </t>
    </r>
  </si>
  <si>
    <r>
      <rPr>
        <sz val="10"/>
        <rFont val="Times New Roman"/>
        <family val="1"/>
      </rPr>
      <t xml:space="preserve">Stop Track, Sidelite (SLW &gt; 40") </t>
    </r>
  </si>
  <si>
    <r>
      <rPr>
        <sz val="10"/>
        <rFont val="Times New Roman"/>
        <family val="1"/>
      </rPr>
      <t xml:space="preserve">$81.00 </t>
    </r>
  </si>
  <si>
    <r>
      <rPr>
        <sz val="10"/>
        <rFont val="Times New Roman"/>
        <family val="1"/>
      </rPr>
      <t xml:space="preserve">4-19-1019 </t>
    </r>
  </si>
  <si>
    <r>
      <rPr>
        <sz val="10"/>
        <rFont val="Times New Roman"/>
        <family val="1"/>
      </rPr>
      <t xml:space="preserve">Block, Stop </t>
    </r>
  </si>
  <si>
    <r>
      <rPr>
        <sz val="10"/>
        <rFont val="Times New Roman"/>
        <family val="1"/>
      </rPr>
      <t xml:space="preserve">4-19-1020 </t>
    </r>
  </si>
  <si>
    <r>
      <rPr>
        <sz val="10"/>
        <rFont val="Times New Roman"/>
        <family val="1"/>
      </rPr>
      <t xml:space="preserve">Angle, Sidelite Pivot (Bottom) Trackless ICU </t>
    </r>
  </si>
  <si>
    <r>
      <rPr>
        <sz val="10"/>
        <rFont val="Times New Roman"/>
        <family val="1"/>
      </rPr>
      <t xml:space="preserve">4-19-4062 </t>
    </r>
  </si>
  <si>
    <r>
      <rPr>
        <sz val="10"/>
        <rFont val="Times New Roman"/>
        <family val="1"/>
      </rPr>
      <t xml:space="preserve">Bracket, B.Guide-LH-T/less ICU </t>
    </r>
  </si>
  <si>
    <r>
      <rPr>
        <sz val="10"/>
        <rFont val="Times New Roman"/>
        <family val="1"/>
      </rPr>
      <t xml:space="preserve">$43.00 </t>
    </r>
  </si>
  <si>
    <r>
      <rPr>
        <sz val="10"/>
        <rFont val="Times New Roman"/>
        <family val="1"/>
      </rPr>
      <t xml:space="preserve">4-19-4063 </t>
    </r>
  </si>
  <si>
    <r>
      <rPr>
        <sz val="10"/>
        <rFont val="Times New Roman"/>
        <family val="1"/>
      </rPr>
      <t xml:space="preserve">Bracket, B. Guide-RH T/less ICU </t>
    </r>
  </si>
  <si>
    <r>
      <rPr>
        <sz val="10"/>
        <rFont val="Times New Roman"/>
        <family val="1"/>
      </rPr>
      <t xml:space="preserve">4-19-7001 </t>
    </r>
  </si>
  <si>
    <r>
      <rPr>
        <sz val="10"/>
        <rFont val="Times New Roman"/>
        <family val="1"/>
      </rPr>
      <t xml:space="preserve">Stud, Transfer Pivot ICU Trackless </t>
    </r>
  </si>
  <si>
    <r>
      <rPr>
        <sz val="10"/>
        <rFont val="Times New Roman"/>
        <family val="1"/>
      </rPr>
      <t xml:space="preserve">4-19-9001 </t>
    </r>
  </si>
  <si>
    <r>
      <rPr>
        <sz val="10"/>
        <rFont val="Times New Roman"/>
        <family val="1"/>
      </rPr>
      <t xml:space="preserve">Block, Bottom Door Pivot Trackless ICU </t>
    </r>
  </si>
  <si>
    <r>
      <rPr>
        <sz val="10"/>
        <rFont val="Times New Roman"/>
        <family val="1"/>
      </rPr>
      <t xml:space="preserve">$135.00 </t>
    </r>
  </si>
  <si>
    <r>
      <rPr>
        <sz val="10"/>
        <rFont val="Times New Roman"/>
        <family val="1"/>
      </rPr>
      <t xml:space="preserve">4-20-1090 </t>
    </r>
  </si>
  <si>
    <r>
      <rPr>
        <sz val="10"/>
        <rFont val="Times New Roman"/>
        <family val="1"/>
      </rPr>
      <t xml:space="preserve">Stud, Slide Arm </t>
    </r>
  </si>
  <si>
    <r>
      <rPr>
        <sz val="10"/>
        <rFont val="Times New Roman"/>
        <family val="1"/>
      </rPr>
      <t xml:space="preserve">4-24-9003 </t>
    </r>
  </si>
  <si>
    <r>
      <rPr>
        <sz val="10"/>
        <rFont val="Times New Roman"/>
        <family val="1"/>
      </rPr>
      <t xml:space="preserve">Slide Block </t>
    </r>
  </si>
  <si>
    <r>
      <rPr>
        <sz val="10"/>
        <rFont val="Times New Roman"/>
        <family val="1"/>
      </rPr>
      <t xml:space="preserve">$70.00 </t>
    </r>
  </si>
  <si>
    <r>
      <rPr>
        <sz val="10"/>
        <rFont val="Times New Roman"/>
        <family val="1"/>
      </rPr>
      <t xml:space="preserve">4-40-0028-HD </t>
    </r>
  </si>
  <si>
    <r>
      <rPr>
        <sz val="10"/>
        <rFont val="Times New Roman"/>
        <family val="1"/>
      </rPr>
      <t xml:space="preserve">Bottom Pivot Assembly, HD 1/2" x 4 1/2" Threshold </t>
    </r>
  </si>
  <si>
    <r>
      <rPr>
        <sz val="10"/>
        <rFont val="Times New Roman"/>
        <family val="1"/>
      </rPr>
      <t xml:space="preserve">$504.00 </t>
    </r>
  </si>
  <si>
    <r>
      <rPr>
        <sz val="10"/>
        <rFont val="Times New Roman"/>
        <family val="1"/>
      </rPr>
      <t xml:space="preserve">4-40-0029-HD </t>
    </r>
  </si>
  <si>
    <r>
      <rPr>
        <sz val="10"/>
        <rFont val="Times New Roman"/>
        <family val="1"/>
      </rPr>
      <t xml:space="preserve">Bottom Pivot, Assembly, HD 1/2" x 7" Threshold </t>
    </r>
  </si>
  <si>
    <r>
      <rPr>
        <sz val="10"/>
        <rFont val="Times New Roman"/>
        <family val="1"/>
      </rPr>
      <t xml:space="preserve">$516.00 </t>
    </r>
  </si>
  <si>
    <r>
      <rPr>
        <sz val="10"/>
        <rFont val="Times New Roman"/>
        <family val="1"/>
      </rPr>
      <t xml:space="preserve">4-40-0310-CL </t>
    </r>
  </si>
  <si>
    <r>
      <rPr>
        <sz val="10"/>
        <rFont val="Times New Roman"/>
        <family val="1"/>
      </rPr>
      <t xml:space="preserve">Pull Handle Ass'y. </t>
    </r>
  </si>
  <si>
    <r>
      <rPr>
        <sz val="10"/>
        <rFont val="Times New Roman"/>
        <family val="1"/>
      </rPr>
      <t xml:space="preserve">4-40-0310-DB </t>
    </r>
  </si>
  <si>
    <r>
      <rPr>
        <sz val="10"/>
        <rFont val="Times New Roman"/>
        <family val="1"/>
      </rPr>
      <t xml:space="preserve">4-40-1002 </t>
    </r>
  </si>
  <si>
    <r>
      <rPr>
        <sz val="10"/>
        <rFont val="Times New Roman"/>
        <family val="1"/>
      </rPr>
      <t xml:space="preserve">Plate,Backer, Door Interlock Hurricane Door </t>
    </r>
  </si>
  <si>
    <r>
      <rPr>
        <sz val="10"/>
        <rFont val="Times New Roman"/>
        <family val="1"/>
      </rPr>
      <t xml:space="preserve">4-40-4099 </t>
    </r>
  </si>
  <si>
    <r>
      <rPr>
        <sz val="10"/>
        <rFont val="Times New Roman"/>
        <family val="1"/>
      </rPr>
      <t xml:space="preserve">Spacer, Arm DO NOT REORDER </t>
    </r>
  </si>
  <si>
    <r>
      <rPr>
        <sz val="10"/>
        <rFont val="Times New Roman"/>
        <family val="1"/>
      </rPr>
      <t xml:space="preserve">$122.00 </t>
    </r>
  </si>
  <si>
    <r>
      <rPr>
        <sz val="10"/>
        <rFont val="Times New Roman"/>
        <family val="1"/>
      </rPr>
      <t xml:space="preserve">4-45-0013 </t>
    </r>
  </si>
  <si>
    <r>
      <rPr>
        <sz val="10"/>
        <rFont val="Times New Roman"/>
        <family val="1"/>
      </rPr>
      <t xml:space="preserve">Terminal Block Ass'y. </t>
    </r>
  </si>
  <si>
    <r>
      <rPr>
        <sz val="10"/>
        <rFont val="Times New Roman"/>
        <family val="1"/>
      </rPr>
      <t xml:space="preserve">$29.00 </t>
    </r>
  </si>
  <si>
    <r>
      <rPr>
        <sz val="10"/>
        <rFont val="Times New Roman"/>
        <family val="1"/>
      </rPr>
      <t xml:space="preserve">4-45-0015 </t>
    </r>
  </si>
  <si>
    <r>
      <rPr>
        <sz val="10"/>
        <rFont val="Times New Roman"/>
        <family val="1"/>
      </rPr>
      <t xml:space="preserve">Bottom Pivot Ass'y. </t>
    </r>
  </si>
  <si>
    <r>
      <rPr>
        <sz val="10"/>
        <rFont val="Times New Roman"/>
        <family val="1"/>
      </rPr>
      <t xml:space="preserve">4-45-0016 </t>
    </r>
  </si>
  <si>
    <r>
      <rPr>
        <sz val="10"/>
        <rFont val="Times New Roman"/>
        <family val="1"/>
      </rPr>
      <t xml:space="preserve">Guide Roller Ass'y. </t>
    </r>
  </si>
  <si>
    <r>
      <rPr>
        <sz val="10"/>
        <rFont val="Times New Roman"/>
        <family val="1"/>
      </rPr>
      <t xml:space="preserve">$203.00 </t>
    </r>
  </si>
  <si>
    <r>
      <rPr>
        <sz val="10"/>
        <rFont val="Times New Roman"/>
        <family val="1"/>
      </rPr>
      <t xml:space="preserve">4-45-0022-BL </t>
    </r>
  </si>
  <si>
    <r>
      <rPr>
        <sz val="10"/>
        <rFont val="Times New Roman"/>
        <family val="1"/>
      </rPr>
      <t xml:space="preserve">Hinge Pivot Ass'y.-Config "A" Parts Orders Only </t>
    </r>
  </si>
  <si>
    <r>
      <rPr>
        <sz val="10"/>
        <rFont val="Times New Roman"/>
        <family val="1"/>
      </rPr>
      <t xml:space="preserve">$342.00 </t>
    </r>
  </si>
  <si>
    <r>
      <rPr>
        <sz val="10"/>
        <rFont val="Times New Roman"/>
        <family val="1"/>
      </rPr>
      <t xml:space="preserve">4-45-0023-BL </t>
    </r>
  </si>
  <si>
    <r>
      <rPr>
        <sz val="10"/>
        <rFont val="Times New Roman"/>
        <family val="1"/>
      </rPr>
      <t xml:space="preserve">Hinge Pivot Ass'y.-Config. "B" Parts Orders Only </t>
    </r>
  </si>
  <si>
    <r>
      <rPr>
        <sz val="10"/>
        <rFont val="Times New Roman"/>
        <family val="1"/>
      </rPr>
      <t xml:space="preserve">4-45-0100 </t>
    </r>
  </si>
  <si>
    <r>
      <rPr>
        <sz val="10"/>
        <rFont val="Times New Roman"/>
        <family val="1"/>
      </rPr>
      <t xml:space="preserve">Electric Lock Ass'y., In-Panel Fold Lock </t>
    </r>
  </si>
  <si>
    <r>
      <rPr>
        <sz val="10"/>
        <rFont val="Times New Roman"/>
        <family val="1"/>
      </rPr>
      <t xml:space="preserve">$546.00 </t>
    </r>
  </si>
  <si>
    <r>
      <rPr>
        <sz val="10"/>
        <rFont val="Times New Roman"/>
        <family val="1"/>
      </rPr>
      <t xml:space="preserve">4-45-0501 </t>
    </r>
  </si>
  <si>
    <r>
      <rPr>
        <sz val="10"/>
        <rFont val="Times New Roman"/>
        <family val="1"/>
      </rPr>
      <t xml:space="preserve">Harness, Elec. lock Sequencer </t>
    </r>
  </si>
  <si>
    <r>
      <rPr>
        <sz val="10"/>
        <rFont val="Times New Roman"/>
        <family val="1"/>
      </rPr>
      <t xml:space="preserve">4-45-0801 </t>
    </r>
  </si>
  <si>
    <r>
      <rPr>
        <sz val="10"/>
        <rFont val="Times New Roman"/>
        <family val="1"/>
      </rPr>
      <t xml:space="preserve">Kit, Sensor Package, BEA 1 S4500 Folding Door </t>
    </r>
  </si>
  <si>
    <r>
      <rPr>
        <sz val="10"/>
        <rFont val="Times New Roman"/>
        <family val="1"/>
      </rPr>
      <t xml:space="preserve">$2,550.00 </t>
    </r>
  </si>
  <si>
    <r>
      <rPr>
        <sz val="10"/>
        <rFont val="Times New Roman"/>
        <family val="1"/>
      </rPr>
      <t xml:space="preserve">4-45-0803 </t>
    </r>
  </si>
  <si>
    <r>
      <rPr>
        <sz val="10"/>
        <rFont val="Times New Roman"/>
        <family val="1"/>
      </rPr>
      <t xml:space="preserve">Kit, Sensor Package, Optex 1 S4500 Folding Door </t>
    </r>
  </si>
  <si>
    <r>
      <rPr>
        <sz val="10"/>
        <rFont val="Times New Roman"/>
        <family val="1"/>
      </rPr>
      <t xml:space="preserve">$2,627.00 </t>
    </r>
  </si>
  <si>
    <r>
      <rPr>
        <sz val="10"/>
        <rFont val="Times New Roman"/>
        <family val="1"/>
      </rPr>
      <t xml:space="preserve">4-45-0808 </t>
    </r>
  </si>
  <si>
    <r>
      <rPr>
        <sz val="10"/>
        <rFont val="Times New Roman"/>
        <family val="1"/>
      </rPr>
      <t xml:space="preserve">Kit, In-Panel Electric Lock S4500 Folding Door </t>
    </r>
  </si>
  <si>
    <r>
      <rPr>
        <sz val="10"/>
        <rFont val="Times New Roman"/>
        <family val="1"/>
      </rPr>
      <t xml:space="preserve">$1,169.00 </t>
    </r>
  </si>
  <si>
    <r>
      <rPr>
        <sz val="10"/>
        <rFont val="Times New Roman"/>
        <family val="1"/>
      </rPr>
      <t xml:space="preserve">4-45-0809 </t>
    </r>
  </si>
  <si>
    <r>
      <rPr>
        <sz val="10"/>
        <rFont val="Times New Roman"/>
        <family val="1"/>
      </rPr>
      <t xml:space="preserve">Kit,Panel Lock|Breakout 4500 Autolock Folding Door </t>
    </r>
  </si>
  <si>
    <r>
      <rPr>
        <sz val="10"/>
        <rFont val="Times New Roman"/>
        <family val="1"/>
      </rPr>
      <t xml:space="preserve">$5,620.00 </t>
    </r>
  </si>
  <si>
    <r>
      <rPr>
        <sz val="10"/>
        <rFont val="Times New Roman"/>
        <family val="1"/>
      </rPr>
      <t xml:space="preserve">4-45-1001 </t>
    </r>
  </si>
  <si>
    <r>
      <rPr>
        <sz val="10"/>
        <rFont val="Times New Roman"/>
        <family val="1"/>
      </rPr>
      <t xml:space="preserve">Bracket, Header-To-Jamb </t>
    </r>
  </si>
  <si>
    <r>
      <rPr>
        <sz val="10"/>
        <rFont val="Times New Roman"/>
        <family val="1"/>
      </rPr>
      <t xml:space="preserve">4-45-1002 </t>
    </r>
  </si>
  <si>
    <r>
      <rPr>
        <sz val="10"/>
        <rFont val="Times New Roman"/>
        <family val="1"/>
      </rPr>
      <t xml:space="preserve">End Cap, Header </t>
    </r>
  </si>
  <si>
    <r>
      <rPr>
        <sz val="10"/>
        <rFont val="Times New Roman"/>
        <family val="1"/>
      </rPr>
      <t xml:space="preserve">$59.00 </t>
    </r>
  </si>
  <si>
    <r>
      <rPr>
        <sz val="10"/>
        <rFont val="Times New Roman"/>
        <family val="1"/>
      </rPr>
      <t xml:space="preserve">4-45-1003 </t>
    </r>
  </si>
  <si>
    <r>
      <rPr>
        <sz val="10"/>
        <rFont val="Times New Roman"/>
        <family val="1"/>
      </rPr>
      <t xml:space="preserve">Bracket, Cover Attachment </t>
    </r>
  </si>
  <si>
    <r>
      <rPr>
        <sz val="10"/>
        <rFont val="Times New Roman"/>
        <family val="1"/>
      </rPr>
      <t xml:space="preserve">$24.00 </t>
    </r>
  </si>
  <si>
    <r>
      <rPr>
        <sz val="10"/>
        <rFont val="Times New Roman"/>
        <family val="1"/>
      </rPr>
      <t xml:space="preserve">4-45-1004 </t>
    </r>
  </si>
  <si>
    <r>
      <rPr>
        <sz val="10"/>
        <rFont val="Times New Roman"/>
        <family val="1"/>
      </rPr>
      <t xml:space="preserve">Plate, Backer (Pivot Stile) </t>
    </r>
  </si>
  <si>
    <r>
      <rPr>
        <sz val="10"/>
        <rFont val="Times New Roman"/>
        <family val="1"/>
      </rPr>
      <t xml:space="preserve">4-45-1006 </t>
    </r>
  </si>
  <si>
    <r>
      <rPr>
        <sz val="10"/>
        <rFont val="Times New Roman"/>
        <family val="1"/>
      </rPr>
      <t xml:space="preserve">Cap, Pivot Stile </t>
    </r>
  </si>
  <si>
    <r>
      <rPr>
        <sz val="10"/>
        <rFont val="Times New Roman"/>
        <family val="1"/>
      </rPr>
      <t xml:space="preserve">$32.00 </t>
    </r>
  </si>
  <si>
    <r>
      <rPr>
        <sz val="10"/>
        <rFont val="Times New Roman"/>
        <family val="1"/>
      </rPr>
      <t xml:space="preserve">4-45-1009 </t>
    </r>
  </si>
  <si>
    <r>
      <rPr>
        <sz val="10"/>
        <rFont val="Times New Roman"/>
        <family val="1"/>
      </rPr>
      <t xml:space="preserve">Spacer, Electric Lock </t>
    </r>
  </si>
  <si>
    <r>
      <rPr>
        <sz val="10"/>
        <rFont val="Times New Roman"/>
        <family val="1"/>
      </rPr>
      <t xml:space="preserve">4-45-4011-BL </t>
    </r>
  </si>
  <si>
    <r>
      <rPr>
        <sz val="10"/>
        <rFont val="Times New Roman"/>
        <family val="1"/>
      </rPr>
      <t xml:space="preserve">Base, Pivot Bearing </t>
    </r>
  </si>
  <si>
    <r>
      <rPr>
        <sz val="10"/>
        <rFont val="Times New Roman"/>
        <family val="1"/>
      </rPr>
      <t xml:space="preserve">4-45-4012 </t>
    </r>
  </si>
  <si>
    <r>
      <rPr>
        <sz val="10"/>
        <rFont val="Times New Roman"/>
        <family val="1"/>
      </rPr>
      <t xml:space="preserve">Spacer, Top Pivot Arm </t>
    </r>
  </si>
  <si>
    <r>
      <rPr>
        <sz val="10"/>
        <rFont val="Times New Roman"/>
        <family val="1"/>
      </rPr>
      <t xml:space="preserve">$54.00 </t>
    </r>
  </si>
  <si>
    <r>
      <rPr>
        <sz val="10"/>
        <rFont val="Times New Roman"/>
        <family val="1"/>
      </rPr>
      <t xml:space="preserve">4-45-9001 </t>
    </r>
  </si>
  <si>
    <r>
      <rPr>
        <sz val="10"/>
        <rFont val="Times New Roman"/>
        <family val="1"/>
      </rPr>
      <t xml:space="preserve">Seal, Hinge Stile (8ft/Stick) </t>
    </r>
  </si>
  <si>
    <r>
      <rPr>
        <sz val="10"/>
        <rFont val="Times New Roman"/>
        <family val="1"/>
      </rPr>
      <t xml:space="preserve">PIECE </t>
    </r>
  </si>
  <si>
    <r>
      <rPr>
        <sz val="10"/>
        <rFont val="Times New Roman"/>
        <family val="1"/>
      </rPr>
      <t xml:space="preserve">$151.00 </t>
    </r>
  </si>
  <si>
    <r>
      <rPr>
        <sz val="10"/>
        <rFont val="Times New Roman"/>
        <family val="1"/>
      </rPr>
      <t xml:space="preserve">4-45-9003 </t>
    </r>
  </si>
  <si>
    <r>
      <rPr>
        <sz val="10"/>
        <rFont val="Times New Roman"/>
        <family val="1"/>
      </rPr>
      <t xml:space="preserve">Bumper, Door Open Stop </t>
    </r>
  </si>
  <si>
    <r>
      <rPr>
        <sz val="10"/>
        <rFont val="Times New Roman"/>
        <family val="1"/>
      </rPr>
      <t xml:space="preserve">4-49-1001 </t>
    </r>
  </si>
  <si>
    <r>
      <rPr>
        <sz val="10"/>
        <rFont val="Times New Roman"/>
        <family val="1"/>
      </rPr>
      <t xml:space="preserve">Bracket, Header Mounting </t>
    </r>
  </si>
  <si>
    <r>
      <rPr>
        <sz val="10"/>
        <rFont val="Times New Roman"/>
        <family val="1"/>
      </rPr>
      <t xml:space="preserve">4-49-1002 </t>
    </r>
  </si>
  <si>
    <r>
      <rPr>
        <sz val="10"/>
        <rFont val="Times New Roman"/>
        <family val="1"/>
      </rPr>
      <t xml:space="preserve">Arm, Drive </t>
    </r>
  </si>
  <si>
    <r>
      <rPr>
        <sz val="10"/>
        <rFont val="Times New Roman"/>
        <family val="1"/>
      </rPr>
      <t xml:space="preserve">$338.00 </t>
    </r>
  </si>
  <si>
    <r>
      <rPr>
        <sz val="10"/>
        <rFont val="Times New Roman"/>
        <family val="1"/>
      </rPr>
      <t xml:space="preserve">4-49-4001-MF </t>
    </r>
  </si>
  <si>
    <r>
      <rPr>
        <sz val="10"/>
        <rFont val="Times New Roman"/>
        <family val="1"/>
      </rPr>
      <t xml:space="preserve">End Cap, Push Bar </t>
    </r>
  </si>
  <si>
    <r>
      <rPr>
        <sz val="8"/>
        <rFont val="Times New Roman"/>
        <family val="1"/>
      </rPr>
      <t xml:space="preserve">Page 5 of  21 </t>
    </r>
  </si>
  <si>
    <r>
      <rPr>
        <sz val="10"/>
        <rFont val="Times New Roman"/>
        <family val="1"/>
      </rPr>
      <t xml:space="preserve">4-51-0001 </t>
    </r>
  </si>
  <si>
    <r>
      <rPr>
        <sz val="10"/>
        <rFont val="Times New Roman"/>
        <family val="1"/>
      </rPr>
      <t xml:space="preserve">Weldment, Torque Bar 202-003816280 </t>
    </r>
  </si>
  <si>
    <r>
      <rPr>
        <sz val="10"/>
        <rFont val="Times New Roman"/>
        <family val="1"/>
      </rPr>
      <t xml:space="preserve">$312.00 </t>
    </r>
  </si>
  <si>
    <r>
      <rPr>
        <sz val="10"/>
        <rFont val="Times New Roman"/>
        <family val="1"/>
      </rPr>
      <t xml:space="preserve">4-51-0003 </t>
    </r>
  </si>
  <si>
    <r>
      <rPr>
        <sz val="10"/>
        <rFont val="Times New Roman"/>
        <family val="1"/>
      </rPr>
      <t xml:space="preserve">Carrier Ass'y, Lower Belt </t>
    </r>
  </si>
  <si>
    <r>
      <rPr>
        <sz val="10"/>
        <rFont val="Times New Roman"/>
        <family val="1"/>
      </rPr>
      <t xml:space="preserve">$385.00 </t>
    </r>
  </si>
  <si>
    <r>
      <rPr>
        <sz val="10"/>
        <rFont val="Times New Roman"/>
        <family val="1"/>
      </rPr>
      <t xml:space="preserve">4-51-0004 </t>
    </r>
  </si>
  <si>
    <r>
      <rPr>
        <sz val="10"/>
        <rFont val="Times New Roman"/>
        <family val="1"/>
      </rPr>
      <t xml:space="preserve">Carrier Ass'y, Upper Belt </t>
    </r>
  </si>
  <si>
    <r>
      <rPr>
        <sz val="10"/>
        <rFont val="Times New Roman"/>
        <family val="1"/>
      </rPr>
      <t xml:space="preserve">$375.00 </t>
    </r>
  </si>
  <si>
    <r>
      <rPr>
        <sz val="10"/>
        <rFont val="Times New Roman"/>
        <family val="1"/>
      </rPr>
      <t xml:space="preserve">4-51-0006 </t>
    </r>
  </si>
  <si>
    <r>
      <rPr>
        <sz val="10"/>
        <rFont val="Times New Roman"/>
        <family val="1"/>
      </rPr>
      <t xml:space="preserve">Idler Pulley Ass'y. </t>
    </r>
  </si>
  <si>
    <r>
      <rPr>
        <sz val="10"/>
        <rFont val="Times New Roman"/>
        <family val="1"/>
      </rPr>
      <t xml:space="preserve">$204.00 </t>
    </r>
  </si>
  <si>
    <r>
      <rPr>
        <sz val="10"/>
        <rFont val="Times New Roman"/>
        <family val="1"/>
      </rPr>
      <t xml:space="preserve">4-51-0007 </t>
    </r>
  </si>
  <si>
    <r>
      <rPr>
        <sz val="10"/>
        <rFont val="Times New Roman"/>
        <family val="1"/>
      </rPr>
      <t xml:space="preserve">Bracket Ass'y., Upper Sidelite Pivot - L.H. (Parts Orders) </t>
    </r>
  </si>
  <si>
    <r>
      <rPr>
        <sz val="10"/>
        <rFont val="Times New Roman"/>
        <family val="1"/>
      </rPr>
      <t xml:space="preserve">4-51-0008 </t>
    </r>
  </si>
  <si>
    <r>
      <rPr>
        <sz val="10"/>
        <rFont val="Times New Roman"/>
        <family val="1"/>
      </rPr>
      <t xml:space="preserve">Bracket Ass'y., Upper Sidelite Pivot - R.H. (Parts Orders) </t>
    </r>
  </si>
  <si>
    <r>
      <rPr>
        <sz val="10"/>
        <rFont val="Times New Roman"/>
        <family val="1"/>
      </rPr>
      <t xml:space="preserve">4-51-0009 </t>
    </r>
  </si>
  <si>
    <r>
      <rPr>
        <sz val="10"/>
        <rFont val="Times New Roman"/>
        <family val="1"/>
      </rPr>
      <t xml:space="preserve">Bracket Ass'y., Sidelite Strike </t>
    </r>
  </si>
  <si>
    <r>
      <rPr>
        <sz val="10"/>
        <rFont val="Times New Roman"/>
        <family val="1"/>
      </rPr>
      <t xml:space="preserve">$68.00 </t>
    </r>
  </si>
  <si>
    <r>
      <rPr>
        <sz val="10"/>
        <rFont val="Times New Roman"/>
        <family val="1"/>
      </rPr>
      <t xml:space="preserve">4-51-0010 </t>
    </r>
  </si>
  <si>
    <r>
      <rPr>
        <sz val="10"/>
        <rFont val="Times New Roman"/>
        <family val="1"/>
      </rPr>
      <t xml:space="preserve">Plate Ass'y., Terminal Block </t>
    </r>
  </si>
  <si>
    <r>
      <rPr>
        <sz val="10"/>
        <rFont val="Times New Roman"/>
        <family val="1"/>
      </rPr>
      <t xml:space="preserve">$38.00 </t>
    </r>
  </si>
  <si>
    <r>
      <rPr>
        <sz val="10"/>
        <rFont val="Times New Roman"/>
        <family val="1"/>
      </rPr>
      <t xml:space="preserve">4-51-0011 </t>
    </r>
  </si>
  <si>
    <r>
      <rPr>
        <sz val="10"/>
        <rFont val="Times New Roman"/>
        <family val="1"/>
      </rPr>
      <t xml:space="preserve">Torque Bar Ass'y. - SX Panels </t>
    </r>
  </si>
  <si>
    <r>
      <rPr>
        <sz val="10"/>
        <rFont val="Times New Roman"/>
        <family val="1"/>
      </rPr>
      <t xml:space="preserve">$230.00 </t>
    </r>
  </si>
  <si>
    <r>
      <rPr>
        <sz val="10"/>
        <rFont val="Times New Roman"/>
        <family val="1"/>
      </rPr>
      <t xml:space="preserve">4-51-0012 </t>
    </r>
  </si>
  <si>
    <r>
      <rPr>
        <sz val="10"/>
        <rFont val="Times New Roman"/>
        <family val="1"/>
      </rPr>
      <t xml:space="preserve">Carrier Ass'y., Slave </t>
    </r>
  </si>
  <si>
    <r>
      <rPr>
        <sz val="10"/>
        <rFont val="Times New Roman"/>
        <family val="1"/>
      </rPr>
      <t xml:space="preserve">$352.00 </t>
    </r>
  </si>
  <si>
    <r>
      <rPr>
        <sz val="10"/>
        <rFont val="Times New Roman"/>
        <family val="1"/>
      </rPr>
      <t xml:space="preserve">4-51-0013 </t>
    </r>
  </si>
  <si>
    <r>
      <rPr>
        <sz val="10"/>
        <rFont val="Times New Roman"/>
        <family val="1"/>
      </rPr>
      <t xml:space="preserve">Door Catch Ass'y. - L.H. </t>
    </r>
  </si>
  <si>
    <r>
      <rPr>
        <sz val="10"/>
        <rFont val="Times New Roman"/>
        <family val="1"/>
      </rPr>
      <t xml:space="preserve">$78.00 </t>
    </r>
  </si>
  <si>
    <r>
      <rPr>
        <sz val="10"/>
        <rFont val="Times New Roman"/>
        <family val="1"/>
      </rPr>
      <t xml:space="preserve">4-51-0014 </t>
    </r>
  </si>
  <si>
    <r>
      <rPr>
        <sz val="10"/>
        <rFont val="Times New Roman"/>
        <family val="1"/>
      </rPr>
      <t xml:space="preserve">Door Catch Ass'y. - R.H. </t>
    </r>
  </si>
  <si>
    <r>
      <rPr>
        <sz val="10"/>
        <rFont val="Times New Roman"/>
        <family val="1"/>
      </rPr>
      <t xml:space="preserve">4-51-0015 </t>
    </r>
  </si>
  <si>
    <r>
      <rPr>
        <sz val="10"/>
        <rFont val="Times New Roman"/>
        <family val="1"/>
      </rPr>
      <t xml:space="preserve">Interlock Ass'y. - L.H. Parts orders only </t>
    </r>
  </si>
  <si>
    <r>
      <rPr>
        <sz val="10"/>
        <rFont val="Times New Roman"/>
        <family val="1"/>
      </rPr>
      <t xml:space="preserve">4-51-0016 </t>
    </r>
  </si>
  <si>
    <r>
      <rPr>
        <sz val="10"/>
        <rFont val="Times New Roman"/>
        <family val="1"/>
      </rPr>
      <t xml:space="preserve">Interlock Ass'y. - R.H. Parts orders only </t>
    </r>
  </si>
  <si>
    <r>
      <rPr>
        <sz val="10"/>
        <rFont val="Times New Roman"/>
        <family val="1"/>
      </rPr>
      <t xml:space="preserve">4-51-0017 </t>
    </r>
  </si>
  <si>
    <r>
      <rPr>
        <sz val="10"/>
        <rFont val="Times New Roman"/>
        <family val="1"/>
      </rPr>
      <t xml:space="preserve">Plate Sub-Ass'y., Carrier Roller </t>
    </r>
  </si>
  <si>
    <r>
      <rPr>
        <sz val="10"/>
        <rFont val="Times New Roman"/>
        <family val="1"/>
      </rPr>
      <t xml:space="preserve">4-51-0018 </t>
    </r>
  </si>
  <si>
    <r>
      <rPr>
        <sz val="10"/>
        <rFont val="Times New Roman"/>
        <family val="1"/>
      </rPr>
      <t xml:space="preserve">Carrier Ass'y., Telescope Primary Door, Slave </t>
    </r>
  </si>
  <si>
    <r>
      <rPr>
        <sz val="10"/>
        <rFont val="Times New Roman"/>
        <family val="1"/>
      </rPr>
      <t xml:space="preserve">$421.00 </t>
    </r>
  </si>
  <si>
    <r>
      <rPr>
        <sz val="10"/>
        <rFont val="Times New Roman"/>
        <family val="1"/>
      </rPr>
      <t xml:space="preserve">4-51-0019 </t>
    </r>
  </si>
  <si>
    <r>
      <rPr>
        <sz val="10"/>
        <rFont val="Times New Roman"/>
        <family val="1"/>
      </rPr>
      <t xml:space="preserve">Carrier Ass'y., Telescope Primary Door, Belt </t>
    </r>
  </si>
  <si>
    <r>
      <rPr>
        <sz val="10"/>
        <rFont val="Times New Roman"/>
        <family val="1"/>
      </rPr>
      <t xml:space="preserve">$486.00 </t>
    </r>
  </si>
  <si>
    <r>
      <rPr>
        <sz val="10"/>
        <rFont val="Times New Roman"/>
        <family val="1"/>
      </rPr>
      <t xml:space="preserve">4-51-0020 </t>
    </r>
  </si>
  <si>
    <r>
      <rPr>
        <sz val="10"/>
        <rFont val="Times New Roman"/>
        <family val="1"/>
      </rPr>
      <t xml:space="preserve">Door Stop Ass'y. </t>
    </r>
  </si>
  <si>
    <r>
      <rPr>
        <sz val="10"/>
        <rFont val="Times New Roman"/>
        <family val="1"/>
      </rPr>
      <t xml:space="preserve">4-51-0022 </t>
    </r>
  </si>
  <si>
    <r>
      <rPr>
        <sz val="10"/>
        <rFont val="Times New Roman"/>
        <family val="1"/>
      </rPr>
      <t xml:space="preserve">Slave Pulley Ass'y. "B" (Leading End) </t>
    </r>
  </si>
  <si>
    <r>
      <rPr>
        <sz val="10"/>
        <rFont val="Times New Roman"/>
        <family val="1"/>
      </rPr>
      <t xml:space="preserve">$286.00 </t>
    </r>
  </si>
  <si>
    <r>
      <rPr>
        <sz val="10"/>
        <rFont val="Times New Roman"/>
        <family val="1"/>
      </rPr>
      <t xml:space="preserve">4-51-0023 </t>
    </r>
  </si>
  <si>
    <r>
      <rPr>
        <sz val="10"/>
        <rFont val="Times New Roman"/>
        <family val="1"/>
      </rPr>
      <t xml:space="preserve">Slave Pulley Ass'y. "A" (Leading End) </t>
    </r>
  </si>
  <si>
    <r>
      <rPr>
        <sz val="10"/>
        <rFont val="Times New Roman"/>
        <family val="1"/>
      </rPr>
      <t xml:space="preserve">4-51-0024 </t>
    </r>
  </si>
  <si>
    <r>
      <rPr>
        <sz val="10"/>
        <rFont val="Times New Roman"/>
        <family val="1"/>
      </rPr>
      <t xml:space="preserve">Slave Pulley Ass'y. "B" (Pivot End) </t>
    </r>
  </si>
  <si>
    <r>
      <rPr>
        <sz val="10"/>
        <rFont val="Times New Roman"/>
        <family val="1"/>
      </rPr>
      <t xml:space="preserve">4-51-0025 </t>
    </r>
  </si>
  <si>
    <r>
      <rPr>
        <sz val="10"/>
        <rFont val="Times New Roman"/>
        <family val="1"/>
      </rPr>
      <t xml:space="preserve">Slave Pulley Ass'y. "A" (Pivot End) </t>
    </r>
  </si>
  <si>
    <r>
      <rPr>
        <sz val="10"/>
        <rFont val="Times New Roman"/>
        <family val="1"/>
      </rPr>
      <t xml:space="preserve">4-51-0028 </t>
    </r>
  </si>
  <si>
    <r>
      <rPr>
        <sz val="10"/>
        <rFont val="Times New Roman"/>
        <family val="1"/>
      </rPr>
      <t xml:space="preserve">Toe Roller Ass'y. </t>
    </r>
  </si>
  <si>
    <r>
      <rPr>
        <sz val="10"/>
        <rFont val="Times New Roman"/>
        <family val="1"/>
      </rPr>
      <t xml:space="preserve">4-51-0093 </t>
    </r>
  </si>
  <si>
    <r>
      <rPr>
        <sz val="10"/>
        <rFont val="Times New Roman"/>
        <family val="1"/>
      </rPr>
      <t xml:space="preserve">Bottom Guide Ass'y. (Hurricane Rated Sliders) </t>
    </r>
  </si>
  <si>
    <r>
      <rPr>
        <sz val="10"/>
        <rFont val="Times New Roman"/>
        <family val="1"/>
      </rPr>
      <t xml:space="preserve">$387.00 </t>
    </r>
  </si>
  <si>
    <r>
      <rPr>
        <sz val="10"/>
        <rFont val="Times New Roman"/>
        <family val="1"/>
      </rPr>
      <t xml:space="preserve">4-51-0093-CL </t>
    </r>
  </si>
  <si>
    <r>
      <rPr>
        <sz val="10"/>
        <rFont val="Times New Roman"/>
        <family val="1"/>
      </rPr>
      <t xml:space="preserve">Bottom Guide Ass'y., Hurricane Rated Slider, w/CL Hardware </t>
    </r>
  </si>
  <si>
    <r>
      <rPr>
        <sz val="10"/>
        <rFont val="Times New Roman"/>
        <family val="1"/>
      </rPr>
      <t xml:space="preserve">$395.00 </t>
    </r>
  </si>
  <si>
    <r>
      <rPr>
        <sz val="10"/>
        <rFont val="Times New Roman"/>
        <family val="1"/>
      </rPr>
      <t xml:space="preserve">4-51-0093-DB </t>
    </r>
  </si>
  <si>
    <r>
      <rPr>
        <sz val="10"/>
        <rFont val="Times New Roman"/>
        <family val="1"/>
      </rPr>
      <t xml:space="preserve">Bottom Guide Ass'y., Hurricane Rated Slider, w/DB Hardware </t>
    </r>
  </si>
  <si>
    <r>
      <rPr>
        <sz val="10"/>
        <rFont val="Times New Roman"/>
        <family val="1"/>
      </rPr>
      <t xml:space="preserve">4-51-0095 </t>
    </r>
  </si>
  <si>
    <r>
      <rPr>
        <sz val="10"/>
        <rFont val="Times New Roman"/>
        <family val="1"/>
      </rPr>
      <t xml:space="preserve">Roller Catch Ass'y. </t>
    </r>
  </si>
  <si>
    <r>
      <rPr>
        <sz val="10"/>
        <rFont val="Times New Roman"/>
        <family val="1"/>
      </rPr>
      <t xml:space="preserve">4-51-0096 </t>
    </r>
  </si>
  <si>
    <r>
      <rPr>
        <sz val="10"/>
        <rFont val="Times New Roman"/>
        <family val="1"/>
      </rPr>
      <t xml:space="preserve">Roller Catch &amp; Panic Switch Magnet Ass'y. </t>
    </r>
  </si>
  <si>
    <r>
      <rPr>
        <sz val="10"/>
        <rFont val="Times New Roman"/>
        <family val="1"/>
      </rPr>
      <t xml:space="preserve">$94.00 </t>
    </r>
  </si>
  <si>
    <r>
      <rPr>
        <sz val="10"/>
        <rFont val="Times New Roman"/>
        <family val="1"/>
      </rPr>
      <t xml:space="preserve">4-51-0099 </t>
    </r>
  </si>
  <si>
    <r>
      <rPr>
        <sz val="10"/>
        <rFont val="Times New Roman"/>
        <family val="1"/>
      </rPr>
      <t xml:space="preserve">Seal, Sway Rail End Cap </t>
    </r>
  </si>
  <si>
    <r>
      <rPr>
        <sz val="10"/>
        <rFont val="Times New Roman"/>
        <family val="1"/>
      </rPr>
      <t xml:space="preserve">$15.00 </t>
    </r>
  </si>
  <si>
    <r>
      <rPr>
        <sz val="10"/>
        <rFont val="Times New Roman"/>
        <family val="1"/>
      </rPr>
      <t xml:space="preserve">4-51-0105 </t>
    </r>
  </si>
  <si>
    <r>
      <rPr>
        <sz val="10"/>
        <rFont val="Times New Roman"/>
        <family val="1"/>
      </rPr>
      <t xml:space="preserve">Control Module, Dual Rocker Switch </t>
    </r>
  </si>
  <si>
    <r>
      <rPr>
        <sz val="10"/>
        <rFont val="Times New Roman"/>
        <family val="1"/>
      </rPr>
      <t xml:space="preserve">$950.00 </t>
    </r>
  </si>
  <si>
    <r>
      <rPr>
        <sz val="10"/>
        <rFont val="Times New Roman"/>
        <family val="1"/>
      </rPr>
      <t xml:space="preserve">4-51-0106 </t>
    </r>
  </si>
  <si>
    <r>
      <rPr>
        <sz val="10"/>
        <rFont val="Times New Roman"/>
        <family val="1"/>
      </rPr>
      <t xml:space="preserve">Control Module, Rocker/Key Switch </t>
    </r>
  </si>
  <si>
    <r>
      <rPr>
        <sz val="10"/>
        <rFont val="Times New Roman"/>
        <family val="1"/>
      </rPr>
      <t xml:space="preserve">4-51-0141 </t>
    </r>
  </si>
  <si>
    <r>
      <rPr>
        <sz val="10"/>
        <rFont val="Times New Roman"/>
        <family val="1"/>
      </rPr>
      <t xml:space="preserve">Housing Ass'y., Power Supply Sub-Ass'y Part </t>
    </r>
  </si>
  <si>
    <r>
      <rPr>
        <sz val="10"/>
        <rFont val="Times New Roman"/>
        <family val="1"/>
      </rPr>
      <t xml:space="preserve">4-51-0142 </t>
    </r>
  </si>
  <si>
    <r>
      <rPr>
        <sz val="10"/>
        <rFont val="Times New Roman"/>
        <family val="1"/>
      </rPr>
      <t xml:space="preserve">Power Supply Ass'y (5100 Ser.) 110 v, System 20 </t>
    </r>
  </si>
  <si>
    <r>
      <rPr>
        <sz val="10"/>
        <rFont val="Times New Roman"/>
        <family val="1"/>
      </rPr>
      <t xml:space="preserve">$595.00 </t>
    </r>
  </si>
  <si>
    <r>
      <rPr>
        <sz val="10"/>
        <rFont val="Times New Roman"/>
        <family val="1"/>
      </rPr>
      <t xml:space="preserve">4-51-0144 </t>
    </r>
  </si>
  <si>
    <r>
      <rPr>
        <sz val="10"/>
        <rFont val="Times New Roman"/>
        <family val="1"/>
      </rPr>
      <t xml:space="preserve">Motordrive / Plate Ass'y. (System 20) </t>
    </r>
  </si>
  <si>
    <r>
      <rPr>
        <sz val="10"/>
        <rFont val="Times New Roman"/>
        <family val="1"/>
      </rPr>
      <t xml:space="preserve">$2,693.00 </t>
    </r>
  </si>
  <si>
    <r>
      <rPr>
        <sz val="10"/>
        <rFont val="Times New Roman"/>
        <family val="1"/>
      </rPr>
      <t xml:space="preserve">4-51-0150 </t>
    </r>
  </si>
  <si>
    <r>
      <rPr>
        <sz val="10"/>
        <rFont val="Times New Roman"/>
        <family val="1"/>
      </rPr>
      <t xml:space="preserve">Pin Guide Threshold Ass'y.- LH </t>
    </r>
  </si>
  <si>
    <r>
      <rPr>
        <sz val="10"/>
        <rFont val="Times New Roman"/>
        <family val="1"/>
      </rPr>
      <t xml:space="preserve">$293.00 </t>
    </r>
  </si>
  <si>
    <r>
      <rPr>
        <sz val="10"/>
        <rFont val="Times New Roman"/>
        <family val="1"/>
      </rPr>
      <t xml:space="preserve">4-51-0151 </t>
    </r>
  </si>
  <si>
    <r>
      <rPr>
        <sz val="10"/>
        <rFont val="Times New Roman"/>
        <family val="1"/>
      </rPr>
      <t xml:space="preserve">Pin Guide Threshold Ass'y.- RH </t>
    </r>
  </si>
  <si>
    <r>
      <rPr>
        <sz val="10"/>
        <rFont val="Times New Roman"/>
        <family val="1"/>
      </rPr>
      <t xml:space="preserve">4-51-0165-BL </t>
    </r>
  </si>
  <si>
    <r>
      <rPr>
        <sz val="10"/>
        <rFont val="Times New Roman"/>
        <family val="1"/>
      </rPr>
      <t xml:space="preserve">Seal, Door Bottom (Clean Room) BLACK ANO-FROM 9-99-5426 W/0 </t>
    </r>
  </si>
  <si>
    <r>
      <rPr>
        <sz val="10"/>
        <rFont val="Times New Roman"/>
        <family val="1"/>
      </rPr>
      <t xml:space="preserve">$189.00 </t>
    </r>
  </si>
  <si>
    <r>
      <rPr>
        <sz val="10"/>
        <rFont val="Times New Roman"/>
        <family val="1"/>
      </rPr>
      <t xml:space="preserve">4-51-0166 </t>
    </r>
  </si>
  <si>
    <r>
      <rPr>
        <sz val="10"/>
        <rFont val="Times New Roman"/>
        <family val="1"/>
      </rPr>
      <t xml:space="preserve">Slide Track Ass'y., Sidelite (Parts Orders) </t>
    </r>
  </si>
  <si>
    <r>
      <rPr>
        <sz val="10"/>
        <rFont val="Times New Roman"/>
        <family val="1"/>
      </rPr>
      <t xml:space="preserve">4-51-0500 </t>
    </r>
  </si>
  <si>
    <r>
      <rPr>
        <sz val="10"/>
        <rFont val="Times New Roman"/>
        <family val="1"/>
      </rPr>
      <t xml:space="preserve">Harness, Elect. Lock Extension 2 Ft. </t>
    </r>
  </si>
  <si>
    <r>
      <rPr>
        <sz val="10"/>
        <rFont val="Times New Roman"/>
        <family val="1"/>
      </rPr>
      <t xml:space="preserve">$88.00 </t>
    </r>
  </si>
  <si>
    <r>
      <rPr>
        <sz val="10"/>
        <rFont val="Times New Roman"/>
        <family val="1"/>
      </rPr>
      <t xml:space="preserve">4-51-0501 </t>
    </r>
  </si>
  <si>
    <r>
      <rPr>
        <sz val="10"/>
        <rFont val="Times New Roman"/>
        <family val="1"/>
      </rPr>
      <t xml:space="preserve">Harness, Elect. Lock Extension 3 Ft. </t>
    </r>
  </si>
  <si>
    <r>
      <rPr>
        <sz val="10"/>
        <rFont val="Times New Roman"/>
        <family val="1"/>
      </rPr>
      <t xml:space="preserve">4-51-0502 </t>
    </r>
  </si>
  <si>
    <r>
      <rPr>
        <sz val="10"/>
        <rFont val="Times New Roman"/>
        <family val="1"/>
      </rPr>
      <t xml:space="preserve">Harness, Elect. Lock Extension 4 Ft. </t>
    </r>
  </si>
  <si>
    <r>
      <rPr>
        <sz val="10"/>
        <rFont val="Times New Roman"/>
        <family val="1"/>
      </rPr>
      <t xml:space="preserve">4-51-0503 </t>
    </r>
  </si>
  <si>
    <r>
      <rPr>
        <sz val="10"/>
        <rFont val="Times New Roman"/>
        <family val="1"/>
      </rPr>
      <t xml:space="preserve">Wire Harness, 2nd. Motor, Dual Motor Unit </t>
    </r>
  </si>
  <si>
    <r>
      <rPr>
        <sz val="10"/>
        <rFont val="Times New Roman"/>
        <family val="1"/>
      </rPr>
      <t xml:space="preserve">4-51-0504 </t>
    </r>
  </si>
  <si>
    <r>
      <rPr>
        <sz val="10"/>
        <rFont val="Times New Roman"/>
        <family val="1"/>
      </rPr>
      <t xml:space="preserve">Wire Harness, Power Supply, Dual Motor Unit </t>
    </r>
  </si>
  <si>
    <r>
      <rPr>
        <sz val="10"/>
        <rFont val="Times New Roman"/>
        <family val="1"/>
      </rPr>
      <t xml:space="preserve">4-51-0810 </t>
    </r>
  </si>
  <si>
    <r>
      <rPr>
        <sz val="10"/>
        <rFont val="Times New Roman"/>
        <family val="1"/>
      </rPr>
      <t xml:space="preserve">Kit "A", Pulley, Secondary Door, Telescope Slider </t>
    </r>
  </si>
  <si>
    <r>
      <rPr>
        <sz val="10"/>
        <rFont val="Times New Roman"/>
        <family val="1"/>
      </rPr>
      <t xml:space="preserve">$730.00 </t>
    </r>
  </si>
  <si>
    <r>
      <rPr>
        <sz val="10"/>
        <rFont val="Times New Roman"/>
        <family val="1"/>
      </rPr>
      <t xml:space="preserve">4-51-0811 </t>
    </r>
  </si>
  <si>
    <r>
      <rPr>
        <sz val="10"/>
        <rFont val="Times New Roman"/>
        <family val="1"/>
      </rPr>
      <t xml:space="preserve">Kit "B", Pulley, Secondary Door, Telescope Slider </t>
    </r>
  </si>
  <si>
    <r>
      <rPr>
        <sz val="10"/>
        <rFont val="Times New Roman"/>
        <family val="1"/>
      </rPr>
      <t xml:space="preserve">4-51-0812 </t>
    </r>
  </si>
  <si>
    <r>
      <rPr>
        <sz val="10"/>
        <rFont val="Times New Roman"/>
        <family val="1"/>
      </rPr>
      <t xml:space="preserve">Kit, Battery Backup, Lead Acid (System 19 &amp; 20 Products) </t>
    </r>
  </si>
  <si>
    <r>
      <rPr>
        <sz val="10"/>
        <rFont val="Times New Roman"/>
        <family val="1"/>
      </rPr>
      <t xml:space="preserve">$824.00 </t>
    </r>
  </si>
  <si>
    <r>
      <rPr>
        <sz val="10"/>
        <rFont val="Times New Roman"/>
        <family val="1"/>
      </rPr>
      <t xml:space="preserve">4-51-0817 </t>
    </r>
  </si>
  <si>
    <r>
      <rPr>
        <sz val="10"/>
        <rFont val="Times New Roman"/>
        <family val="1"/>
      </rPr>
      <t xml:space="preserve">Kit, Enclosure (Molded) - Display Control Panel </t>
    </r>
  </si>
  <si>
    <r>
      <rPr>
        <sz val="8"/>
        <rFont val="Times New Roman"/>
        <family val="1"/>
      </rPr>
      <t xml:space="preserve">Page 6 of  21 </t>
    </r>
  </si>
  <si>
    <r>
      <rPr>
        <sz val="10"/>
        <rFont val="Times New Roman"/>
        <family val="1"/>
      </rPr>
      <t xml:space="preserve">$937.00 </t>
    </r>
  </si>
  <si>
    <r>
      <rPr>
        <sz val="10"/>
        <rFont val="Times New Roman"/>
        <family val="1"/>
      </rPr>
      <t xml:space="preserve">4-51-0819 </t>
    </r>
  </si>
  <si>
    <r>
      <rPr>
        <sz val="10"/>
        <rFont val="Times New Roman"/>
        <family val="1"/>
      </rPr>
      <t xml:space="preserve">Kit, Beam Set, Safety Hold (Cedes with Molded Connectors) </t>
    </r>
  </si>
  <si>
    <r>
      <rPr>
        <sz val="10"/>
        <rFont val="Times New Roman"/>
        <family val="1"/>
      </rPr>
      <t xml:space="preserve">$609.00 </t>
    </r>
  </si>
  <si>
    <r>
      <rPr>
        <sz val="10"/>
        <rFont val="Times New Roman"/>
        <family val="1"/>
      </rPr>
      <t xml:space="preserve">4-51-0820-CL </t>
    </r>
  </si>
  <si>
    <r>
      <rPr>
        <sz val="10"/>
        <rFont val="Times New Roman"/>
        <family val="1"/>
      </rPr>
      <t xml:space="preserve">Kit, Schlage IC Cylinder (Housing, Green Core &amp; Keys) </t>
    </r>
  </si>
  <si>
    <r>
      <rPr>
        <sz val="10"/>
        <rFont val="Times New Roman"/>
        <family val="1"/>
      </rPr>
      <t xml:space="preserve">$398.00 </t>
    </r>
  </si>
  <si>
    <r>
      <rPr>
        <sz val="10"/>
        <rFont val="Times New Roman"/>
        <family val="1"/>
      </rPr>
      <t xml:space="preserve">4-51-0821 </t>
    </r>
  </si>
  <si>
    <r>
      <rPr>
        <sz val="10"/>
        <rFont val="Times New Roman"/>
        <family val="1"/>
      </rPr>
      <t xml:space="preserve">Terminal Bar Ass'y., Alarm Contact </t>
    </r>
  </si>
  <si>
    <r>
      <rPr>
        <sz val="10"/>
        <rFont val="Times New Roman"/>
        <family val="1"/>
      </rPr>
      <t xml:space="preserve">4-51-0822 </t>
    </r>
  </si>
  <si>
    <r>
      <rPr>
        <sz val="10"/>
        <rFont val="Times New Roman"/>
        <family val="1"/>
      </rPr>
      <t xml:space="preserve">Kit, Alarm Contacts, SO Panel Breakout </t>
    </r>
  </si>
  <si>
    <r>
      <rPr>
        <sz val="10"/>
        <rFont val="Times New Roman"/>
        <family val="1"/>
      </rPr>
      <t xml:space="preserve">4-51-0823-P </t>
    </r>
  </si>
  <si>
    <r>
      <rPr>
        <sz val="10"/>
        <rFont val="Times New Roman"/>
        <family val="1"/>
      </rPr>
      <t xml:space="preserve">Kit, Alarm Contacts, O Panel Breakout, Under 48" PW, Parts </t>
    </r>
  </si>
  <si>
    <r>
      <rPr>
        <sz val="10"/>
        <rFont val="Times New Roman"/>
        <family val="1"/>
      </rPr>
      <t xml:space="preserve">4-51-0824 </t>
    </r>
  </si>
  <si>
    <r>
      <rPr>
        <sz val="10"/>
        <rFont val="Times New Roman"/>
        <family val="1"/>
      </rPr>
      <t xml:space="preserve">Kit, Alarm Contacts, Door Open / Door Closed </t>
    </r>
  </si>
  <si>
    <r>
      <rPr>
        <sz val="10"/>
        <rFont val="Times New Roman"/>
        <family val="1"/>
      </rPr>
      <t xml:space="preserve">4-51-0826 </t>
    </r>
  </si>
  <si>
    <r>
      <rPr>
        <sz val="10"/>
        <rFont val="Times New Roman"/>
        <family val="1"/>
      </rPr>
      <t xml:space="preserve">Kit, System 20 Drive Module (110V) </t>
    </r>
  </si>
  <si>
    <r>
      <rPr>
        <sz val="10"/>
        <rFont val="Times New Roman"/>
        <family val="1"/>
      </rPr>
      <t xml:space="preserve">$7,046.00 </t>
    </r>
  </si>
  <si>
    <r>
      <rPr>
        <sz val="10"/>
        <rFont val="Times New Roman"/>
        <family val="1"/>
      </rPr>
      <t xml:space="preserve">4-51-1001 </t>
    </r>
  </si>
  <si>
    <r>
      <rPr>
        <sz val="10"/>
        <rFont val="Times New Roman"/>
        <family val="1"/>
      </rPr>
      <t xml:space="preserve">Bracket, Belt Base </t>
    </r>
  </si>
  <si>
    <r>
      <rPr>
        <sz val="10"/>
        <rFont val="Times New Roman"/>
        <family val="1"/>
      </rPr>
      <t xml:space="preserve">4-51-1002 </t>
    </r>
  </si>
  <si>
    <r>
      <rPr>
        <sz val="10"/>
        <rFont val="Times New Roman"/>
        <family val="1"/>
      </rPr>
      <t xml:space="preserve">Bracket, Belt Clasp </t>
    </r>
  </si>
  <si>
    <r>
      <rPr>
        <sz val="10"/>
        <rFont val="Times New Roman"/>
        <family val="1"/>
      </rPr>
      <t xml:space="preserve">4-51-1003 </t>
    </r>
  </si>
  <si>
    <r>
      <rPr>
        <sz val="10"/>
        <rFont val="Times New Roman"/>
        <family val="1"/>
      </rPr>
      <t xml:space="preserve">**DNU** Bracket, Torque Tube Support </t>
    </r>
  </si>
  <si>
    <r>
      <rPr>
        <sz val="10"/>
        <rFont val="Times New Roman"/>
        <family val="1"/>
      </rPr>
      <t xml:space="preserve">$47.00 </t>
    </r>
  </si>
  <si>
    <r>
      <rPr>
        <sz val="10"/>
        <rFont val="Times New Roman"/>
        <family val="1"/>
      </rPr>
      <t xml:space="preserve">4-51-1004 </t>
    </r>
  </si>
  <si>
    <r>
      <rPr>
        <sz val="10"/>
        <rFont val="Times New Roman"/>
        <family val="1"/>
      </rPr>
      <t xml:space="preserve">Bracket, Conduit Anchor </t>
    </r>
  </si>
  <si>
    <r>
      <rPr>
        <sz val="10"/>
        <rFont val="Times New Roman"/>
        <family val="1"/>
      </rPr>
      <t xml:space="preserve">4-51-1005 </t>
    </r>
  </si>
  <si>
    <r>
      <rPr>
        <sz val="10"/>
        <rFont val="Times New Roman"/>
        <family val="1"/>
      </rPr>
      <t xml:space="preserve">4-51-1009 </t>
    </r>
  </si>
  <si>
    <r>
      <rPr>
        <sz val="10"/>
        <rFont val="Times New Roman"/>
        <family val="1"/>
      </rPr>
      <t xml:space="preserve">Bracket, Idler Pulley Rev. A </t>
    </r>
  </si>
  <si>
    <r>
      <rPr>
        <sz val="10"/>
        <rFont val="Times New Roman"/>
        <family val="1"/>
      </rPr>
      <t xml:space="preserve">4-51-1010 </t>
    </r>
  </si>
  <si>
    <r>
      <rPr>
        <sz val="10"/>
        <rFont val="Times New Roman"/>
        <family val="1"/>
      </rPr>
      <t xml:space="preserve">Bracket, Sidelite Strike </t>
    </r>
  </si>
  <si>
    <r>
      <rPr>
        <sz val="10"/>
        <rFont val="Times New Roman"/>
        <family val="1"/>
      </rPr>
      <t xml:space="preserve">$33.00 </t>
    </r>
  </si>
  <si>
    <r>
      <rPr>
        <sz val="10"/>
        <rFont val="Times New Roman"/>
        <family val="1"/>
      </rPr>
      <t xml:space="preserve">4-51-1011 </t>
    </r>
  </si>
  <si>
    <r>
      <rPr>
        <sz val="10"/>
        <rFont val="Times New Roman"/>
        <family val="1"/>
      </rPr>
      <t xml:space="preserve">Bracket, Mounting (Flush Panic Device Housing) </t>
    </r>
  </si>
  <si>
    <r>
      <rPr>
        <sz val="10"/>
        <rFont val="Times New Roman"/>
        <family val="1"/>
      </rPr>
      <t xml:space="preserve">4-51-1012 </t>
    </r>
  </si>
  <si>
    <r>
      <rPr>
        <sz val="10"/>
        <rFont val="Times New Roman"/>
        <family val="1"/>
      </rPr>
      <t xml:space="preserve">Bracket, Jamb/Mullion Mount </t>
    </r>
  </si>
  <si>
    <r>
      <rPr>
        <sz val="10"/>
        <rFont val="Times New Roman"/>
        <family val="1"/>
      </rPr>
      <t xml:space="preserve">$40.00 </t>
    </r>
  </si>
  <si>
    <r>
      <rPr>
        <sz val="10"/>
        <rFont val="Times New Roman"/>
        <family val="1"/>
      </rPr>
      <t xml:space="preserve">4-51-1015 </t>
    </r>
  </si>
  <si>
    <r>
      <rPr>
        <sz val="10"/>
        <rFont val="Times New Roman"/>
        <family val="1"/>
      </rPr>
      <t xml:space="preserve">Plate, Header Mounting Brkt. (Wide Pocket Side Jambs) </t>
    </r>
  </si>
  <si>
    <r>
      <rPr>
        <sz val="10"/>
        <rFont val="Times New Roman"/>
        <family val="1"/>
      </rPr>
      <t xml:space="preserve">4-51-1016 </t>
    </r>
  </si>
  <si>
    <r>
      <rPr>
        <sz val="10"/>
        <rFont val="Times New Roman"/>
        <family val="1"/>
      </rPr>
      <t xml:space="preserve">Plate, Lock Strike (Wide Pocket Side Jambs) </t>
    </r>
  </si>
  <si>
    <r>
      <rPr>
        <sz val="10"/>
        <rFont val="Times New Roman"/>
        <family val="1"/>
      </rPr>
      <t xml:space="preserve">4-51-1017 </t>
    </r>
  </si>
  <si>
    <r>
      <rPr>
        <sz val="10"/>
        <rFont val="Times New Roman"/>
        <family val="1"/>
      </rPr>
      <t xml:space="preserve">Spacer, Carrier Roller </t>
    </r>
  </si>
  <si>
    <r>
      <rPr>
        <sz val="10"/>
        <rFont val="Times New Roman"/>
        <family val="1"/>
      </rPr>
      <t xml:space="preserve">4-51-1021 </t>
    </r>
  </si>
  <si>
    <r>
      <rPr>
        <sz val="10"/>
        <rFont val="Times New Roman"/>
        <family val="1"/>
      </rPr>
      <t xml:space="preserve">Axle, Carrier Roller Rev. A </t>
    </r>
  </si>
  <si>
    <r>
      <rPr>
        <sz val="10"/>
        <rFont val="Times New Roman"/>
        <family val="1"/>
      </rPr>
      <t xml:space="preserve">4-51-1023 </t>
    </r>
  </si>
  <si>
    <r>
      <rPr>
        <sz val="10"/>
        <rFont val="Times New Roman"/>
        <family val="1"/>
      </rPr>
      <t xml:space="preserve">Plate, Nut (Slave Carrier Belt Clamp - Telescope) </t>
    </r>
  </si>
  <si>
    <r>
      <rPr>
        <sz val="10"/>
        <rFont val="Times New Roman"/>
        <family val="1"/>
      </rPr>
      <t xml:space="preserve">4-51-1024 </t>
    </r>
  </si>
  <si>
    <r>
      <rPr>
        <sz val="10"/>
        <rFont val="Times New Roman"/>
        <family val="1"/>
      </rPr>
      <t xml:space="preserve">Plate, Nut (Slave Pulley - Telescope) </t>
    </r>
  </si>
  <si>
    <r>
      <rPr>
        <sz val="10"/>
        <rFont val="Times New Roman"/>
        <family val="1"/>
      </rPr>
      <t xml:space="preserve">4-51-1025 </t>
    </r>
  </si>
  <si>
    <r>
      <rPr>
        <sz val="10"/>
        <rFont val="Times New Roman"/>
        <family val="1"/>
      </rPr>
      <t xml:space="preserve">Spacer, Slave Pulley (Timing Belt - Telescope) </t>
    </r>
  </si>
  <si>
    <r>
      <rPr>
        <sz val="10"/>
        <rFont val="Times New Roman"/>
        <family val="1"/>
      </rPr>
      <t xml:space="preserve">$63.00 </t>
    </r>
  </si>
  <si>
    <r>
      <rPr>
        <sz val="10"/>
        <rFont val="Times New Roman"/>
        <family val="1"/>
      </rPr>
      <t xml:space="preserve">4-51-1026 </t>
    </r>
  </si>
  <si>
    <r>
      <rPr>
        <sz val="10"/>
        <rFont val="Times New Roman"/>
        <family val="1"/>
      </rPr>
      <t xml:space="preserve">Plate, Belt Retainer (Tele.) Rev. A </t>
    </r>
  </si>
  <si>
    <r>
      <rPr>
        <sz val="10"/>
        <rFont val="Times New Roman"/>
        <family val="1"/>
      </rPr>
      <t xml:space="preserve">4-51-1029 </t>
    </r>
  </si>
  <si>
    <r>
      <rPr>
        <sz val="10"/>
        <rFont val="Times New Roman"/>
        <family val="1"/>
      </rPr>
      <t xml:space="preserve">Bracket, Timing Belt Base (Telescope) </t>
    </r>
  </si>
  <si>
    <r>
      <rPr>
        <sz val="10"/>
        <rFont val="Times New Roman"/>
        <family val="1"/>
      </rPr>
      <t xml:space="preserve">4-51-1030 </t>
    </r>
  </si>
  <si>
    <r>
      <rPr>
        <sz val="10"/>
        <rFont val="Times New Roman"/>
        <family val="1"/>
      </rPr>
      <t xml:space="preserve">Bracket, Timing Belt Clamp (Telescope) </t>
    </r>
  </si>
  <si>
    <r>
      <rPr>
        <sz val="10"/>
        <rFont val="Times New Roman"/>
        <family val="1"/>
      </rPr>
      <t xml:space="preserve">4-51-1031 </t>
    </r>
  </si>
  <si>
    <r>
      <rPr>
        <sz val="10"/>
        <rFont val="Times New Roman"/>
        <family val="1"/>
      </rPr>
      <t xml:space="preserve">Bracket, Timing Belt Clasp (Telescope) </t>
    </r>
  </si>
  <si>
    <r>
      <rPr>
        <sz val="10"/>
        <rFont val="Times New Roman"/>
        <family val="1"/>
      </rPr>
      <t xml:space="preserve">4-51-1032 </t>
    </r>
  </si>
  <si>
    <r>
      <rPr>
        <sz val="10"/>
        <rFont val="Times New Roman"/>
        <family val="1"/>
      </rPr>
      <t xml:space="preserve">Clamp, Timing Belt (Telescope) </t>
    </r>
  </si>
  <si>
    <r>
      <rPr>
        <sz val="10"/>
        <rFont val="Times New Roman"/>
        <family val="1"/>
      </rPr>
      <t xml:space="preserve">$74.00 </t>
    </r>
  </si>
  <si>
    <r>
      <rPr>
        <sz val="10"/>
        <rFont val="Times New Roman"/>
        <family val="1"/>
      </rPr>
      <t xml:space="preserve">4-51-1037 </t>
    </r>
  </si>
  <si>
    <r>
      <rPr>
        <sz val="10"/>
        <rFont val="Times New Roman"/>
        <family val="1"/>
      </rPr>
      <t xml:space="preserve">Plate, Nut (10-32) </t>
    </r>
  </si>
  <si>
    <r>
      <rPr>
        <sz val="10"/>
        <rFont val="Times New Roman"/>
        <family val="1"/>
      </rPr>
      <t xml:space="preserve">4-51-1038 </t>
    </r>
  </si>
  <si>
    <r>
      <rPr>
        <sz val="10"/>
        <rFont val="Times New Roman"/>
        <family val="1"/>
      </rPr>
      <t xml:space="preserve">Housing, Door Catch Ass'y. (part of sub-assy') </t>
    </r>
  </si>
  <si>
    <r>
      <rPr>
        <sz val="10"/>
        <rFont val="Times New Roman"/>
        <family val="1"/>
      </rPr>
      <t xml:space="preserve">4-51-1039 </t>
    </r>
  </si>
  <si>
    <r>
      <rPr>
        <sz val="10"/>
        <rFont val="Times New Roman"/>
        <family val="1"/>
      </rPr>
      <t xml:space="preserve">Interlock, Door Catch-LH Rev D (part of sub-assy') </t>
    </r>
  </si>
  <si>
    <r>
      <rPr>
        <sz val="10"/>
        <rFont val="Times New Roman"/>
        <family val="1"/>
      </rPr>
      <t xml:space="preserve">4-51-1040 </t>
    </r>
  </si>
  <si>
    <r>
      <rPr>
        <sz val="10"/>
        <rFont val="Times New Roman"/>
        <family val="1"/>
      </rPr>
      <t xml:space="preserve">Interlock, Door Catch-RH Rev.B (part of sub-assy') </t>
    </r>
  </si>
  <si>
    <r>
      <rPr>
        <sz val="10"/>
        <rFont val="Times New Roman"/>
        <family val="1"/>
      </rPr>
      <t xml:space="preserve">4-51-1041 </t>
    </r>
  </si>
  <si>
    <r>
      <rPr>
        <sz val="10"/>
        <rFont val="Times New Roman"/>
        <family val="1"/>
      </rPr>
      <t xml:space="preserve">Bracket, Interlock Ass'y. Rev. A (part of sub-assy') </t>
    </r>
  </si>
  <si>
    <r>
      <rPr>
        <sz val="10"/>
        <rFont val="Times New Roman"/>
        <family val="1"/>
      </rPr>
      <t xml:space="preserve">$31.00 </t>
    </r>
  </si>
  <si>
    <r>
      <rPr>
        <sz val="10"/>
        <rFont val="Times New Roman"/>
        <family val="1"/>
      </rPr>
      <t xml:space="preserve">4-51-1042 </t>
    </r>
  </si>
  <si>
    <r>
      <rPr>
        <sz val="10"/>
        <rFont val="Times New Roman"/>
        <family val="1"/>
      </rPr>
      <t xml:space="preserve">Plate, Interlock Ass'y. Rev. A </t>
    </r>
  </si>
  <si>
    <r>
      <rPr>
        <sz val="10"/>
        <rFont val="Times New Roman"/>
        <family val="1"/>
      </rPr>
      <t xml:space="preserve">4-51-1047 </t>
    </r>
  </si>
  <si>
    <r>
      <rPr>
        <sz val="10"/>
        <rFont val="Times New Roman"/>
        <family val="1"/>
      </rPr>
      <t xml:space="preserve">Bracket, Upper Sidelite Pivot Rev. A </t>
    </r>
  </si>
  <si>
    <r>
      <rPr>
        <sz val="10"/>
        <rFont val="Times New Roman"/>
        <family val="1"/>
      </rPr>
      <t xml:space="preserve">$80.00 </t>
    </r>
  </si>
  <si>
    <r>
      <rPr>
        <sz val="10"/>
        <rFont val="Times New Roman"/>
        <family val="1"/>
      </rPr>
      <t xml:space="preserve">4-51-1049 </t>
    </r>
  </si>
  <si>
    <r>
      <rPr>
        <sz val="10"/>
        <rFont val="Times New Roman"/>
        <family val="1"/>
      </rPr>
      <t xml:space="preserve">End Cap, Door Catch </t>
    </r>
  </si>
  <si>
    <r>
      <rPr>
        <sz val="10"/>
        <rFont val="Times New Roman"/>
        <family val="1"/>
      </rPr>
      <t xml:space="preserve">4-51-1054 </t>
    </r>
  </si>
  <si>
    <r>
      <rPr>
        <sz val="10"/>
        <rFont val="Times New Roman"/>
        <family val="1"/>
      </rPr>
      <t xml:space="preserve">4-51-1055 </t>
    </r>
  </si>
  <si>
    <r>
      <rPr>
        <sz val="10"/>
        <rFont val="Times New Roman"/>
        <family val="1"/>
      </rPr>
      <t xml:space="preserve">Bracket, Header Mounting - LH </t>
    </r>
  </si>
  <si>
    <r>
      <rPr>
        <sz val="10"/>
        <rFont val="Times New Roman"/>
        <family val="1"/>
      </rPr>
      <t xml:space="preserve">$41.00 </t>
    </r>
  </si>
  <si>
    <r>
      <rPr>
        <sz val="10"/>
        <rFont val="Times New Roman"/>
        <family val="1"/>
      </rPr>
      <t xml:space="preserve">4-51-1055-WMH </t>
    </r>
  </si>
  <si>
    <r>
      <rPr>
        <sz val="10"/>
        <rFont val="Times New Roman"/>
        <family val="1"/>
      </rPr>
      <t xml:space="preserve">Bracket, Header Mounting - LH With Mounting Hardware </t>
    </r>
  </si>
  <si>
    <r>
      <rPr>
        <sz val="10"/>
        <rFont val="Times New Roman"/>
        <family val="1"/>
      </rPr>
      <t xml:space="preserve">4-51-1056 </t>
    </r>
  </si>
  <si>
    <r>
      <rPr>
        <sz val="10"/>
        <rFont val="Times New Roman"/>
        <family val="1"/>
      </rPr>
      <t xml:space="preserve">Bracket, Header Mounting - RH </t>
    </r>
  </si>
  <si>
    <r>
      <rPr>
        <sz val="10"/>
        <rFont val="Times New Roman"/>
        <family val="1"/>
      </rPr>
      <t xml:space="preserve">4-51-1056-WMH </t>
    </r>
  </si>
  <si>
    <r>
      <rPr>
        <sz val="10"/>
        <rFont val="Times New Roman"/>
        <family val="1"/>
      </rPr>
      <t xml:space="preserve">Bracket, Header Mounting - RH With Mounting Hardware </t>
    </r>
  </si>
  <si>
    <r>
      <rPr>
        <sz val="10"/>
        <rFont val="Times New Roman"/>
        <family val="1"/>
      </rPr>
      <t xml:space="preserve">4-51-1061 </t>
    </r>
  </si>
  <si>
    <r>
      <rPr>
        <sz val="10"/>
        <rFont val="Times New Roman"/>
        <family val="1"/>
      </rPr>
      <t xml:space="preserve">Lockbolt, F86 Recessed Exit Device </t>
    </r>
  </si>
  <si>
    <r>
      <rPr>
        <sz val="10"/>
        <rFont val="Times New Roman"/>
        <family val="1"/>
      </rPr>
      <t xml:space="preserve">4-51-1062-BL </t>
    </r>
  </si>
  <si>
    <r>
      <rPr>
        <sz val="10"/>
        <rFont val="Times New Roman"/>
        <family val="1"/>
      </rPr>
      <t xml:space="preserve">End Cap, Sway Rail </t>
    </r>
  </si>
  <si>
    <r>
      <rPr>
        <sz val="10"/>
        <rFont val="Times New Roman"/>
        <family val="1"/>
      </rPr>
      <t xml:space="preserve">4-51-1064 </t>
    </r>
  </si>
  <si>
    <r>
      <rPr>
        <sz val="10"/>
        <rFont val="Times New Roman"/>
        <family val="1"/>
      </rPr>
      <t xml:space="preserve">Plate, Door Interlock </t>
    </r>
  </si>
  <si>
    <r>
      <rPr>
        <sz val="10"/>
        <rFont val="Times New Roman"/>
        <family val="1"/>
      </rPr>
      <t xml:space="preserve">$129.00 </t>
    </r>
  </si>
  <si>
    <r>
      <rPr>
        <sz val="10"/>
        <rFont val="Times New Roman"/>
        <family val="1"/>
      </rPr>
      <t xml:space="preserve">4-51-1067 </t>
    </r>
  </si>
  <si>
    <r>
      <rPr>
        <sz val="10"/>
        <rFont val="Times New Roman"/>
        <family val="1"/>
      </rPr>
      <t xml:space="preserve">4-51-1070 </t>
    </r>
  </si>
  <si>
    <r>
      <rPr>
        <sz val="10"/>
        <rFont val="Times New Roman"/>
        <family val="1"/>
      </rPr>
      <t xml:space="preserve">Bracket, Cover Support </t>
    </r>
  </si>
  <si>
    <r>
      <rPr>
        <sz val="10"/>
        <rFont val="Times New Roman"/>
        <family val="1"/>
      </rPr>
      <t xml:space="preserve">4-51-1087 </t>
    </r>
  </si>
  <si>
    <r>
      <rPr>
        <sz val="10"/>
        <rFont val="Times New Roman"/>
        <family val="1"/>
      </rPr>
      <t xml:space="preserve">Bracket, Sidelite Strike w/Alarm Contact Prep </t>
    </r>
  </si>
  <si>
    <r>
      <rPr>
        <sz val="10"/>
        <rFont val="Times New Roman"/>
        <family val="1"/>
      </rPr>
      <t xml:space="preserve">$30.00 </t>
    </r>
  </si>
  <si>
    <r>
      <rPr>
        <sz val="8"/>
        <rFont val="Times New Roman"/>
        <family val="1"/>
      </rPr>
      <t xml:space="preserve">Page 7 of  21 </t>
    </r>
  </si>
  <si>
    <r>
      <rPr>
        <sz val="10"/>
        <rFont val="Times New Roman"/>
        <family val="1"/>
      </rPr>
      <t xml:space="preserve">4-51-4003-MF </t>
    </r>
  </si>
  <si>
    <r>
      <rPr>
        <sz val="10"/>
        <rFont val="Times New Roman"/>
        <family val="1"/>
      </rPr>
      <t xml:space="preserve">Insert, Bottom Sway Rail </t>
    </r>
  </si>
  <si>
    <r>
      <rPr>
        <sz val="10"/>
        <rFont val="Times New Roman"/>
        <family val="1"/>
      </rPr>
      <t xml:space="preserve">4-51-4006-BL </t>
    </r>
  </si>
  <si>
    <r>
      <rPr>
        <sz val="10"/>
        <rFont val="Times New Roman"/>
        <family val="1"/>
      </rPr>
      <t xml:space="preserve">End Cap, Cover (Telescope) DO NOT RE-ORDER </t>
    </r>
  </si>
  <si>
    <r>
      <rPr>
        <sz val="10"/>
        <rFont val="Times New Roman"/>
        <family val="1"/>
      </rPr>
      <t xml:space="preserve">4-51-4008 </t>
    </r>
  </si>
  <si>
    <r>
      <rPr>
        <sz val="10"/>
        <rFont val="Times New Roman"/>
        <family val="1"/>
      </rPr>
      <t xml:space="preserve">Block, Sidelite Pivot (Bottom) </t>
    </r>
  </si>
  <si>
    <r>
      <rPr>
        <sz val="10"/>
        <rFont val="Times New Roman"/>
        <family val="1"/>
      </rPr>
      <t xml:space="preserve">4-51-4009 </t>
    </r>
  </si>
  <si>
    <r>
      <rPr>
        <sz val="10"/>
        <rFont val="Times New Roman"/>
        <family val="1"/>
      </rPr>
      <t xml:space="preserve">Bar, Alignment (Pin Guide Threshold) </t>
    </r>
  </si>
  <si>
    <r>
      <rPr>
        <sz val="10"/>
        <rFont val="Times New Roman"/>
        <family val="1"/>
      </rPr>
      <t xml:space="preserve">4-51-4149-BL </t>
    </r>
  </si>
  <si>
    <r>
      <rPr>
        <sz val="10"/>
        <rFont val="Times New Roman"/>
        <family val="1"/>
      </rPr>
      <t xml:space="preserve">Cart Bar Machining </t>
    </r>
  </si>
  <si>
    <r>
      <rPr>
        <sz val="10"/>
        <rFont val="Times New Roman"/>
        <family val="1"/>
      </rPr>
      <t xml:space="preserve">4-51-4149-CL </t>
    </r>
  </si>
  <si>
    <r>
      <rPr>
        <sz val="10"/>
        <rFont val="Times New Roman"/>
        <family val="1"/>
      </rPr>
      <t xml:space="preserve">4-51-4151 </t>
    </r>
  </si>
  <si>
    <r>
      <rPr>
        <sz val="10"/>
        <rFont val="Times New Roman"/>
        <family val="1"/>
      </rPr>
      <t xml:space="preserve">Block, Shear (Machined) - SB5 </t>
    </r>
  </si>
  <si>
    <r>
      <rPr>
        <sz val="10"/>
        <rFont val="Times New Roman"/>
        <family val="1"/>
      </rPr>
      <t xml:space="preserve">4-51-4152 </t>
    </r>
  </si>
  <si>
    <r>
      <rPr>
        <sz val="10"/>
        <rFont val="Times New Roman"/>
        <family val="1"/>
      </rPr>
      <t xml:space="preserve">Block, Upper Sidelite Pivot </t>
    </r>
  </si>
  <si>
    <r>
      <rPr>
        <sz val="10"/>
        <rFont val="Times New Roman"/>
        <family val="1"/>
      </rPr>
      <t xml:space="preserve">4-51-4160-CL </t>
    </r>
  </si>
  <si>
    <r>
      <rPr>
        <sz val="10"/>
        <rFont val="Times New Roman"/>
        <family val="1"/>
      </rPr>
      <t xml:space="preserve">Rail, Top (3") Machining </t>
    </r>
  </si>
  <si>
    <r>
      <rPr>
        <sz val="10"/>
        <rFont val="Times New Roman"/>
        <family val="1"/>
      </rPr>
      <t xml:space="preserve">$66.00 </t>
    </r>
  </si>
  <si>
    <r>
      <rPr>
        <sz val="10"/>
        <rFont val="Times New Roman"/>
        <family val="1"/>
      </rPr>
      <t xml:space="preserve">4-51-4190-CL </t>
    </r>
  </si>
  <si>
    <r>
      <rPr>
        <sz val="10"/>
        <rFont val="Times New Roman"/>
        <family val="1"/>
      </rPr>
      <t xml:space="preserve">Rail, Bottom (3 1/2") Machining </t>
    </r>
  </si>
  <si>
    <r>
      <rPr>
        <sz val="10"/>
        <rFont val="Times New Roman"/>
        <family val="1"/>
      </rPr>
      <t xml:space="preserve">4-51-4265 </t>
    </r>
  </si>
  <si>
    <r>
      <rPr>
        <sz val="10"/>
        <rFont val="Times New Roman"/>
        <family val="1"/>
      </rPr>
      <t xml:space="preserve">Block, Flushbolt Support </t>
    </r>
  </si>
  <si>
    <r>
      <rPr>
        <sz val="10"/>
        <rFont val="Times New Roman"/>
        <family val="1"/>
      </rPr>
      <t xml:space="preserve">4-51-4266 </t>
    </r>
  </si>
  <si>
    <r>
      <rPr>
        <sz val="10"/>
        <rFont val="Times New Roman"/>
        <family val="1"/>
      </rPr>
      <t xml:space="preserve">Block, Hex Bolt Guide </t>
    </r>
  </si>
  <si>
    <r>
      <rPr>
        <sz val="10"/>
        <rFont val="Times New Roman"/>
        <family val="1"/>
      </rPr>
      <t xml:space="preserve">$48.00 </t>
    </r>
  </si>
  <si>
    <r>
      <rPr>
        <sz val="10"/>
        <rFont val="Times New Roman"/>
        <family val="1"/>
      </rPr>
      <t xml:space="preserve">4-51-4269 </t>
    </r>
  </si>
  <si>
    <r>
      <rPr>
        <sz val="10"/>
        <rFont val="Times New Roman"/>
        <family val="1"/>
      </rPr>
      <t xml:space="preserve">Bracket, Ball Catch And Panic Switch Magnet </t>
    </r>
  </si>
  <si>
    <r>
      <rPr>
        <sz val="10"/>
        <rFont val="Times New Roman"/>
        <family val="1"/>
      </rPr>
      <t xml:space="preserve">4-51-4290 </t>
    </r>
  </si>
  <si>
    <r>
      <rPr>
        <sz val="10"/>
        <rFont val="Times New Roman"/>
        <family val="1"/>
      </rPr>
      <t xml:space="preserve">Bracket, Belt Mounted Magnet </t>
    </r>
  </si>
  <si>
    <r>
      <rPr>
        <sz val="10"/>
        <rFont val="Times New Roman"/>
        <family val="1"/>
      </rPr>
      <t xml:space="preserve">4-51-7002 </t>
    </r>
  </si>
  <si>
    <r>
      <rPr>
        <sz val="10"/>
        <rFont val="Times New Roman"/>
        <family val="1"/>
      </rPr>
      <t xml:space="preserve">Interlock, Door Hurricane Interlock </t>
    </r>
  </si>
  <si>
    <r>
      <rPr>
        <sz val="10"/>
        <rFont val="Times New Roman"/>
        <family val="1"/>
      </rPr>
      <t xml:space="preserve">4-51-7003 </t>
    </r>
  </si>
  <si>
    <r>
      <rPr>
        <sz val="10"/>
        <rFont val="Times New Roman"/>
        <family val="1"/>
      </rPr>
      <t xml:space="preserve">Bushing, Sidelite Pivot (Bottom) </t>
    </r>
  </si>
  <si>
    <r>
      <rPr>
        <sz val="10"/>
        <rFont val="Times New Roman"/>
        <family val="1"/>
      </rPr>
      <t xml:space="preserve">4-51-7005 </t>
    </r>
  </si>
  <si>
    <r>
      <rPr>
        <sz val="10"/>
        <rFont val="Times New Roman"/>
        <family val="1"/>
      </rPr>
      <t xml:space="preserve">Plate, Pin Guide Support </t>
    </r>
  </si>
  <si>
    <r>
      <rPr>
        <sz val="10"/>
        <rFont val="Times New Roman"/>
        <family val="1"/>
      </rPr>
      <t xml:space="preserve">4-51-7006 </t>
    </r>
  </si>
  <si>
    <r>
      <rPr>
        <sz val="10"/>
        <rFont val="Times New Roman"/>
        <family val="1"/>
      </rPr>
      <t xml:space="preserve">Strike Plate, Lockbolt (Bipart Units) </t>
    </r>
  </si>
  <si>
    <r>
      <rPr>
        <sz val="10"/>
        <rFont val="Times New Roman"/>
        <family val="1"/>
      </rPr>
      <t xml:space="preserve">4-51-7008 </t>
    </r>
  </si>
  <si>
    <r>
      <rPr>
        <sz val="10"/>
        <rFont val="Times New Roman"/>
        <family val="1"/>
      </rPr>
      <t xml:space="preserve">Hex Bolt, Threshold (1/4-20 Tap) </t>
    </r>
  </si>
  <si>
    <r>
      <rPr>
        <sz val="10"/>
        <rFont val="Times New Roman"/>
        <family val="1"/>
      </rPr>
      <t xml:space="preserve">4-51-7010 </t>
    </r>
  </si>
  <si>
    <r>
      <rPr>
        <sz val="10"/>
        <rFont val="Times New Roman"/>
        <family val="1"/>
      </rPr>
      <t xml:space="preserve">Strike Plate, Lockbolt (Single Units) </t>
    </r>
  </si>
  <si>
    <r>
      <rPr>
        <sz val="10"/>
        <rFont val="Times New Roman"/>
        <family val="1"/>
      </rPr>
      <t xml:space="preserve">$84.00 </t>
    </r>
  </si>
  <si>
    <r>
      <rPr>
        <sz val="10"/>
        <rFont val="Times New Roman"/>
        <family val="1"/>
      </rPr>
      <t xml:space="preserve">4-51-9004 </t>
    </r>
  </si>
  <si>
    <r>
      <rPr>
        <sz val="10"/>
        <rFont val="Times New Roman"/>
        <family val="1"/>
      </rPr>
      <t xml:space="preserve">Cover, Door Catch </t>
    </r>
  </si>
  <si>
    <r>
      <rPr>
        <sz val="10"/>
        <rFont val="Times New Roman"/>
        <family val="1"/>
      </rPr>
      <t xml:space="preserve">4-51-9005 </t>
    </r>
  </si>
  <si>
    <r>
      <rPr>
        <sz val="10"/>
        <rFont val="Times New Roman"/>
        <family val="1"/>
      </rPr>
      <t xml:space="preserve">Block, Slide Arm </t>
    </r>
  </si>
  <si>
    <r>
      <rPr>
        <sz val="10"/>
        <rFont val="Times New Roman"/>
        <family val="1"/>
      </rPr>
      <t xml:space="preserve">4-51-9010 </t>
    </r>
  </si>
  <si>
    <r>
      <rPr>
        <sz val="10"/>
        <rFont val="Times New Roman"/>
        <family val="1"/>
      </rPr>
      <t xml:space="preserve">Strip, Polyurethane (Door Bottom Seal) 3/4" x 48" </t>
    </r>
  </si>
  <si>
    <r>
      <rPr>
        <sz val="10"/>
        <rFont val="Times New Roman"/>
        <family val="1"/>
      </rPr>
      <t xml:space="preserve">4-51-9012 </t>
    </r>
  </si>
  <si>
    <r>
      <rPr>
        <sz val="10"/>
        <rFont val="Times New Roman"/>
        <family val="1"/>
      </rPr>
      <t xml:space="preserve">Cable, Canbus, 12' Ext. RIC290 </t>
    </r>
  </si>
  <si>
    <r>
      <rPr>
        <sz val="10"/>
        <rFont val="Times New Roman"/>
        <family val="1"/>
      </rPr>
      <t xml:space="preserve">4-52-0001 </t>
    </r>
  </si>
  <si>
    <r>
      <rPr>
        <sz val="10"/>
        <rFont val="Times New Roman"/>
        <family val="1"/>
      </rPr>
      <t xml:space="preserve">Pivot Arm Ass'y., All Glass Sliders </t>
    </r>
  </si>
  <si>
    <r>
      <rPr>
        <sz val="10"/>
        <rFont val="Times New Roman"/>
        <family val="1"/>
      </rPr>
      <t xml:space="preserve">$913.00 </t>
    </r>
  </si>
  <si>
    <r>
      <rPr>
        <sz val="10"/>
        <rFont val="Times New Roman"/>
        <family val="1"/>
      </rPr>
      <t xml:space="preserve">4-52-0010 </t>
    </r>
  </si>
  <si>
    <r>
      <rPr>
        <sz val="10"/>
        <rFont val="Times New Roman"/>
        <family val="1"/>
      </rPr>
      <t xml:space="preserve">4-52-0011 </t>
    </r>
  </si>
  <si>
    <r>
      <rPr>
        <sz val="10"/>
        <rFont val="Times New Roman"/>
        <family val="1"/>
      </rPr>
      <t xml:space="preserve">4-52-0012 </t>
    </r>
  </si>
  <si>
    <r>
      <rPr>
        <sz val="10"/>
        <rFont val="Times New Roman"/>
        <family val="1"/>
      </rPr>
      <t xml:space="preserve">4-52-0013 </t>
    </r>
  </si>
  <si>
    <r>
      <rPr>
        <sz val="10"/>
        <rFont val="Times New Roman"/>
        <family val="1"/>
      </rPr>
      <t xml:space="preserve">Toe Roller Ass'y. (All-Glass Sliders) </t>
    </r>
  </si>
  <si>
    <r>
      <rPr>
        <sz val="10"/>
        <rFont val="Times New Roman"/>
        <family val="1"/>
      </rPr>
      <t xml:space="preserve">4-52-1002 </t>
    </r>
  </si>
  <si>
    <r>
      <rPr>
        <sz val="10"/>
        <rFont val="Times New Roman"/>
        <family val="1"/>
      </rPr>
      <t xml:space="preserve">Bracket, Sway Guide - LH (All Glass Slider) </t>
    </r>
  </si>
  <si>
    <r>
      <rPr>
        <sz val="10"/>
        <rFont val="Times New Roman"/>
        <family val="1"/>
      </rPr>
      <t xml:space="preserve">4-52-1003 </t>
    </r>
  </si>
  <si>
    <r>
      <rPr>
        <sz val="10"/>
        <rFont val="Times New Roman"/>
        <family val="1"/>
      </rPr>
      <t xml:space="preserve">Bracket, Sway Guide - RH (All Glass Slider) </t>
    </r>
  </si>
  <si>
    <r>
      <rPr>
        <sz val="10"/>
        <rFont val="Times New Roman"/>
        <family val="1"/>
      </rPr>
      <t xml:space="preserve">4-52-1004 </t>
    </r>
  </si>
  <si>
    <r>
      <rPr>
        <sz val="10"/>
        <rFont val="Times New Roman"/>
        <family val="1"/>
      </rPr>
      <t xml:space="preserve">Bracket, Interlock Ass'y. (All Glass Slider) </t>
    </r>
  </si>
  <si>
    <r>
      <rPr>
        <sz val="10"/>
        <rFont val="Times New Roman"/>
        <family val="1"/>
      </rPr>
      <t xml:space="preserve">4-52-4020-BL </t>
    </r>
  </si>
  <si>
    <r>
      <rPr>
        <sz val="10"/>
        <rFont val="Times New Roman"/>
        <family val="1"/>
      </rPr>
      <t xml:space="preserve">End Cap, Rail (3"), LH, Black </t>
    </r>
  </si>
  <si>
    <r>
      <rPr>
        <sz val="10"/>
        <rFont val="Times New Roman"/>
        <family val="1"/>
      </rPr>
      <t xml:space="preserve">4-52-4021-BL </t>
    </r>
  </si>
  <si>
    <r>
      <rPr>
        <sz val="10"/>
        <rFont val="Times New Roman"/>
        <family val="1"/>
      </rPr>
      <t xml:space="preserve">End Cap, Rail (3"), RH, Black </t>
    </r>
  </si>
  <si>
    <r>
      <rPr>
        <sz val="10"/>
        <rFont val="Times New Roman"/>
        <family val="1"/>
      </rPr>
      <t xml:space="preserve">4-52-4022-BL </t>
    </r>
  </si>
  <si>
    <r>
      <rPr>
        <sz val="10"/>
        <rFont val="Times New Roman"/>
        <family val="1"/>
      </rPr>
      <t xml:space="preserve">End Cap, Rail (3-5/8"), LH, Black </t>
    </r>
  </si>
  <si>
    <r>
      <rPr>
        <sz val="10"/>
        <rFont val="Times New Roman"/>
        <family val="1"/>
      </rPr>
      <t xml:space="preserve">4-52-4023-BL </t>
    </r>
  </si>
  <si>
    <r>
      <rPr>
        <sz val="10"/>
        <rFont val="Times New Roman"/>
        <family val="1"/>
      </rPr>
      <t xml:space="preserve">End Cap, Rail (3-5/8"), RH, Black </t>
    </r>
  </si>
  <si>
    <r>
      <rPr>
        <sz val="10"/>
        <rFont val="Times New Roman"/>
        <family val="1"/>
      </rPr>
      <t xml:space="preserve">4-52-4024-BL </t>
    </r>
  </si>
  <si>
    <r>
      <rPr>
        <sz val="10"/>
        <rFont val="Times New Roman"/>
        <family val="1"/>
      </rPr>
      <t xml:space="preserve">End Cap, Rail (4"), LH, Black </t>
    </r>
  </si>
  <si>
    <r>
      <rPr>
        <sz val="10"/>
        <rFont val="Times New Roman"/>
        <family val="1"/>
      </rPr>
      <t xml:space="preserve">4-52-4025-BL </t>
    </r>
  </si>
  <si>
    <r>
      <rPr>
        <sz val="10"/>
        <rFont val="Times New Roman"/>
        <family val="1"/>
      </rPr>
      <t xml:space="preserve">End Cap, Rail (4"), RH, Black </t>
    </r>
  </si>
  <si>
    <r>
      <rPr>
        <sz val="10"/>
        <rFont val="Times New Roman"/>
        <family val="1"/>
      </rPr>
      <t xml:space="preserve">4-52-4026-BL </t>
    </r>
  </si>
  <si>
    <r>
      <rPr>
        <sz val="10"/>
        <rFont val="Times New Roman"/>
        <family val="1"/>
      </rPr>
      <t xml:space="preserve">End Cap, Rail (5"), LH, Black </t>
    </r>
  </si>
  <si>
    <r>
      <rPr>
        <sz val="10"/>
        <rFont val="Times New Roman"/>
        <family val="1"/>
      </rPr>
      <t xml:space="preserve">4-52-4027-BL </t>
    </r>
  </si>
  <si>
    <r>
      <rPr>
        <sz val="10"/>
        <rFont val="Times New Roman"/>
        <family val="1"/>
      </rPr>
      <t xml:space="preserve">End Cap, Rail (5"), RH, Black </t>
    </r>
  </si>
  <si>
    <r>
      <rPr>
        <sz val="10"/>
        <rFont val="Times New Roman"/>
        <family val="1"/>
      </rPr>
      <t xml:space="preserve">4-52-4028-BL </t>
    </r>
  </si>
  <si>
    <r>
      <rPr>
        <sz val="10"/>
        <rFont val="Times New Roman"/>
        <family val="1"/>
      </rPr>
      <t xml:space="preserve">End Cap, Rail (5-5/8"), LH Black </t>
    </r>
  </si>
  <si>
    <r>
      <rPr>
        <sz val="10"/>
        <rFont val="Times New Roman"/>
        <family val="1"/>
      </rPr>
      <t xml:space="preserve">$56.00 </t>
    </r>
  </si>
  <si>
    <r>
      <rPr>
        <sz val="10"/>
        <rFont val="Times New Roman"/>
        <family val="1"/>
      </rPr>
      <t xml:space="preserve">4-52-4029-BL </t>
    </r>
  </si>
  <si>
    <r>
      <rPr>
        <sz val="10"/>
        <rFont val="Times New Roman"/>
        <family val="1"/>
      </rPr>
      <t xml:space="preserve">End Cap, Rail (5-5/8"), RH Black </t>
    </r>
  </si>
  <si>
    <r>
      <rPr>
        <sz val="10"/>
        <rFont val="Times New Roman"/>
        <family val="1"/>
      </rPr>
      <t xml:space="preserve">4-52-4030-BL </t>
    </r>
  </si>
  <si>
    <r>
      <rPr>
        <sz val="10"/>
        <rFont val="Times New Roman"/>
        <family val="1"/>
      </rPr>
      <t xml:space="preserve">End Cap, Rail (6"), LH, Black </t>
    </r>
  </si>
  <si>
    <r>
      <rPr>
        <sz val="10"/>
        <rFont val="Times New Roman"/>
        <family val="1"/>
      </rPr>
      <t xml:space="preserve">4-52-4031-BL </t>
    </r>
  </si>
  <si>
    <r>
      <rPr>
        <sz val="10"/>
        <rFont val="Times New Roman"/>
        <family val="1"/>
      </rPr>
      <t xml:space="preserve">End Cap, Rail (6"), RH, Black </t>
    </r>
  </si>
  <si>
    <r>
      <rPr>
        <sz val="10"/>
        <rFont val="Times New Roman"/>
        <family val="1"/>
      </rPr>
      <t xml:space="preserve">4-54-0010-CL </t>
    </r>
  </si>
  <si>
    <r>
      <rPr>
        <sz val="10"/>
        <rFont val="Times New Roman"/>
        <family val="1"/>
      </rPr>
      <t xml:space="preserve">Glass Retention, Impact Clear Anodized </t>
    </r>
  </si>
  <si>
    <r>
      <rPr>
        <sz val="10"/>
        <rFont val="Times New Roman"/>
        <family val="1"/>
      </rPr>
      <t xml:space="preserve">4-54-0010-DB </t>
    </r>
  </si>
  <si>
    <r>
      <rPr>
        <sz val="10"/>
        <rFont val="Times New Roman"/>
        <family val="1"/>
      </rPr>
      <t xml:space="preserve">Glass Retention, Impact Dark Bronze Anodized </t>
    </r>
  </si>
  <si>
    <r>
      <rPr>
        <sz val="10"/>
        <rFont val="Times New Roman"/>
        <family val="1"/>
      </rPr>
      <t xml:space="preserve">4-56-0001 </t>
    </r>
  </si>
  <si>
    <r>
      <rPr>
        <sz val="10"/>
        <rFont val="Times New Roman"/>
        <family val="1"/>
      </rPr>
      <t xml:space="preserve">Bottom Guide Ass'y DBO, Wood Doors, LH </t>
    </r>
  </si>
  <si>
    <r>
      <rPr>
        <sz val="8"/>
        <rFont val="Times New Roman"/>
        <family val="1"/>
      </rPr>
      <t xml:space="preserve">Page 8 of  21 </t>
    </r>
  </si>
  <si>
    <r>
      <rPr>
        <sz val="10"/>
        <rFont val="Times New Roman"/>
        <family val="1"/>
      </rPr>
      <t xml:space="preserve">4-59-0012 </t>
    </r>
  </si>
  <si>
    <r>
      <rPr>
        <sz val="10"/>
        <rFont val="Times New Roman"/>
        <family val="1"/>
      </rPr>
      <t xml:space="preserve">Carrier Ass'y., Telescope ICU </t>
    </r>
  </si>
  <si>
    <r>
      <rPr>
        <sz val="10"/>
        <rFont val="Times New Roman"/>
        <family val="1"/>
      </rPr>
      <t xml:space="preserve">4-59-0019 </t>
    </r>
  </si>
  <si>
    <r>
      <rPr>
        <sz val="10"/>
        <rFont val="Times New Roman"/>
        <family val="1"/>
      </rPr>
      <t xml:space="preserve">Transfer Pivot Ass'y. - LH Trackless Telescope Units </t>
    </r>
  </si>
  <si>
    <r>
      <rPr>
        <sz val="10"/>
        <rFont val="Times New Roman"/>
        <family val="1"/>
      </rPr>
      <t xml:space="preserve">$509.00 </t>
    </r>
  </si>
  <si>
    <r>
      <rPr>
        <sz val="10"/>
        <rFont val="Times New Roman"/>
        <family val="1"/>
      </rPr>
      <t xml:space="preserve">4-59-0020 </t>
    </r>
  </si>
  <si>
    <r>
      <rPr>
        <sz val="10"/>
        <rFont val="Times New Roman"/>
        <family val="1"/>
      </rPr>
      <t xml:space="preserve">Transfer Pivot Ass'y. - RH Trackless Telescope Units </t>
    </r>
  </si>
  <si>
    <r>
      <rPr>
        <sz val="10"/>
        <rFont val="Times New Roman"/>
        <family val="1"/>
      </rPr>
      <t xml:space="preserve">4-59-0021-CL </t>
    </r>
  </si>
  <si>
    <r>
      <rPr>
        <sz val="10"/>
        <rFont val="Times New Roman"/>
        <family val="1"/>
      </rPr>
      <t xml:space="preserve">Lever Handle Ass'y. - ICU Positive Latch Set = 2 Handles </t>
    </r>
  </si>
  <si>
    <r>
      <rPr>
        <sz val="10"/>
        <rFont val="Times New Roman"/>
        <family val="1"/>
      </rPr>
      <t xml:space="preserve">$263.00 </t>
    </r>
  </si>
  <si>
    <r>
      <rPr>
        <sz val="10"/>
        <rFont val="Times New Roman"/>
        <family val="1"/>
      </rPr>
      <t xml:space="preserve">4-59-0021-DB </t>
    </r>
  </si>
  <si>
    <r>
      <rPr>
        <sz val="10"/>
        <rFont val="Times New Roman"/>
        <family val="1"/>
      </rPr>
      <t xml:space="preserve">$275.00 </t>
    </r>
  </si>
  <si>
    <r>
      <rPr>
        <sz val="10"/>
        <rFont val="Times New Roman"/>
        <family val="1"/>
      </rPr>
      <t xml:space="preserve">4-59-0022 </t>
    </r>
  </si>
  <si>
    <r>
      <rPr>
        <sz val="10"/>
        <rFont val="Times New Roman"/>
        <family val="1"/>
      </rPr>
      <t xml:space="preserve">Interlock Ass'y. - L.H. ICU Positive Latch </t>
    </r>
  </si>
  <si>
    <r>
      <rPr>
        <sz val="10"/>
        <rFont val="Times New Roman"/>
        <family val="1"/>
      </rPr>
      <t xml:space="preserve">$225.00 </t>
    </r>
  </si>
  <si>
    <r>
      <rPr>
        <sz val="10"/>
        <rFont val="Times New Roman"/>
        <family val="1"/>
      </rPr>
      <t xml:space="preserve">4-59-0023 </t>
    </r>
  </si>
  <si>
    <r>
      <rPr>
        <sz val="10"/>
        <rFont val="Times New Roman"/>
        <family val="1"/>
      </rPr>
      <t xml:space="preserve">Interlock Ass'y. - R.H. ICU Positive Latch </t>
    </r>
  </si>
  <si>
    <r>
      <rPr>
        <sz val="10"/>
        <rFont val="Times New Roman"/>
        <family val="1"/>
      </rPr>
      <t xml:space="preserve">4-59-0024 </t>
    </r>
  </si>
  <si>
    <r>
      <rPr>
        <sz val="10"/>
        <rFont val="Times New Roman"/>
        <family val="1"/>
      </rPr>
      <t xml:space="preserve">Activator Ass'y. - ICU Positive Latch </t>
    </r>
  </si>
  <si>
    <r>
      <rPr>
        <sz val="10"/>
        <rFont val="Times New Roman"/>
        <family val="1"/>
      </rPr>
      <t xml:space="preserve">$141.00 </t>
    </r>
  </si>
  <si>
    <r>
      <rPr>
        <sz val="10"/>
        <rFont val="Times New Roman"/>
        <family val="1"/>
      </rPr>
      <t xml:space="preserve">4-59-0025 </t>
    </r>
  </si>
  <si>
    <r>
      <rPr>
        <sz val="10"/>
        <rFont val="Times New Roman"/>
        <family val="1"/>
      </rPr>
      <t xml:space="preserve">Actuator Ass'y. - ICU Positive Latch </t>
    </r>
  </si>
  <si>
    <r>
      <rPr>
        <sz val="10"/>
        <rFont val="Times New Roman"/>
        <family val="1"/>
      </rPr>
      <t xml:space="preserve">4-59-1003 </t>
    </r>
  </si>
  <si>
    <r>
      <rPr>
        <sz val="10"/>
        <rFont val="Times New Roman"/>
        <family val="1"/>
      </rPr>
      <t xml:space="preserve">Bracket, ICU Header Mtg. - LH </t>
    </r>
  </si>
  <si>
    <r>
      <rPr>
        <sz val="10"/>
        <rFont val="Times New Roman"/>
        <family val="1"/>
      </rPr>
      <t xml:space="preserve">$23.00 </t>
    </r>
  </si>
  <si>
    <r>
      <rPr>
        <sz val="10"/>
        <rFont val="Times New Roman"/>
        <family val="1"/>
      </rPr>
      <t xml:space="preserve">4-59-1004 </t>
    </r>
  </si>
  <si>
    <r>
      <rPr>
        <sz val="10"/>
        <rFont val="Times New Roman"/>
        <family val="1"/>
      </rPr>
      <t xml:space="preserve">Bracket, ICU Header Mtg. - RH </t>
    </r>
  </si>
  <si>
    <r>
      <rPr>
        <sz val="10"/>
        <rFont val="Times New Roman"/>
        <family val="1"/>
      </rPr>
      <t xml:space="preserve">4-59-1009 </t>
    </r>
  </si>
  <si>
    <r>
      <rPr>
        <sz val="10"/>
        <rFont val="Times New Roman"/>
        <family val="1"/>
      </rPr>
      <t xml:space="preserve">Strike, Positive Latch**NOTE** Send with 2-81-0019-2558screws </t>
    </r>
  </si>
  <si>
    <r>
      <rPr>
        <sz val="10"/>
        <rFont val="Times New Roman"/>
        <family val="1"/>
      </rPr>
      <t xml:space="preserve">4-59-1020 </t>
    </r>
  </si>
  <si>
    <r>
      <rPr>
        <sz val="10"/>
        <rFont val="Times New Roman"/>
        <family val="1"/>
      </rPr>
      <t xml:space="preserve">End Cap, Door Catch (Positive Latch) </t>
    </r>
  </si>
  <si>
    <r>
      <rPr>
        <sz val="10"/>
        <rFont val="Times New Roman"/>
        <family val="1"/>
      </rPr>
      <t xml:space="preserve">4-59-1021 </t>
    </r>
  </si>
  <si>
    <r>
      <rPr>
        <sz val="10"/>
        <rFont val="Times New Roman"/>
        <family val="1"/>
      </rPr>
      <t xml:space="preserve">Bolt, Positive Latch </t>
    </r>
  </si>
  <si>
    <r>
      <rPr>
        <sz val="10"/>
        <rFont val="Times New Roman"/>
        <family val="1"/>
      </rPr>
      <t xml:space="preserve">4-59-4001 </t>
    </r>
  </si>
  <si>
    <r>
      <rPr>
        <sz val="10"/>
        <rFont val="Times New Roman"/>
        <family val="1"/>
      </rPr>
      <t xml:space="preserve">Bracket, Face Plate </t>
    </r>
  </si>
  <si>
    <r>
      <rPr>
        <sz val="10"/>
        <rFont val="Times New Roman"/>
        <family val="1"/>
      </rPr>
      <t xml:space="preserve">4-59-7002 </t>
    </r>
  </si>
  <si>
    <r>
      <rPr>
        <sz val="10"/>
        <rFont val="Times New Roman"/>
        <family val="1"/>
      </rPr>
      <t xml:space="preserve">Strike, Positive Latch (Bipart Units) </t>
    </r>
  </si>
  <si>
    <r>
      <rPr>
        <sz val="10"/>
        <rFont val="Times New Roman"/>
        <family val="1"/>
      </rPr>
      <t xml:space="preserve">4-59-9001 </t>
    </r>
  </si>
  <si>
    <r>
      <rPr>
        <sz val="10"/>
        <rFont val="Times New Roman"/>
        <family val="1"/>
      </rPr>
      <t xml:space="preserve">Block, Door Timing (Trackless Telescope ICU) </t>
    </r>
  </si>
  <si>
    <r>
      <rPr>
        <sz val="10"/>
        <rFont val="Times New Roman"/>
        <family val="1"/>
      </rPr>
      <t xml:space="preserve">4-59-9002 </t>
    </r>
  </si>
  <si>
    <r>
      <rPr>
        <sz val="10"/>
        <rFont val="Times New Roman"/>
        <family val="1"/>
      </rPr>
      <t xml:space="preserve">End Cap, Anti-Breakout Tube </t>
    </r>
  </si>
  <si>
    <r>
      <rPr>
        <sz val="10"/>
        <rFont val="Times New Roman"/>
        <family val="1"/>
      </rPr>
      <t xml:space="preserve">4-60-1091 </t>
    </r>
  </si>
  <si>
    <r>
      <rPr>
        <sz val="10"/>
        <rFont val="Times New Roman"/>
        <family val="1"/>
      </rPr>
      <t xml:space="preserve">Bracket, Sidelite Pivot (Trackless ICUs) </t>
    </r>
  </si>
  <si>
    <r>
      <rPr>
        <sz val="10"/>
        <rFont val="Times New Roman"/>
        <family val="1"/>
      </rPr>
      <t xml:space="preserve">4-70-0582 </t>
    </r>
  </si>
  <si>
    <r>
      <rPr>
        <sz val="10"/>
        <rFont val="Times New Roman"/>
        <family val="1"/>
      </rPr>
      <t xml:space="preserve">Ball Catch Ass'y. </t>
    </r>
  </si>
  <si>
    <r>
      <rPr>
        <sz val="10"/>
        <rFont val="Times New Roman"/>
        <family val="1"/>
      </rPr>
      <t xml:space="preserve">4-70-0702 </t>
    </r>
  </si>
  <si>
    <r>
      <rPr>
        <sz val="10"/>
        <rFont val="Times New Roman"/>
        <family val="1"/>
      </rPr>
      <t xml:space="preserve">Roller Ass'y., Bottom Guide </t>
    </r>
  </si>
  <si>
    <r>
      <rPr>
        <sz val="10"/>
        <rFont val="Times New Roman"/>
        <family val="1"/>
      </rPr>
      <t xml:space="preserve">4-70-1069 </t>
    </r>
  </si>
  <si>
    <r>
      <rPr>
        <sz val="10"/>
        <rFont val="Times New Roman"/>
        <family val="1"/>
      </rPr>
      <t xml:space="preserve">Pin, Bottom Guide </t>
    </r>
  </si>
  <si>
    <r>
      <rPr>
        <sz val="10"/>
        <rFont val="Times New Roman"/>
        <family val="1"/>
      </rPr>
      <t xml:space="preserve">4-70-1527 </t>
    </r>
  </si>
  <si>
    <r>
      <rPr>
        <sz val="10"/>
        <rFont val="Times New Roman"/>
        <family val="1"/>
      </rPr>
      <t xml:space="preserve">Bracket, Bottom Guide (All Glass) </t>
    </r>
  </si>
  <si>
    <r>
      <rPr>
        <sz val="10"/>
        <rFont val="Times New Roman"/>
        <family val="1"/>
      </rPr>
      <t xml:space="preserve">$28.00 </t>
    </r>
  </si>
  <si>
    <r>
      <rPr>
        <sz val="10"/>
        <rFont val="Times New Roman"/>
        <family val="1"/>
      </rPr>
      <t xml:space="preserve">4-80-0013-BL </t>
    </r>
  </si>
  <si>
    <r>
      <rPr>
        <sz val="10"/>
        <rFont val="Times New Roman"/>
        <family val="1"/>
      </rPr>
      <t xml:space="preserve">Cover &amp; Backplate Ass'y., Sgl., Non-Std. D.O.W., Black </t>
    </r>
  </si>
  <si>
    <r>
      <rPr>
        <sz val="10"/>
        <rFont val="Times New Roman"/>
        <family val="1"/>
      </rPr>
      <t xml:space="preserve">$1,521.00 </t>
    </r>
  </si>
  <si>
    <r>
      <rPr>
        <sz val="10"/>
        <rFont val="Times New Roman"/>
        <family val="1"/>
      </rPr>
      <t xml:space="preserve">4-80-0013-CL </t>
    </r>
  </si>
  <si>
    <r>
      <rPr>
        <sz val="10"/>
        <rFont val="Times New Roman"/>
        <family val="1"/>
      </rPr>
      <t xml:space="preserve">Cover &amp; Backplate Ass'y., Single, Non-Std. D.O.W., Clear </t>
    </r>
  </si>
  <si>
    <r>
      <rPr>
        <sz val="10"/>
        <rFont val="Times New Roman"/>
        <family val="1"/>
      </rPr>
      <t xml:space="preserve">$1,220.00 </t>
    </r>
  </si>
  <si>
    <r>
      <rPr>
        <sz val="10"/>
        <rFont val="Times New Roman"/>
        <family val="1"/>
      </rPr>
      <t xml:space="preserve">4-80-0013-DB </t>
    </r>
  </si>
  <si>
    <r>
      <rPr>
        <sz val="10"/>
        <rFont val="Times New Roman"/>
        <family val="1"/>
      </rPr>
      <t xml:space="preserve">Cover &amp; Backplate Ass'y., Sgl., Non-Std. D.O.W.,Dk. Brz. </t>
    </r>
  </si>
  <si>
    <r>
      <rPr>
        <sz val="10"/>
        <rFont val="Times New Roman"/>
        <family val="1"/>
      </rPr>
      <t xml:space="preserve">$1,249.00 </t>
    </r>
  </si>
  <si>
    <r>
      <rPr>
        <sz val="10"/>
        <rFont val="Times New Roman"/>
        <family val="1"/>
      </rPr>
      <t xml:space="preserve">4-80-0018-BL </t>
    </r>
  </si>
  <si>
    <r>
      <rPr>
        <sz val="10"/>
        <rFont val="Times New Roman"/>
        <family val="1"/>
      </rPr>
      <t xml:space="preserve">Cover &amp; Backplate Ass'y., Dual, Non-Std. D.O.W., Black </t>
    </r>
  </si>
  <si>
    <r>
      <rPr>
        <sz val="10"/>
        <rFont val="Times New Roman"/>
        <family val="1"/>
      </rPr>
      <t xml:space="preserve">$2,604.00 </t>
    </r>
  </si>
  <si>
    <r>
      <rPr>
        <sz val="10"/>
        <rFont val="Times New Roman"/>
        <family val="1"/>
      </rPr>
      <t xml:space="preserve">4-80-0018-CL </t>
    </r>
  </si>
  <si>
    <r>
      <rPr>
        <sz val="10"/>
        <rFont val="Times New Roman"/>
        <family val="1"/>
      </rPr>
      <t xml:space="preserve">Cover &amp; Backplate Ass'y., Dual, Non-Std. D.O.W., Clear </t>
    </r>
  </si>
  <si>
    <r>
      <rPr>
        <sz val="10"/>
        <rFont val="Times New Roman"/>
        <family val="1"/>
      </rPr>
      <t xml:space="preserve">$2,310.00 </t>
    </r>
  </si>
  <si>
    <r>
      <rPr>
        <sz val="10"/>
        <rFont val="Times New Roman"/>
        <family val="1"/>
      </rPr>
      <t xml:space="preserve">4-80-0018-DB </t>
    </r>
  </si>
  <si>
    <r>
      <rPr>
        <sz val="10"/>
        <rFont val="Times New Roman"/>
        <family val="1"/>
      </rPr>
      <t xml:space="preserve">Cover &amp; Backplate Ass'y., Dual, Non-Std. D.O.W.,Dk. Brz. </t>
    </r>
  </si>
  <si>
    <r>
      <rPr>
        <sz val="10"/>
        <rFont val="Times New Roman"/>
        <family val="1"/>
      </rPr>
      <t xml:space="preserve">$2,331.00 </t>
    </r>
  </si>
  <si>
    <r>
      <rPr>
        <sz val="10"/>
        <rFont val="Times New Roman"/>
        <family val="1"/>
      </rPr>
      <t xml:space="preserve">4-80-0101 </t>
    </r>
  </si>
  <si>
    <r>
      <rPr>
        <sz val="10"/>
        <rFont val="Times New Roman"/>
        <family val="1"/>
      </rPr>
      <t xml:space="preserve">Relay Ass'y., Panic Breakout </t>
    </r>
  </si>
  <si>
    <r>
      <rPr>
        <sz val="10"/>
        <rFont val="Times New Roman"/>
        <family val="1"/>
      </rPr>
      <t xml:space="preserve">$255.00 </t>
    </r>
  </si>
  <si>
    <r>
      <rPr>
        <sz val="10"/>
        <rFont val="Times New Roman"/>
        <family val="1"/>
      </rPr>
      <t xml:space="preserve">4-80-0108 </t>
    </r>
  </si>
  <si>
    <r>
      <rPr>
        <sz val="10"/>
        <rFont val="Times New Roman"/>
        <family val="1"/>
      </rPr>
      <t xml:space="preserve">Control Module, Display, | w/cable w.o plug, DFA SS/SPG </t>
    </r>
  </si>
  <si>
    <r>
      <rPr>
        <sz val="10"/>
        <rFont val="Times New Roman"/>
        <family val="1"/>
      </rPr>
      <t xml:space="preserve">$645.00 </t>
    </r>
  </si>
  <si>
    <r>
      <rPr>
        <sz val="10"/>
        <rFont val="Times New Roman"/>
        <family val="1"/>
      </rPr>
      <t xml:space="preserve">4-80-0801 </t>
    </r>
  </si>
  <si>
    <r>
      <rPr>
        <sz val="10"/>
        <rFont val="Times New Roman"/>
        <family val="1"/>
      </rPr>
      <t xml:space="preserve">Kit, S8000 Control Plug-In Terminal Blocks </t>
    </r>
  </si>
  <si>
    <r>
      <rPr>
        <sz val="10"/>
        <rFont val="Times New Roman"/>
        <family val="1"/>
      </rPr>
      <t xml:space="preserve">4-80-0802 </t>
    </r>
  </si>
  <si>
    <r>
      <rPr>
        <sz val="10"/>
        <rFont val="Times New Roman"/>
        <family val="1"/>
      </rPr>
      <t xml:space="preserve">Kit, Rocker Switch Control Module </t>
    </r>
  </si>
  <si>
    <r>
      <rPr>
        <sz val="10"/>
        <rFont val="Times New Roman"/>
        <family val="1"/>
      </rPr>
      <t xml:space="preserve">4-80-0803 </t>
    </r>
  </si>
  <si>
    <r>
      <rPr>
        <sz val="10"/>
        <rFont val="Times New Roman"/>
        <family val="1"/>
      </rPr>
      <t xml:space="preserve">Kit, Header Accessory Package, S8000 Operator </t>
    </r>
  </si>
  <si>
    <r>
      <rPr>
        <sz val="10"/>
        <rFont val="Times New Roman"/>
        <family val="1"/>
      </rPr>
      <t xml:space="preserve">$183.00 </t>
    </r>
  </si>
  <si>
    <r>
      <rPr>
        <sz val="10"/>
        <rFont val="Times New Roman"/>
        <family val="1"/>
      </rPr>
      <t xml:space="preserve">4-80-0804 </t>
    </r>
  </si>
  <si>
    <r>
      <rPr>
        <sz val="10"/>
        <rFont val="Times New Roman"/>
        <family val="1"/>
      </rPr>
      <t xml:space="preserve">Kit, Double Egress Arm Adaptor </t>
    </r>
  </si>
  <si>
    <r>
      <rPr>
        <sz val="10"/>
        <rFont val="Times New Roman"/>
        <family val="1"/>
      </rPr>
      <t xml:space="preserve">$450.00 </t>
    </r>
  </si>
  <si>
    <r>
      <rPr>
        <sz val="10"/>
        <rFont val="Times New Roman"/>
        <family val="1"/>
      </rPr>
      <t xml:space="preserve">4-80-0809 </t>
    </r>
  </si>
  <si>
    <r>
      <rPr>
        <sz val="10"/>
        <rFont val="Times New Roman"/>
        <family val="1"/>
      </rPr>
      <t xml:space="preserve">Kit, Keyswitch, ON/OFF/OPEN, Dual Configuration </t>
    </r>
  </si>
  <si>
    <r>
      <rPr>
        <sz val="10"/>
        <rFont val="Times New Roman"/>
        <family val="1"/>
      </rPr>
      <t xml:space="preserve">$662.00 </t>
    </r>
  </si>
  <si>
    <r>
      <rPr>
        <sz val="10"/>
        <rFont val="Times New Roman"/>
        <family val="1"/>
      </rPr>
      <t xml:space="preserve">4-80-0811 </t>
    </r>
  </si>
  <si>
    <r>
      <rPr>
        <sz val="10"/>
        <rFont val="Times New Roman"/>
        <family val="1"/>
      </rPr>
      <t xml:space="preserve">Kit, Harness Extension, FPC902 </t>
    </r>
  </si>
  <si>
    <r>
      <rPr>
        <sz val="10"/>
        <rFont val="Times New Roman"/>
        <family val="1"/>
      </rPr>
      <t xml:space="preserve">4-80-1003 </t>
    </r>
  </si>
  <si>
    <r>
      <rPr>
        <sz val="10"/>
        <rFont val="Times New Roman"/>
        <family val="1"/>
      </rPr>
      <t xml:space="preserve">4-80-4016-BL </t>
    </r>
  </si>
  <si>
    <r>
      <rPr>
        <sz val="10"/>
        <rFont val="Times New Roman"/>
        <family val="1"/>
      </rPr>
      <t xml:space="preserve">Cover Machining, Single, Black, Non-Std. D.O.W. </t>
    </r>
  </si>
  <si>
    <r>
      <rPr>
        <sz val="10"/>
        <rFont val="Times New Roman"/>
        <family val="1"/>
      </rPr>
      <t xml:space="preserve">$1,105.00 </t>
    </r>
  </si>
  <si>
    <r>
      <rPr>
        <sz val="10"/>
        <rFont val="Times New Roman"/>
        <family val="1"/>
      </rPr>
      <t xml:space="preserve">4-80-4016-CL </t>
    </r>
  </si>
  <si>
    <r>
      <rPr>
        <sz val="10"/>
        <rFont val="Times New Roman"/>
        <family val="1"/>
      </rPr>
      <t xml:space="preserve">Cover Machining, Single, Clear, Non-Std. D.O.W. </t>
    </r>
  </si>
  <si>
    <r>
      <rPr>
        <sz val="10"/>
        <rFont val="Times New Roman"/>
        <family val="1"/>
      </rPr>
      <t xml:space="preserve">$811.00 </t>
    </r>
  </si>
  <si>
    <r>
      <rPr>
        <sz val="10"/>
        <rFont val="Times New Roman"/>
        <family val="1"/>
      </rPr>
      <t xml:space="preserve">4-80-4016-DB </t>
    </r>
  </si>
  <si>
    <r>
      <rPr>
        <sz val="10"/>
        <rFont val="Times New Roman"/>
        <family val="1"/>
      </rPr>
      <t xml:space="preserve">Cover Machining, Single, Dk. Brz., Non-Std. D.O.W. </t>
    </r>
  </si>
  <si>
    <r>
      <rPr>
        <sz val="10"/>
        <rFont val="Times New Roman"/>
        <family val="1"/>
      </rPr>
      <t xml:space="preserve">$833.00 </t>
    </r>
  </si>
  <si>
    <r>
      <rPr>
        <sz val="10"/>
        <rFont val="Times New Roman"/>
        <family val="1"/>
      </rPr>
      <t xml:space="preserve">4-80-4018-BL </t>
    </r>
  </si>
  <si>
    <r>
      <rPr>
        <sz val="10"/>
        <rFont val="Times New Roman"/>
        <family val="1"/>
      </rPr>
      <t xml:space="preserve">Cover Machining, Dual, Black, Non-Std. D.O.W. </t>
    </r>
  </si>
  <si>
    <r>
      <rPr>
        <sz val="10"/>
        <rFont val="Times New Roman"/>
        <family val="1"/>
      </rPr>
      <t xml:space="preserve">$1,792.00 </t>
    </r>
  </si>
  <si>
    <r>
      <rPr>
        <sz val="10"/>
        <rFont val="Times New Roman"/>
        <family val="1"/>
      </rPr>
      <t xml:space="preserve">4-80-4018-CL </t>
    </r>
  </si>
  <si>
    <r>
      <rPr>
        <sz val="10"/>
        <rFont val="Times New Roman"/>
        <family val="1"/>
      </rPr>
      <t xml:space="preserve">Cover Machining, Dual, Clear, Non-Std. D.O.W. </t>
    </r>
  </si>
  <si>
    <r>
      <rPr>
        <sz val="10"/>
        <rFont val="Times New Roman"/>
        <family val="1"/>
      </rPr>
      <t xml:space="preserve">$1,473.00 </t>
    </r>
  </si>
  <si>
    <r>
      <rPr>
        <sz val="10"/>
        <rFont val="Times New Roman"/>
        <family val="1"/>
      </rPr>
      <t xml:space="preserve">4-80-4018-DB </t>
    </r>
  </si>
  <si>
    <r>
      <rPr>
        <sz val="10"/>
        <rFont val="Times New Roman"/>
        <family val="1"/>
      </rPr>
      <t xml:space="preserve">Cover Machining, Dual, Dk. Brz., Non-Std. D.O.W. </t>
    </r>
  </si>
  <si>
    <r>
      <rPr>
        <sz val="10"/>
        <rFont val="Times New Roman"/>
        <family val="1"/>
      </rPr>
      <t xml:space="preserve">$1,520.00 </t>
    </r>
  </si>
  <si>
    <r>
      <rPr>
        <sz val="10"/>
        <rFont val="Times New Roman"/>
        <family val="1"/>
      </rPr>
      <t xml:space="preserve">4-80-4020 </t>
    </r>
  </si>
  <si>
    <r>
      <rPr>
        <sz val="10"/>
        <rFont val="Times New Roman"/>
        <family val="1"/>
      </rPr>
      <t xml:space="preserve">Plate, Adaptor (LCN 4040 Door Closer in S8100/S8200 Header) </t>
    </r>
  </si>
  <si>
    <r>
      <rPr>
        <sz val="10"/>
        <rFont val="Times New Roman"/>
        <family val="1"/>
      </rPr>
      <t xml:space="preserve">4-80-9001 </t>
    </r>
  </si>
  <si>
    <r>
      <rPr>
        <sz val="10"/>
        <rFont val="Times New Roman"/>
        <family val="1"/>
      </rPr>
      <t xml:space="preserve">**DNU - see notes**Enclosure, Display Control Panel (Non-Metallic) Machi EACH </t>
    </r>
  </si>
  <si>
    <r>
      <rPr>
        <sz val="10"/>
        <rFont val="Times New Roman"/>
        <family val="1"/>
      </rPr>
      <t xml:space="preserve">$72.00 </t>
    </r>
  </si>
  <si>
    <r>
      <rPr>
        <sz val="10"/>
        <rFont val="Times New Roman"/>
        <family val="1"/>
      </rPr>
      <t xml:space="preserve">4-85-0019 </t>
    </r>
  </si>
  <si>
    <r>
      <rPr>
        <sz val="10"/>
        <rFont val="Times New Roman"/>
        <family val="1"/>
      </rPr>
      <t xml:space="preserve">Arm, Drive (S8500 O.H.C.) </t>
    </r>
  </si>
  <si>
    <r>
      <rPr>
        <sz val="10"/>
        <rFont val="Times New Roman"/>
        <family val="1"/>
      </rPr>
      <t xml:space="preserve">$614.00 </t>
    </r>
  </si>
  <si>
    <r>
      <rPr>
        <sz val="8"/>
        <rFont val="Times New Roman"/>
        <family val="1"/>
      </rPr>
      <t xml:space="preserve">Page 9 of  21 </t>
    </r>
  </si>
  <si>
    <r>
      <rPr>
        <sz val="10"/>
        <rFont val="Times New Roman"/>
        <family val="1"/>
      </rPr>
      <t xml:space="preserve">$739.00 </t>
    </r>
  </si>
  <si>
    <r>
      <rPr>
        <sz val="10"/>
        <rFont val="Times New Roman"/>
        <family val="1"/>
      </rPr>
      <t xml:space="preserve">4-85-0021 </t>
    </r>
  </si>
  <si>
    <r>
      <rPr>
        <sz val="10"/>
        <rFont val="Times New Roman"/>
        <family val="1"/>
      </rPr>
      <t xml:space="preserve">Slide Arm Ass'y.- LHR / RH (O.H.C. Butt Hinge) </t>
    </r>
  </si>
  <si>
    <r>
      <rPr>
        <sz val="10"/>
        <rFont val="Times New Roman"/>
        <family val="1"/>
      </rPr>
      <t xml:space="preserve">4-85-0022 </t>
    </r>
  </si>
  <si>
    <r>
      <rPr>
        <sz val="10"/>
        <rFont val="Times New Roman"/>
        <family val="1"/>
      </rPr>
      <t xml:space="preserve">Bracket Ass'y., Door Closed Stop </t>
    </r>
  </si>
  <si>
    <r>
      <rPr>
        <sz val="10"/>
        <rFont val="Times New Roman"/>
        <family val="1"/>
      </rPr>
      <t xml:space="preserve">$137.00 </t>
    </r>
  </si>
  <si>
    <r>
      <rPr>
        <sz val="10"/>
        <rFont val="Times New Roman"/>
        <family val="1"/>
      </rPr>
      <t xml:space="preserve">4-85-0101 </t>
    </r>
  </si>
  <si>
    <r>
      <rPr>
        <sz val="10"/>
        <rFont val="Times New Roman"/>
        <family val="1"/>
      </rPr>
      <t xml:space="preserve">Drive Module w/Control S8500 (SN) </t>
    </r>
  </si>
  <si>
    <r>
      <rPr>
        <sz val="10"/>
        <rFont val="Times New Roman"/>
        <family val="1"/>
      </rPr>
      <t xml:space="preserve">$4,818.00 </t>
    </r>
  </si>
  <si>
    <r>
      <rPr>
        <sz val="10"/>
        <rFont val="Times New Roman"/>
        <family val="1"/>
      </rPr>
      <t xml:space="preserve">4-85-0102 </t>
    </r>
  </si>
  <si>
    <r>
      <rPr>
        <sz val="10"/>
        <rFont val="Times New Roman"/>
        <family val="1"/>
      </rPr>
      <t xml:space="preserve">Drive Module w/Control S8500 w/Brake                   (SN) </t>
    </r>
  </si>
  <si>
    <r>
      <rPr>
        <sz val="10"/>
        <rFont val="Times New Roman"/>
        <family val="1"/>
      </rPr>
      <t xml:space="preserve">$5,020.00 </t>
    </r>
  </si>
  <si>
    <r>
      <rPr>
        <sz val="10"/>
        <rFont val="Times New Roman"/>
        <family val="1"/>
      </rPr>
      <t xml:space="preserve">4-85-0803 </t>
    </r>
  </si>
  <si>
    <r>
      <rPr>
        <sz val="10"/>
        <rFont val="Times New Roman"/>
        <family val="1"/>
      </rPr>
      <t xml:space="preserve">Kit, Fixed Stop (S8500/8600 O.H.C.) </t>
    </r>
  </si>
  <si>
    <r>
      <rPr>
        <sz val="10"/>
        <rFont val="Times New Roman"/>
        <family val="1"/>
      </rPr>
      <t xml:space="preserve">$178.00 </t>
    </r>
  </si>
  <si>
    <r>
      <rPr>
        <sz val="10"/>
        <rFont val="Times New Roman"/>
        <family val="1"/>
      </rPr>
      <t xml:space="preserve">4-85-0804 </t>
    </r>
  </si>
  <si>
    <r>
      <rPr>
        <sz val="10"/>
        <rFont val="Times New Roman"/>
        <family val="1"/>
      </rPr>
      <t xml:space="preserve">Kit, Breakout/Panic Stop (S8500/8600 O.H.C.) </t>
    </r>
  </si>
  <si>
    <r>
      <rPr>
        <sz val="10"/>
        <rFont val="Times New Roman"/>
        <family val="1"/>
      </rPr>
      <t xml:space="preserve">$1,202.00 </t>
    </r>
  </si>
  <si>
    <r>
      <rPr>
        <sz val="10"/>
        <rFont val="Times New Roman"/>
        <family val="1"/>
      </rPr>
      <t xml:space="preserve">4-85-0805 </t>
    </r>
  </si>
  <si>
    <r>
      <rPr>
        <sz val="10"/>
        <rFont val="Times New Roman"/>
        <family val="1"/>
      </rPr>
      <t xml:space="preserve">Kit, Header Accessories (S8500/8600 O.H.C.) </t>
    </r>
  </si>
  <si>
    <r>
      <rPr>
        <sz val="10"/>
        <rFont val="Times New Roman"/>
        <family val="1"/>
      </rPr>
      <t xml:space="preserve">$491.00 </t>
    </r>
  </si>
  <si>
    <r>
      <rPr>
        <sz val="10"/>
        <rFont val="Times New Roman"/>
        <family val="1"/>
      </rPr>
      <t xml:space="preserve">4-85-0806 </t>
    </r>
  </si>
  <si>
    <r>
      <rPr>
        <sz val="10"/>
        <rFont val="Times New Roman"/>
        <family val="1"/>
      </rPr>
      <t xml:space="preserve">Kit, On/Off/Open Rocker Switch </t>
    </r>
  </si>
  <si>
    <r>
      <rPr>
        <sz val="10"/>
        <rFont val="Times New Roman"/>
        <family val="1"/>
      </rPr>
      <t xml:space="preserve">$266.00 </t>
    </r>
  </si>
  <si>
    <r>
      <rPr>
        <sz val="10"/>
        <rFont val="Times New Roman"/>
        <family val="1"/>
      </rPr>
      <t xml:space="preserve">4-85-1002 </t>
    </r>
  </si>
  <si>
    <r>
      <rPr>
        <sz val="10"/>
        <rFont val="Times New Roman"/>
        <family val="1"/>
      </rPr>
      <t xml:space="preserve">4-85-1006 </t>
    </r>
  </si>
  <si>
    <r>
      <rPr>
        <sz val="10"/>
        <rFont val="Times New Roman"/>
        <family val="1"/>
      </rPr>
      <t xml:space="preserve">Drive Arm, OHC Operator (Modified)from 9-80-0107 </t>
    </r>
  </si>
  <si>
    <r>
      <rPr>
        <sz val="10"/>
        <rFont val="Times New Roman"/>
        <family val="1"/>
      </rPr>
      <t xml:space="preserve">$394.00 </t>
    </r>
  </si>
  <si>
    <r>
      <rPr>
        <sz val="10"/>
        <rFont val="Times New Roman"/>
        <family val="1"/>
      </rPr>
      <t xml:space="preserve">4-85-1007 </t>
    </r>
  </si>
  <si>
    <r>
      <rPr>
        <sz val="10"/>
        <rFont val="Times New Roman"/>
        <family val="1"/>
      </rPr>
      <t xml:space="preserve">Door Arm, OHC Operator </t>
    </r>
  </si>
  <si>
    <r>
      <rPr>
        <sz val="10"/>
        <rFont val="Times New Roman"/>
        <family val="1"/>
      </rPr>
      <t xml:space="preserve">$221.00 </t>
    </r>
  </si>
  <si>
    <r>
      <rPr>
        <sz val="10"/>
        <rFont val="Times New Roman"/>
        <family val="1"/>
      </rPr>
      <t xml:space="preserve">4-85-1008 </t>
    </r>
  </si>
  <si>
    <r>
      <rPr>
        <sz val="10"/>
        <rFont val="Times New Roman"/>
        <family val="1"/>
      </rPr>
      <t xml:space="preserve">Extension, Slide Arm (Butt Hung) </t>
    </r>
  </si>
  <si>
    <r>
      <rPr>
        <sz val="10"/>
        <rFont val="Times New Roman"/>
        <family val="1"/>
      </rPr>
      <t xml:space="preserve">4-85-1010 </t>
    </r>
  </si>
  <si>
    <r>
      <rPr>
        <sz val="10"/>
        <rFont val="Times New Roman"/>
        <family val="1"/>
      </rPr>
      <t xml:space="preserve">End Cap, Header, OHC </t>
    </r>
  </si>
  <si>
    <r>
      <rPr>
        <sz val="10"/>
        <rFont val="Times New Roman"/>
        <family val="1"/>
      </rPr>
      <t xml:space="preserve">$117.00 </t>
    </r>
  </si>
  <si>
    <r>
      <rPr>
        <sz val="10"/>
        <rFont val="Times New Roman"/>
        <family val="1"/>
      </rPr>
      <t xml:space="preserve">4-85-1011 </t>
    </r>
  </si>
  <si>
    <r>
      <rPr>
        <sz val="10"/>
        <rFont val="Times New Roman"/>
        <family val="1"/>
      </rPr>
      <t xml:space="preserve">End Cap, Header (Blank) </t>
    </r>
  </si>
  <si>
    <r>
      <rPr>
        <sz val="10"/>
        <rFont val="Times New Roman"/>
        <family val="1"/>
      </rPr>
      <t xml:space="preserve">4-85-1015 </t>
    </r>
  </si>
  <si>
    <r>
      <rPr>
        <sz val="10"/>
        <rFont val="Times New Roman"/>
        <family val="1"/>
      </rPr>
      <t xml:space="preserve">Adapter, OHC Closer - Track Arm - S8700 Manual Door Pkg. </t>
    </r>
  </si>
  <si>
    <r>
      <rPr>
        <sz val="10"/>
        <rFont val="Times New Roman"/>
        <family val="1"/>
      </rPr>
      <t xml:space="preserve">$201.00 </t>
    </r>
  </si>
  <si>
    <r>
      <rPr>
        <sz val="10"/>
        <rFont val="Times New Roman"/>
        <family val="1"/>
      </rPr>
      <t xml:space="preserve">4-85-4020 </t>
    </r>
  </si>
  <si>
    <r>
      <rPr>
        <sz val="10"/>
        <rFont val="Times New Roman"/>
        <family val="1"/>
      </rPr>
      <t xml:space="preserve">Block, Door Closed Stop </t>
    </r>
  </si>
  <si>
    <r>
      <rPr>
        <sz val="10"/>
        <rFont val="Times New Roman"/>
        <family val="1"/>
      </rPr>
      <t xml:space="preserve">4-85-4021 </t>
    </r>
  </si>
  <si>
    <r>
      <rPr>
        <sz val="10"/>
        <rFont val="Times New Roman"/>
        <family val="1"/>
      </rPr>
      <t xml:space="preserve">Spacer, Operator Body </t>
    </r>
  </si>
  <si>
    <r>
      <rPr>
        <sz val="10"/>
        <rFont val="Times New Roman"/>
        <family val="1"/>
      </rPr>
      <t xml:space="preserve">4-85-4022-CL </t>
    </r>
  </si>
  <si>
    <r>
      <rPr>
        <sz val="10"/>
        <rFont val="Times New Roman"/>
        <family val="1"/>
      </rPr>
      <t xml:space="preserve">Cover, Slide Arm Ass'y. (LHR / RH) </t>
    </r>
  </si>
  <si>
    <r>
      <rPr>
        <sz val="10"/>
        <rFont val="Times New Roman"/>
        <family val="1"/>
      </rPr>
      <t xml:space="preserve">4-85-4022-DB </t>
    </r>
  </si>
  <si>
    <r>
      <rPr>
        <sz val="10"/>
        <rFont val="Times New Roman"/>
        <family val="1"/>
      </rPr>
      <t xml:space="preserve">4-85-4023-CL </t>
    </r>
  </si>
  <si>
    <r>
      <rPr>
        <sz val="10"/>
        <rFont val="Times New Roman"/>
        <family val="1"/>
      </rPr>
      <t xml:space="preserve">Cover, Slide Arm Ass'y. (RHR / LH) </t>
    </r>
  </si>
  <si>
    <r>
      <rPr>
        <sz val="10"/>
        <rFont val="Times New Roman"/>
        <family val="1"/>
      </rPr>
      <t xml:space="preserve">4-85-4023-DB </t>
    </r>
  </si>
  <si>
    <r>
      <rPr>
        <sz val="10"/>
        <rFont val="Times New Roman"/>
        <family val="1"/>
      </rPr>
      <t xml:space="preserve">4-85-4024-CL </t>
    </r>
  </si>
  <si>
    <r>
      <rPr>
        <sz val="10"/>
        <rFont val="Times New Roman"/>
        <family val="1"/>
      </rPr>
      <t xml:space="preserve">Cover, Slide Arm Ass'y. (Dual Units) </t>
    </r>
  </si>
  <si>
    <r>
      <rPr>
        <sz val="10"/>
        <rFont val="Times New Roman"/>
        <family val="1"/>
      </rPr>
      <t xml:space="preserve">$194.00 </t>
    </r>
  </si>
  <si>
    <r>
      <rPr>
        <sz val="10"/>
        <rFont val="Times New Roman"/>
        <family val="1"/>
      </rPr>
      <t xml:space="preserve">4-85-4024-DB </t>
    </r>
  </si>
  <si>
    <r>
      <rPr>
        <sz val="10"/>
        <rFont val="Times New Roman"/>
        <family val="1"/>
      </rPr>
      <t xml:space="preserve">$208.00 </t>
    </r>
  </si>
  <si>
    <r>
      <rPr>
        <sz val="10"/>
        <rFont val="Times New Roman"/>
        <family val="1"/>
      </rPr>
      <t xml:space="preserve">4-85-9001 </t>
    </r>
  </si>
  <si>
    <r>
      <rPr>
        <sz val="10"/>
        <rFont val="Times New Roman"/>
        <family val="1"/>
      </rPr>
      <t xml:space="preserve">Fingerguard (8 Ft. S/L) </t>
    </r>
  </si>
  <si>
    <r>
      <rPr>
        <sz val="10"/>
        <rFont val="Times New Roman"/>
        <family val="1"/>
      </rPr>
      <t xml:space="preserve">4-85-9002 </t>
    </r>
  </si>
  <si>
    <r>
      <rPr>
        <sz val="10"/>
        <rFont val="Times New Roman"/>
        <family val="1"/>
      </rPr>
      <t xml:space="preserve">Fingerguard (10 Ft. S/L) </t>
    </r>
  </si>
  <si>
    <r>
      <rPr>
        <sz val="10"/>
        <rFont val="Times New Roman"/>
        <family val="1"/>
      </rPr>
      <t xml:space="preserve">$227.00 </t>
    </r>
  </si>
  <si>
    <r>
      <rPr>
        <sz val="10"/>
        <rFont val="Times New Roman"/>
        <family val="1"/>
      </rPr>
      <t xml:space="preserve">4-85-9003 </t>
    </r>
  </si>
  <si>
    <r>
      <rPr>
        <sz val="10"/>
        <rFont val="Times New Roman"/>
        <family val="1"/>
      </rPr>
      <t xml:space="preserve">Block, Panic Switch Mounting </t>
    </r>
  </si>
  <si>
    <r>
      <rPr>
        <sz val="10"/>
        <rFont val="Times New Roman"/>
        <family val="1"/>
      </rPr>
      <t xml:space="preserve">4-86-0801-BL </t>
    </r>
  </si>
  <si>
    <r>
      <rPr>
        <sz val="10"/>
        <rFont val="Times New Roman"/>
        <family val="1"/>
      </rPr>
      <t xml:space="preserve">Kit, Push Bar </t>
    </r>
  </si>
  <si>
    <r>
      <rPr>
        <sz val="10"/>
        <rFont val="Times New Roman"/>
        <family val="1"/>
      </rPr>
      <t xml:space="preserve">4-99-0800 </t>
    </r>
  </si>
  <si>
    <r>
      <rPr>
        <sz val="10"/>
        <rFont val="Times New Roman"/>
        <family val="1"/>
      </rPr>
      <t xml:space="preserve">Mini-Station Control, Push Button </t>
    </r>
  </si>
  <si>
    <r>
      <rPr>
        <sz val="10"/>
        <rFont val="Times New Roman"/>
        <family val="1"/>
      </rPr>
      <t xml:space="preserve">$217.00 </t>
    </r>
  </si>
  <si>
    <r>
      <rPr>
        <sz val="10"/>
        <rFont val="Times New Roman"/>
        <family val="1"/>
      </rPr>
      <t xml:space="preserve">5-11-4008-MF </t>
    </r>
  </si>
  <si>
    <r>
      <rPr>
        <sz val="10"/>
        <rFont val="Times New Roman"/>
        <family val="1"/>
      </rPr>
      <t xml:space="preserve">Pin Guide Threshold </t>
    </r>
  </si>
  <si>
    <r>
      <rPr>
        <sz val="10"/>
        <rFont val="Times New Roman"/>
        <family val="1"/>
      </rPr>
      <t xml:space="preserve">5-11-4017-MF </t>
    </r>
  </si>
  <si>
    <r>
      <rPr>
        <sz val="10"/>
        <rFont val="Times New Roman"/>
        <family val="1"/>
      </rPr>
      <t xml:space="preserve">Threshold, 1/4" X 7" Saddle </t>
    </r>
  </si>
  <si>
    <r>
      <rPr>
        <sz val="10"/>
        <rFont val="Times New Roman"/>
        <family val="1"/>
      </rPr>
      <t xml:space="preserve">5-11-4021-CL </t>
    </r>
  </si>
  <si>
    <r>
      <rPr>
        <sz val="10"/>
        <rFont val="Times New Roman"/>
        <family val="1"/>
      </rPr>
      <t xml:space="preserve">Stile, Tandem (Narrow) (21'1" S/L) </t>
    </r>
  </si>
  <si>
    <r>
      <rPr>
        <sz val="10"/>
        <rFont val="Times New Roman"/>
        <family val="1"/>
      </rPr>
      <t xml:space="preserve">5-11-4021-CL-24 </t>
    </r>
  </si>
  <si>
    <r>
      <rPr>
        <sz val="10"/>
        <rFont val="Times New Roman"/>
        <family val="1"/>
      </rPr>
      <t xml:space="preserve">Stile, Tandem (Narrow) (24 Ft. S/L) </t>
    </r>
  </si>
  <si>
    <r>
      <rPr>
        <sz val="10"/>
        <rFont val="Times New Roman"/>
        <family val="1"/>
      </rPr>
      <t xml:space="preserve">5-11-4021-DB </t>
    </r>
  </si>
  <si>
    <r>
      <rPr>
        <sz val="10"/>
        <rFont val="Times New Roman"/>
        <family val="1"/>
      </rPr>
      <t xml:space="preserve">5-11-4021-DB-24 </t>
    </r>
  </si>
  <si>
    <r>
      <rPr>
        <sz val="10"/>
        <rFont val="Times New Roman"/>
        <family val="1"/>
      </rPr>
      <t xml:space="preserve">5-11-4021-MF </t>
    </r>
  </si>
  <si>
    <r>
      <rPr>
        <sz val="10"/>
        <rFont val="Times New Roman"/>
        <family val="1"/>
      </rPr>
      <t xml:space="preserve">Stile, Tandem (Narrow) S/L 170" </t>
    </r>
  </si>
  <si>
    <r>
      <rPr>
        <sz val="10"/>
        <rFont val="Times New Roman"/>
        <family val="1"/>
      </rPr>
      <t xml:space="preserve">5-11-4022-CL </t>
    </r>
  </si>
  <si>
    <r>
      <rPr>
        <sz val="10"/>
        <rFont val="Times New Roman"/>
        <family val="1"/>
      </rPr>
      <t xml:space="preserve">Stile, Fixed (Narrow) (21'1" S/L) </t>
    </r>
  </si>
  <si>
    <r>
      <rPr>
        <sz val="10"/>
        <rFont val="Times New Roman"/>
        <family val="1"/>
      </rPr>
      <t xml:space="preserve">5-11-4022-CL-24 </t>
    </r>
  </si>
  <si>
    <r>
      <rPr>
        <sz val="10"/>
        <rFont val="Times New Roman"/>
        <family val="1"/>
      </rPr>
      <t xml:space="preserve">Stile, Fixed (Narrow) (24 Ft. S/L) </t>
    </r>
  </si>
  <si>
    <r>
      <rPr>
        <sz val="10"/>
        <rFont val="Times New Roman"/>
        <family val="1"/>
      </rPr>
      <t xml:space="preserve">5-11-4022-DB </t>
    </r>
  </si>
  <si>
    <r>
      <rPr>
        <sz val="10"/>
        <rFont val="Times New Roman"/>
        <family val="1"/>
      </rPr>
      <t xml:space="preserve">$39.00 </t>
    </r>
  </si>
  <si>
    <r>
      <rPr>
        <sz val="10"/>
        <rFont val="Times New Roman"/>
        <family val="1"/>
      </rPr>
      <t xml:space="preserve">5-11-4022-DB-24 </t>
    </r>
  </si>
  <si>
    <r>
      <rPr>
        <sz val="10"/>
        <rFont val="Times New Roman"/>
        <family val="1"/>
      </rPr>
      <t xml:space="preserve">5-11-4022-MF </t>
    </r>
  </si>
  <si>
    <r>
      <rPr>
        <sz val="10"/>
        <rFont val="Times New Roman"/>
        <family val="1"/>
      </rPr>
      <t xml:space="preserve">Fixed Stile (Narrow) S/L 170" </t>
    </r>
  </si>
  <si>
    <r>
      <rPr>
        <sz val="10"/>
        <rFont val="Times New Roman"/>
        <family val="1"/>
      </rPr>
      <t xml:space="preserve">5-11-4024-CL </t>
    </r>
  </si>
  <si>
    <r>
      <rPr>
        <sz val="10"/>
        <rFont val="Times New Roman"/>
        <family val="1"/>
      </rPr>
      <t xml:space="preserve">Stile, Tandem (Medium) 22' </t>
    </r>
  </si>
  <si>
    <r>
      <rPr>
        <sz val="10"/>
        <rFont val="Times New Roman"/>
        <family val="1"/>
      </rPr>
      <t xml:space="preserve">5-11-4024-DB </t>
    </r>
  </si>
  <si>
    <r>
      <rPr>
        <sz val="10"/>
        <rFont val="Times New Roman"/>
        <family val="1"/>
      </rPr>
      <t xml:space="preserve">5-11-4024-MF </t>
    </r>
  </si>
  <si>
    <r>
      <rPr>
        <sz val="10"/>
        <rFont val="Times New Roman"/>
        <family val="1"/>
      </rPr>
      <t xml:space="preserve">Stile, Tandem (Medium) S/L 168" </t>
    </r>
  </si>
  <si>
    <r>
      <rPr>
        <sz val="10"/>
        <rFont val="Times New Roman"/>
        <family val="1"/>
      </rPr>
      <t xml:space="preserve">5-11-4024-MF-22 </t>
    </r>
  </si>
  <si>
    <r>
      <rPr>
        <sz val="10"/>
        <rFont val="Times New Roman"/>
        <family val="1"/>
      </rPr>
      <t xml:space="preserve">Stile, Tandem (Medium) S/L 264" </t>
    </r>
  </si>
  <si>
    <r>
      <rPr>
        <sz val="10"/>
        <rFont val="Times New Roman"/>
        <family val="1"/>
      </rPr>
      <t xml:space="preserve">5-11-4025-CL </t>
    </r>
  </si>
  <si>
    <r>
      <rPr>
        <sz val="10"/>
        <rFont val="Times New Roman"/>
        <family val="1"/>
      </rPr>
      <t xml:space="preserve">Stile, Fixed (Medium) 22' </t>
    </r>
  </si>
  <si>
    <r>
      <rPr>
        <sz val="10"/>
        <rFont val="Times New Roman"/>
        <family val="1"/>
      </rPr>
      <t xml:space="preserve">5-11-4025-DB </t>
    </r>
  </si>
  <si>
    <r>
      <rPr>
        <sz val="10"/>
        <rFont val="Times New Roman"/>
        <family val="1"/>
      </rPr>
      <t xml:space="preserve">$45.00 </t>
    </r>
  </si>
  <si>
    <r>
      <rPr>
        <sz val="10"/>
        <rFont val="Times New Roman"/>
        <family val="1"/>
      </rPr>
      <t xml:space="preserve">5-11-4025-MF </t>
    </r>
  </si>
  <si>
    <r>
      <rPr>
        <sz val="10"/>
        <rFont val="Times New Roman"/>
        <family val="1"/>
      </rPr>
      <t xml:space="preserve">Stile, Fixed (Medium) S/L 168" </t>
    </r>
  </si>
  <si>
    <r>
      <rPr>
        <sz val="8"/>
        <rFont val="Times New Roman"/>
        <family val="1"/>
      </rPr>
      <t xml:space="preserve">Page 10 of  21 </t>
    </r>
  </si>
  <si>
    <r>
      <rPr>
        <sz val="10"/>
        <rFont val="Times New Roman"/>
        <family val="1"/>
      </rPr>
      <t xml:space="preserve">5-11-4028-CL </t>
    </r>
  </si>
  <si>
    <r>
      <rPr>
        <sz val="10"/>
        <rFont val="Times New Roman"/>
        <family val="1"/>
      </rPr>
      <t xml:space="preserve">Filler, Stile 21'1" </t>
    </r>
  </si>
  <si>
    <r>
      <rPr>
        <sz val="10"/>
        <rFont val="Times New Roman"/>
        <family val="1"/>
      </rPr>
      <t xml:space="preserve">5-11-4028-DB </t>
    </r>
  </si>
  <si>
    <r>
      <rPr>
        <sz val="10"/>
        <rFont val="Times New Roman"/>
        <family val="1"/>
      </rPr>
      <t xml:space="preserve">5-11-4028-MF </t>
    </r>
  </si>
  <si>
    <r>
      <rPr>
        <sz val="10"/>
        <rFont val="Times New Roman"/>
        <family val="1"/>
      </rPr>
      <t xml:space="preserve">Filler, Stile S/L 21'1" </t>
    </r>
  </si>
  <si>
    <r>
      <rPr>
        <sz val="10"/>
        <rFont val="Times New Roman"/>
        <family val="1"/>
      </rPr>
      <t xml:space="preserve">5-11-4030-CL </t>
    </r>
  </si>
  <si>
    <r>
      <rPr>
        <sz val="10"/>
        <rFont val="Times New Roman"/>
        <family val="1"/>
      </rPr>
      <t xml:space="preserve">Adaptor, Transom </t>
    </r>
  </si>
  <si>
    <r>
      <rPr>
        <sz val="10"/>
        <rFont val="Times New Roman"/>
        <family val="1"/>
      </rPr>
      <t xml:space="preserve">5-11-4030-DB </t>
    </r>
  </si>
  <si>
    <r>
      <rPr>
        <sz val="10"/>
        <rFont val="Times New Roman"/>
        <family val="1"/>
      </rPr>
      <t xml:space="preserve">5-11-4030-MF </t>
    </r>
  </si>
  <si>
    <r>
      <rPr>
        <sz val="10"/>
        <rFont val="Times New Roman"/>
        <family val="1"/>
      </rPr>
      <t xml:space="preserve">5-11-4031-CL </t>
    </r>
  </si>
  <si>
    <r>
      <rPr>
        <sz val="10"/>
        <rFont val="Times New Roman"/>
        <family val="1"/>
      </rPr>
      <t xml:space="preserve">Muntin Bar, 1 1/2" </t>
    </r>
  </si>
  <si>
    <r>
      <rPr>
        <sz val="10"/>
        <rFont val="Times New Roman"/>
        <family val="1"/>
      </rPr>
      <t xml:space="preserve">5-11-4031-DB </t>
    </r>
  </si>
  <si>
    <r>
      <rPr>
        <sz val="10"/>
        <rFont val="Times New Roman"/>
        <family val="1"/>
      </rPr>
      <t xml:space="preserve">5-11-4031-MF </t>
    </r>
  </si>
  <si>
    <r>
      <rPr>
        <sz val="10"/>
        <rFont val="Times New Roman"/>
        <family val="1"/>
      </rPr>
      <t xml:space="preserve">Muntin Bar, 1 1/2 S/L 12' </t>
    </r>
  </si>
  <si>
    <r>
      <rPr>
        <sz val="10"/>
        <rFont val="Times New Roman"/>
        <family val="1"/>
      </rPr>
      <t xml:space="preserve">5-11-4032-CL </t>
    </r>
  </si>
  <si>
    <r>
      <rPr>
        <sz val="10"/>
        <rFont val="Times New Roman"/>
        <family val="1"/>
      </rPr>
      <t xml:space="preserve">Rail, 2 1/2" </t>
    </r>
  </si>
  <si>
    <r>
      <rPr>
        <sz val="10"/>
        <rFont val="Times New Roman"/>
        <family val="1"/>
      </rPr>
      <t xml:space="preserve">5-11-4032-DB </t>
    </r>
  </si>
  <si>
    <r>
      <rPr>
        <sz val="10"/>
        <rFont val="Times New Roman"/>
        <family val="1"/>
      </rPr>
      <t xml:space="preserve">5-11-4032-MF </t>
    </r>
  </si>
  <si>
    <r>
      <rPr>
        <sz val="10"/>
        <rFont val="Times New Roman"/>
        <family val="1"/>
      </rPr>
      <t xml:space="preserve">Rail, 2 1/2" S/L 12' </t>
    </r>
  </si>
  <si>
    <r>
      <rPr>
        <sz val="10"/>
        <rFont val="Times New Roman"/>
        <family val="1"/>
      </rPr>
      <t xml:space="preserve">5-11-4033-CL </t>
    </r>
  </si>
  <si>
    <r>
      <rPr>
        <sz val="10"/>
        <rFont val="Times New Roman"/>
        <family val="1"/>
      </rPr>
      <t xml:space="preserve">Rail, 3 1/2" 24' </t>
    </r>
  </si>
  <si>
    <r>
      <rPr>
        <sz val="10"/>
        <rFont val="Times New Roman"/>
        <family val="1"/>
      </rPr>
      <t xml:space="preserve">5-11-4033-DB </t>
    </r>
  </si>
  <si>
    <r>
      <rPr>
        <sz val="10"/>
        <rFont val="Times New Roman"/>
        <family val="1"/>
      </rPr>
      <t xml:space="preserve">Rail, 3 1/2" </t>
    </r>
  </si>
  <si>
    <r>
      <rPr>
        <sz val="10"/>
        <rFont val="Times New Roman"/>
        <family val="1"/>
      </rPr>
      <t xml:space="preserve">5-11-4033-MF </t>
    </r>
  </si>
  <si>
    <r>
      <rPr>
        <sz val="10"/>
        <rFont val="Times New Roman"/>
        <family val="1"/>
      </rPr>
      <t xml:space="preserve">Rail, 3 1/2" S/L 12' </t>
    </r>
  </si>
  <si>
    <r>
      <rPr>
        <sz val="10"/>
        <rFont val="Times New Roman"/>
        <family val="1"/>
      </rPr>
      <t xml:space="preserve">5-11-4034-CL </t>
    </r>
  </si>
  <si>
    <r>
      <rPr>
        <sz val="10"/>
        <rFont val="Times New Roman"/>
        <family val="1"/>
      </rPr>
      <t xml:space="preserve">Rail, 4" </t>
    </r>
  </si>
  <si>
    <r>
      <rPr>
        <sz val="10"/>
        <rFont val="Times New Roman"/>
        <family val="1"/>
      </rPr>
      <t xml:space="preserve">5-11-4034-DB </t>
    </r>
  </si>
  <si>
    <r>
      <rPr>
        <sz val="10"/>
        <rFont val="Times New Roman"/>
        <family val="1"/>
      </rPr>
      <t xml:space="preserve">5-11-4034-MF </t>
    </r>
  </si>
  <si>
    <r>
      <rPr>
        <sz val="10"/>
        <rFont val="Times New Roman"/>
        <family val="1"/>
      </rPr>
      <t xml:space="preserve">Rail, 4" S/L 12' </t>
    </r>
  </si>
  <si>
    <r>
      <rPr>
        <sz val="10"/>
        <rFont val="Times New Roman"/>
        <family val="1"/>
      </rPr>
      <t xml:space="preserve">5-11-4035-CL </t>
    </r>
  </si>
  <si>
    <r>
      <rPr>
        <sz val="10"/>
        <rFont val="Times New Roman"/>
        <family val="1"/>
      </rPr>
      <t xml:space="preserve">Rail, 5" </t>
    </r>
  </si>
  <si>
    <r>
      <rPr>
        <sz val="10"/>
        <rFont val="Times New Roman"/>
        <family val="1"/>
      </rPr>
      <t xml:space="preserve">$44.00 </t>
    </r>
  </si>
  <si>
    <r>
      <rPr>
        <sz val="10"/>
        <rFont val="Times New Roman"/>
        <family val="1"/>
      </rPr>
      <t xml:space="preserve">5-11-4035-DB </t>
    </r>
  </si>
  <si>
    <r>
      <rPr>
        <sz val="10"/>
        <rFont val="Times New Roman"/>
        <family val="1"/>
      </rPr>
      <t xml:space="preserve">5-11-4035-MF </t>
    </r>
  </si>
  <si>
    <r>
      <rPr>
        <sz val="10"/>
        <rFont val="Times New Roman"/>
        <family val="1"/>
      </rPr>
      <t xml:space="preserve">Rail, 5" S/L 168" </t>
    </r>
  </si>
  <si>
    <r>
      <rPr>
        <sz val="10"/>
        <rFont val="Times New Roman"/>
        <family val="1"/>
      </rPr>
      <t xml:space="preserve">5-11-4036-CL </t>
    </r>
  </si>
  <si>
    <r>
      <rPr>
        <sz val="10"/>
        <rFont val="Times New Roman"/>
        <family val="1"/>
      </rPr>
      <t xml:space="preserve">Rail, 6" </t>
    </r>
  </si>
  <si>
    <r>
      <rPr>
        <sz val="10"/>
        <rFont val="Times New Roman"/>
        <family val="1"/>
      </rPr>
      <t xml:space="preserve">5-11-4036-DB </t>
    </r>
  </si>
  <si>
    <r>
      <rPr>
        <sz val="10"/>
        <rFont val="Times New Roman"/>
        <family val="1"/>
      </rPr>
      <t xml:space="preserve">5-11-4036-MF </t>
    </r>
  </si>
  <si>
    <r>
      <rPr>
        <sz val="10"/>
        <rFont val="Times New Roman"/>
        <family val="1"/>
      </rPr>
      <t xml:space="preserve">Rail, 6" S/L 12' </t>
    </r>
  </si>
  <si>
    <r>
      <rPr>
        <sz val="10"/>
        <rFont val="Times New Roman"/>
        <family val="1"/>
      </rPr>
      <t xml:space="preserve">5-11-4037-CL </t>
    </r>
  </si>
  <si>
    <r>
      <rPr>
        <sz val="10"/>
        <rFont val="Times New Roman"/>
        <family val="1"/>
      </rPr>
      <t xml:space="preserve">Gutter, 1/4" Beveled </t>
    </r>
  </si>
  <si>
    <r>
      <rPr>
        <sz val="10"/>
        <rFont val="Times New Roman"/>
        <family val="1"/>
      </rPr>
      <t xml:space="preserve">5-11-4037-DB </t>
    </r>
  </si>
  <si>
    <r>
      <rPr>
        <sz val="10"/>
        <rFont val="Times New Roman"/>
        <family val="1"/>
      </rPr>
      <t xml:space="preserve">5-11-4038-CL </t>
    </r>
  </si>
  <si>
    <r>
      <rPr>
        <sz val="10"/>
        <rFont val="Times New Roman"/>
        <family val="1"/>
      </rPr>
      <t xml:space="preserve">Sash, 1/4" Beveled </t>
    </r>
  </si>
  <si>
    <r>
      <rPr>
        <sz val="10"/>
        <rFont val="Times New Roman"/>
        <family val="1"/>
      </rPr>
      <t xml:space="preserve">5-11-4038-DB </t>
    </r>
  </si>
  <si>
    <r>
      <rPr>
        <sz val="10"/>
        <rFont val="Times New Roman"/>
        <family val="1"/>
      </rPr>
      <t xml:space="preserve">5-11-4039-CL </t>
    </r>
  </si>
  <si>
    <r>
      <rPr>
        <sz val="10"/>
        <rFont val="Times New Roman"/>
        <family val="1"/>
      </rPr>
      <t xml:space="preserve">Gutter, 1/4" Square, Clear Ano 24' </t>
    </r>
  </si>
  <si>
    <r>
      <rPr>
        <sz val="10"/>
        <rFont val="Times New Roman"/>
        <family val="1"/>
      </rPr>
      <t xml:space="preserve">5-11-4039-DB </t>
    </r>
  </si>
  <si>
    <r>
      <rPr>
        <sz val="10"/>
        <rFont val="Times New Roman"/>
        <family val="1"/>
      </rPr>
      <t xml:space="preserve">Gutter,1/4" Square,DarkBronzeAno 24' </t>
    </r>
  </si>
  <si>
    <r>
      <rPr>
        <sz val="10"/>
        <rFont val="Times New Roman"/>
        <family val="1"/>
      </rPr>
      <t xml:space="preserve">5-11-4039-MF </t>
    </r>
  </si>
  <si>
    <r>
      <rPr>
        <sz val="10"/>
        <rFont val="Times New Roman"/>
        <family val="1"/>
      </rPr>
      <t xml:space="preserve">Gutter, 1/4" Square S/L 24' </t>
    </r>
  </si>
  <si>
    <r>
      <rPr>
        <sz val="10"/>
        <rFont val="Times New Roman"/>
        <family val="1"/>
      </rPr>
      <t xml:space="preserve">5-11-4040-CL </t>
    </r>
  </si>
  <si>
    <r>
      <rPr>
        <sz val="10"/>
        <rFont val="Times New Roman"/>
        <family val="1"/>
      </rPr>
      <t xml:space="preserve">Sash, 1/4" Square, Clear Anoize 24' </t>
    </r>
  </si>
  <si>
    <r>
      <rPr>
        <sz val="10"/>
        <rFont val="Times New Roman"/>
        <family val="1"/>
      </rPr>
      <t xml:space="preserve">5-11-4040-DB </t>
    </r>
  </si>
  <si>
    <r>
      <rPr>
        <sz val="10"/>
        <rFont val="Times New Roman"/>
        <family val="1"/>
      </rPr>
      <t xml:space="preserve">Sash, 1/4" Square,DarkBronze Ano 24' </t>
    </r>
  </si>
  <si>
    <r>
      <rPr>
        <sz val="10"/>
        <rFont val="Times New Roman"/>
        <family val="1"/>
      </rPr>
      <t xml:space="preserve">5-11-4040-MF </t>
    </r>
  </si>
  <si>
    <r>
      <rPr>
        <sz val="10"/>
        <rFont val="Times New Roman"/>
        <family val="1"/>
      </rPr>
      <t xml:space="preserve">Sash, 1/4" Square S/L 24' </t>
    </r>
  </si>
  <si>
    <r>
      <rPr>
        <sz val="10"/>
        <rFont val="Times New Roman"/>
        <family val="1"/>
      </rPr>
      <t xml:space="preserve">5-11-4041-CL </t>
    </r>
  </si>
  <si>
    <r>
      <rPr>
        <sz val="10"/>
        <rFont val="Times New Roman"/>
        <family val="1"/>
      </rPr>
      <t xml:space="preserve">Gutter, 1", Clear Anodized 24' </t>
    </r>
  </si>
  <si>
    <r>
      <rPr>
        <sz val="10"/>
        <rFont val="Times New Roman"/>
        <family val="1"/>
      </rPr>
      <t xml:space="preserve">5-11-4041-DB </t>
    </r>
  </si>
  <si>
    <r>
      <rPr>
        <sz val="10"/>
        <rFont val="Times New Roman"/>
        <family val="1"/>
      </rPr>
      <t xml:space="preserve">Gutter,1", Dark Bronze Anodize 24' </t>
    </r>
  </si>
  <si>
    <r>
      <rPr>
        <sz val="10"/>
        <rFont val="Times New Roman"/>
        <family val="1"/>
      </rPr>
      <t xml:space="preserve">5-11-4041-MF </t>
    </r>
  </si>
  <si>
    <r>
      <rPr>
        <sz val="10"/>
        <rFont val="Times New Roman"/>
        <family val="1"/>
      </rPr>
      <t xml:space="preserve">Gutter, 1" S/L 24' </t>
    </r>
  </si>
  <si>
    <r>
      <rPr>
        <sz val="10"/>
        <rFont val="Times New Roman"/>
        <family val="1"/>
      </rPr>
      <t xml:space="preserve">5-11-4042-CL </t>
    </r>
  </si>
  <si>
    <r>
      <rPr>
        <sz val="10"/>
        <rFont val="Times New Roman"/>
        <family val="1"/>
      </rPr>
      <t xml:space="preserve">Sash, 1", Clear Anodized 24' </t>
    </r>
  </si>
  <si>
    <r>
      <rPr>
        <sz val="10"/>
        <rFont val="Times New Roman"/>
        <family val="1"/>
      </rPr>
      <t xml:space="preserve">5-11-4042-DB </t>
    </r>
  </si>
  <si>
    <r>
      <rPr>
        <sz val="10"/>
        <rFont val="Times New Roman"/>
        <family val="1"/>
      </rPr>
      <t xml:space="preserve">Sash,1", Dark Bronze Anodize 24' </t>
    </r>
  </si>
  <si>
    <r>
      <rPr>
        <sz val="10"/>
        <rFont val="Times New Roman"/>
        <family val="1"/>
      </rPr>
      <t xml:space="preserve">5-11-4042-MF </t>
    </r>
  </si>
  <si>
    <r>
      <rPr>
        <sz val="10"/>
        <rFont val="Times New Roman"/>
        <family val="1"/>
      </rPr>
      <t xml:space="preserve">Sash, 1" S/L 24' </t>
    </r>
  </si>
  <si>
    <r>
      <rPr>
        <sz val="10"/>
        <rFont val="Times New Roman"/>
        <family val="1"/>
      </rPr>
      <t xml:space="preserve">5-11-4044-CL </t>
    </r>
  </si>
  <si>
    <r>
      <rPr>
        <sz val="10"/>
        <rFont val="Times New Roman"/>
        <family val="1"/>
      </rPr>
      <t xml:space="preserve">Gutter, Hurricane, Clear Anodized </t>
    </r>
  </si>
  <si>
    <r>
      <rPr>
        <sz val="10"/>
        <rFont val="Times New Roman"/>
        <family val="1"/>
      </rPr>
      <t xml:space="preserve">5-11-4044-DB </t>
    </r>
  </si>
  <si>
    <r>
      <rPr>
        <sz val="10"/>
        <rFont val="Times New Roman"/>
        <family val="1"/>
      </rPr>
      <t xml:space="preserve">Gutter, Hurricane, Dark Bronze Anodized </t>
    </r>
  </si>
  <si>
    <r>
      <rPr>
        <sz val="10"/>
        <rFont val="Times New Roman"/>
        <family val="1"/>
      </rPr>
      <t xml:space="preserve">5-11-4044-MF </t>
    </r>
  </si>
  <si>
    <r>
      <rPr>
        <sz val="10"/>
        <rFont val="Times New Roman"/>
        <family val="1"/>
      </rPr>
      <t xml:space="preserve">Gutter, Hurricane S/L 24' </t>
    </r>
  </si>
  <si>
    <r>
      <rPr>
        <sz val="10"/>
        <rFont val="Times New Roman"/>
        <family val="1"/>
      </rPr>
      <t xml:space="preserve">5-12-4006-CL </t>
    </r>
  </si>
  <si>
    <r>
      <rPr>
        <sz val="10"/>
        <rFont val="Times New Roman"/>
        <family val="1"/>
      </rPr>
      <t xml:space="preserve">Aluminum Tube, 1" X 2" </t>
    </r>
  </si>
  <si>
    <r>
      <rPr>
        <sz val="10"/>
        <rFont val="Times New Roman"/>
        <family val="1"/>
      </rPr>
      <t xml:space="preserve">5-12-4006-DB </t>
    </r>
  </si>
  <si>
    <r>
      <rPr>
        <sz val="10"/>
        <rFont val="Times New Roman"/>
        <family val="1"/>
      </rPr>
      <t xml:space="preserve">ALUMINUM TUBE, 1" X 2", D. BRONZE </t>
    </r>
  </si>
  <si>
    <r>
      <rPr>
        <sz val="10"/>
        <rFont val="Times New Roman"/>
        <family val="1"/>
      </rPr>
      <t xml:space="preserve">5-12-4006-MF </t>
    </r>
  </si>
  <si>
    <r>
      <rPr>
        <sz val="10"/>
        <rFont val="Times New Roman"/>
        <family val="1"/>
      </rPr>
      <t xml:space="preserve">Aluminum Tube, 1" X 2", MF </t>
    </r>
  </si>
  <si>
    <r>
      <rPr>
        <sz val="10"/>
        <rFont val="Times New Roman"/>
        <family val="1"/>
      </rPr>
      <t xml:space="preserve">5-19-4003 </t>
    </r>
  </si>
  <si>
    <r>
      <rPr>
        <sz val="10"/>
        <rFont val="Times New Roman"/>
        <family val="1"/>
      </rPr>
      <t xml:space="preserve">Aluminum, Channel, 1 1/4" x 3/4" x 1/8" Wall </t>
    </r>
  </si>
  <si>
    <r>
      <rPr>
        <sz val="8"/>
        <rFont val="Times New Roman"/>
        <family val="1"/>
      </rPr>
      <t xml:space="preserve">Page 11 of  21 </t>
    </r>
  </si>
  <si>
    <r>
      <rPr>
        <sz val="10"/>
        <rFont val="Times New Roman"/>
        <family val="1"/>
      </rPr>
      <t xml:space="preserve">5-45-4001-CL </t>
    </r>
  </si>
  <si>
    <r>
      <rPr>
        <sz val="10"/>
        <rFont val="Times New Roman"/>
        <family val="1"/>
      </rPr>
      <t xml:space="preserve">Header, Folding Doors 23'6" </t>
    </r>
  </si>
  <si>
    <r>
      <rPr>
        <sz val="10"/>
        <rFont val="Times New Roman"/>
        <family val="1"/>
      </rPr>
      <t xml:space="preserve">$187.00 </t>
    </r>
  </si>
  <si>
    <r>
      <rPr>
        <sz val="10"/>
        <rFont val="Times New Roman"/>
        <family val="1"/>
      </rPr>
      <t xml:space="preserve">5-45-4001-DB </t>
    </r>
  </si>
  <si>
    <r>
      <rPr>
        <sz val="10"/>
        <rFont val="Times New Roman"/>
        <family val="1"/>
      </rPr>
      <t xml:space="preserve">5-45-4001-MF-12 </t>
    </r>
  </si>
  <si>
    <r>
      <rPr>
        <sz val="10"/>
        <rFont val="Times New Roman"/>
        <family val="1"/>
      </rPr>
      <t xml:space="preserve">Header, Slide/Fold Doors 12'0" </t>
    </r>
  </si>
  <si>
    <r>
      <rPr>
        <sz val="10"/>
        <rFont val="Times New Roman"/>
        <family val="1"/>
      </rPr>
      <t xml:space="preserve">$111.00 </t>
    </r>
  </si>
  <si>
    <r>
      <rPr>
        <sz val="10"/>
        <rFont val="Times New Roman"/>
        <family val="1"/>
      </rPr>
      <t xml:space="preserve">5-45-4002-CL </t>
    </r>
  </si>
  <si>
    <r>
      <rPr>
        <sz val="10"/>
        <rFont val="Times New Roman"/>
        <family val="1"/>
      </rPr>
      <t xml:space="preserve">Cover, Folding Door Header 23'6" </t>
    </r>
  </si>
  <si>
    <r>
      <rPr>
        <sz val="10"/>
        <rFont val="Times New Roman"/>
        <family val="1"/>
      </rPr>
      <t xml:space="preserve">5-45-4002-DB </t>
    </r>
  </si>
  <si>
    <r>
      <rPr>
        <sz val="10"/>
        <rFont val="Times New Roman"/>
        <family val="1"/>
      </rPr>
      <t xml:space="preserve">Cover, Folding Door Header 23"6" </t>
    </r>
  </si>
  <si>
    <r>
      <rPr>
        <sz val="10"/>
        <rFont val="Times New Roman"/>
        <family val="1"/>
      </rPr>
      <t xml:space="preserve">5-45-4002-MF-12 </t>
    </r>
  </si>
  <si>
    <r>
      <rPr>
        <sz val="10"/>
        <rFont val="Times New Roman"/>
        <family val="1"/>
      </rPr>
      <t xml:space="preserve">Cover, Slide/Fold Door Header 12'0" </t>
    </r>
  </si>
  <si>
    <r>
      <rPr>
        <sz val="10"/>
        <rFont val="Times New Roman"/>
        <family val="1"/>
      </rPr>
      <t xml:space="preserve">5-45-4003-CL </t>
    </r>
  </si>
  <si>
    <r>
      <rPr>
        <sz val="10"/>
        <rFont val="Times New Roman"/>
        <family val="1"/>
      </rPr>
      <t xml:space="preserve">Door Catch, Top 22' </t>
    </r>
  </si>
  <si>
    <r>
      <rPr>
        <sz val="10"/>
        <rFont val="Times New Roman"/>
        <family val="1"/>
      </rPr>
      <t xml:space="preserve">5-45-4003-DB </t>
    </r>
  </si>
  <si>
    <r>
      <rPr>
        <sz val="10"/>
        <rFont val="Times New Roman"/>
        <family val="1"/>
      </rPr>
      <t xml:space="preserve">5-45-4003-MF-12 </t>
    </r>
  </si>
  <si>
    <r>
      <rPr>
        <sz val="10"/>
        <rFont val="Times New Roman"/>
        <family val="1"/>
      </rPr>
      <t xml:space="preserve">Door Catch, Top 12'0" </t>
    </r>
  </si>
  <si>
    <r>
      <rPr>
        <sz val="10"/>
        <rFont val="Times New Roman"/>
        <family val="1"/>
      </rPr>
      <t xml:space="preserve">5-45-4004-CL </t>
    </r>
  </si>
  <si>
    <r>
      <rPr>
        <sz val="10"/>
        <rFont val="Times New Roman"/>
        <family val="1"/>
      </rPr>
      <t xml:space="preserve">Door Catch, Bottom 22' </t>
    </r>
  </si>
  <si>
    <r>
      <rPr>
        <sz val="10"/>
        <rFont val="Times New Roman"/>
        <family val="1"/>
      </rPr>
      <t xml:space="preserve">5-45-4004-DB </t>
    </r>
  </si>
  <si>
    <r>
      <rPr>
        <sz val="10"/>
        <rFont val="Times New Roman"/>
        <family val="1"/>
      </rPr>
      <t xml:space="preserve">5-45-4004-MF-12 </t>
    </r>
  </si>
  <si>
    <r>
      <rPr>
        <sz val="10"/>
        <rFont val="Times New Roman"/>
        <family val="1"/>
      </rPr>
      <t xml:space="preserve">Door Catch, Bottom 12'0" </t>
    </r>
  </si>
  <si>
    <r>
      <rPr>
        <sz val="10"/>
        <rFont val="Times New Roman"/>
        <family val="1"/>
      </rPr>
      <t xml:space="preserve">5-45-4006-CL </t>
    </r>
  </si>
  <si>
    <r>
      <rPr>
        <sz val="10"/>
        <rFont val="Times New Roman"/>
        <family val="1"/>
      </rPr>
      <t xml:space="preserve">Filler, Slide/Fold Side Jamb 21' </t>
    </r>
  </si>
  <si>
    <r>
      <rPr>
        <sz val="10"/>
        <rFont val="Times New Roman"/>
        <family val="1"/>
      </rPr>
      <t xml:space="preserve">5-45-4006-DB </t>
    </r>
  </si>
  <si>
    <r>
      <rPr>
        <sz val="10"/>
        <rFont val="Times New Roman"/>
        <family val="1"/>
      </rPr>
      <t xml:space="preserve">Filler, Slide Fold Side Jamb 21' </t>
    </r>
  </si>
  <si>
    <r>
      <rPr>
        <sz val="10"/>
        <rFont val="Times New Roman"/>
        <family val="1"/>
      </rPr>
      <t xml:space="preserve">5-45-4006-MF-16 </t>
    </r>
  </si>
  <si>
    <r>
      <rPr>
        <sz val="10"/>
        <rFont val="Times New Roman"/>
        <family val="1"/>
      </rPr>
      <t xml:space="preserve">Filler, Slide/Fold Side Jamb 16'0" </t>
    </r>
  </si>
  <si>
    <r>
      <rPr>
        <sz val="10"/>
        <rFont val="Times New Roman"/>
        <family val="1"/>
      </rPr>
      <t xml:space="preserve">5-45-4007-CL </t>
    </r>
  </si>
  <si>
    <r>
      <rPr>
        <sz val="10"/>
        <rFont val="Times New Roman"/>
        <family val="1"/>
      </rPr>
      <t xml:space="preserve">Filler, Slide/Fold Side Jamb (Wide Pocket) 21' </t>
    </r>
  </si>
  <si>
    <r>
      <rPr>
        <sz val="10"/>
        <rFont val="Times New Roman"/>
        <family val="1"/>
      </rPr>
      <t xml:space="preserve">5-45-4007-DB </t>
    </r>
  </si>
  <si>
    <r>
      <rPr>
        <sz val="10"/>
        <rFont val="Times New Roman"/>
        <family val="1"/>
      </rPr>
      <t xml:space="preserve">5-45-4007-MF-16 </t>
    </r>
  </si>
  <si>
    <r>
      <rPr>
        <sz val="10"/>
        <rFont val="Times New Roman"/>
        <family val="1"/>
      </rPr>
      <t xml:space="preserve">Filler, Slide/Fold Side Jamb, Wide Pocket    16'0" </t>
    </r>
  </si>
  <si>
    <r>
      <rPr>
        <sz val="10"/>
        <rFont val="Times New Roman"/>
        <family val="1"/>
      </rPr>
      <t xml:space="preserve">5-45-4008-CL </t>
    </r>
  </si>
  <si>
    <r>
      <rPr>
        <sz val="10"/>
        <rFont val="Times New Roman"/>
        <family val="1"/>
      </rPr>
      <t xml:space="preserve">Stile, Hinge 21'1" </t>
    </r>
  </si>
  <si>
    <r>
      <rPr>
        <sz val="10"/>
        <rFont val="Times New Roman"/>
        <family val="1"/>
      </rPr>
      <t xml:space="preserve">5-45-4008-DB </t>
    </r>
  </si>
  <si>
    <r>
      <rPr>
        <sz val="10"/>
        <rFont val="Times New Roman"/>
        <family val="1"/>
      </rPr>
      <t xml:space="preserve">5-45-4008-MF-14 </t>
    </r>
  </si>
  <si>
    <r>
      <rPr>
        <sz val="10"/>
        <rFont val="Times New Roman"/>
        <family val="1"/>
      </rPr>
      <t xml:space="preserve">Stile, Hinge 14'2" </t>
    </r>
  </si>
  <si>
    <r>
      <rPr>
        <sz val="10"/>
        <rFont val="Times New Roman"/>
        <family val="1"/>
      </rPr>
      <t xml:space="preserve">5-45-4009-CL </t>
    </r>
  </si>
  <si>
    <r>
      <rPr>
        <sz val="10"/>
        <rFont val="Times New Roman"/>
        <family val="1"/>
      </rPr>
      <t xml:space="preserve">Stile, Pivot 21' </t>
    </r>
  </si>
  <si>
    <r>
      <rPr>
        <sz val="10"/>
        <rFont val="Times New Roman"/>
        <family val="1"/>
      </rPr>
      <t xml:space="preserve">5-45-4009-DB </t>
    </r>
  </si>
  <si>
    <r>
      <rPr>
        <sz val="10"/>
        <rFont val="Times New Roman"/>
        <family val="1"/>
      </rPr>
      <t xml:space="preserve">5-45-4009-MF-14 </t>
    </r>
  </si>
  <si>
    <r>
      <rPr>
        <sz val="10"/>
        <rFont val="Times New Roman"/>
        <family val="1"/>
      </rPr>
      <t xml:space="preserve">Stile, Pivot 14'2" </t>
    </r>
  </si>
  <si>
    <r>
      <rPr>
        <sz val="10"/>
        <rFont val="Times New Roman"/>
        <family val="1"/>
      </rPr>
      <t xml:space="preserve">5-49-4001-CL </t>
    </r>
  </si>
  <si>
    <r>
      <rPr>
        <sz val="10"/>
        <rFont val="Times New Roman"/>
        <family val="1"/>
      </rPr>
      <t xml:space="preserve">Header, 4900 Swing/Fold ICU </t>
    </r>
  </si>
  <si>
    <r>
      <rPr>
        <sz val="10"/>
        <rFont val="Times New Roman"/>
        <family val="1"/>
      </rPr>
      <t xml:space="preserve">5-49-4001-DB </t>
    </r>
  </si>
  <si>
    <r>
      <rPr>
        <sz val="10"/>
        <rFont val="Times New Roman"/>
        <family val="1"/>
      </rPr>
      <t xml:space="preserve">5-49-4002-CL </t>
    </r>
  </si>
  <si>
    <r>
      <rPr>
        <sz val="10"/>
        <rFont val="Times New Roman"/>
        <family val="1"/>
      </rPr>
      <t xml:space="preserve">Header Track, 4900 ICU </t>
    </r>
  </si>
  <si>
    <r>
      <rPr>
        <sz val="10"/>
        <rFont val="Times New Roman"/>
        <family val="1"/>
      </rPr>
      <t xml:space="preserve">5-49-4002-DB </t>
    </r>
  </si>
  <si>
    <r>
      <rPr>
        <sz val="10"/>
        <rFont val="Times New Roman"/>
        <family val="1"/>
      </rPr>
      <t xml:space="preserve">5-51-4001-CL </t>
    </r>
  </si>
  <si>
    <r>
      <rPr>
        <sz val="10"/>
        <rFont val="Times New Roman"/>
        <family val="1"/>
      </rPr>
      <t xml:space="preserve">Header, Series 5100 24' </t>
    </r>
  </si>
  <si>
    <r>
      <rPr>
        <sz val="10"/>
        <rFont val="Times New Roman"/>
        <family val="1"/>
      </rPr>
      <t xml:space="preserve">$160.00 </t>
    </r>
  </si>
  <si>
    <r>
      <rPr>
        <sz val="10"/>
        <rFont val="Times New Roman"/>
        <family val="1"/>
      </rPr>
      <t xml:space="preserve">5-51-4001-CL-22 </t>
    </r>
  </si>
  <si>
    <r>
      <rPr>
        <sz val="10"/>
        <rFont val="Times New Roman"/>
        <family val="1"/>
      </rPr>
      <t xml:space="preserve">Header, Series 5100 22' </t>
    </r>
  </si>
  <si>
    <r>
      <rPr>
        <sz val="10"/>
        <rFont val="Times New Roman"/>
        <family val="1"/>
      </rPr>
      <t xml:space="preserve">5-51-4001-DB </t>
    </r>
  </si>
  <si>
    <r>
      <rPr>
        <sz val="10"/>
        <rFont val="Times New Roman"/>
        <family val="1"/>
      </rPr>
      <t xml:space="preserve">5-51-4001-DB-22 </t>
    </r>
  </si>
  <si>
    <r>
      <rPr>
        <sz val="10"/>
        <rFont val="Times New Roman"/>
        <family val="1"/>
      </rPr>
      <t xml:space="preserve">5-51-4001-MF </t>
    </r>
  </si>
  <si>
    <r>
      <rPr>
        <sz val="10"/>
        <rFont val="Times New Roman"/>
        <family val="1"/>
      </rPr>
      <t xml:space="preserve">Header - MF S/L 168" </t>
    </r>
  </si>
  <si>
    <r>
      <rPr>
        <sz val="10"/>
        <rFont val="Times New Roman"/>
        <family val="1"/>
      </rPr>
      <t xml:space="preserve">5-51-4001-MF-24 </t>
    </r>
  </si>
  <si>
    <r>
      <rPr>
        <sz val="10"/>
        <rFont val="Times New Roman"/>
        <family val="1"/>
      </rPr>
      <t xml:space="preserve">Header S/L 288" </t>
    </r>
  </si>
  <si>
    <r>
      <rPr>
        <sz val="10"/>
        <rFont val="Times New Roman"/>
        <family val="1"/>
      </rPr>
      <t xml:space="preserve">5-51-4002-CL </t>
    </r>
  </si>
  <si>
    <r>
      <rPr>
        <sz val="10"/>
        <rFont val="Times New Roman"/>
        <family val="1"/>
      </rPr>
      <t xml:space="preserve">Cover, Series 5100 24' </t>
    </r>
  </si>
  <si>
    <r>
      <rPr>
        <sz val="10"/>
        <rFont val="Times New Roman"/>
        <family val="1"/>
      </rPr>
      <t xml:space="preserve">5-51-4002-DB </t>
    </r>
  </si>
  <si>
    <r>
      <rPr>
        <sz val="10"/>
        <rFont val="Times New Roman"/>
        <family val="1"/>
      </rPr>
      <t xml:space="preserve">5-51-4002-DB-22 </t>
    </r>
  </si>
  <si>
    <r>
      <rPr>
        <sz val="10"/>
        <rFont val="Times New Roman"/>
        <family val="1"/>
      </rPr>
      <t xml:space="preserve">Cover, Series 5100 22' </t>
    </r>
  </si>
  <si>
    <r>
      <rPr>
        <sz val="10"/>
        <rFont val="Times New Roman"/>
        <family val="1"/>
      </rPr>
      <t xml:space="preserve">5-51-4002-MF </t>
    </r>
  </si>
  <si>
    <r>
      <rPr>
        <sz val="10"/>
        <rFont val="Times New Roman"/>
        <family val="1"/>
      </rPr>
      <t xml:space="preserve">Cover, Series 5100 S/L 168" </t>
    </r>
  </si>
  <si>
    <r>
      <rPr>
        <sz val="10"/>
        <rFont val="Times New Roman"/>
        <family val="1"/>
      </rPr>
      <t xml:space="preserve">$55.00 </t>
    </r>
  </si>
  <si>
    <r>
      <rPr>
        <sz val="10"/>
        <rFont val="Times New Roman"/>
        <family val="1"/>
      </rPr>
      <t xml:space="preserve">5-51-4003-CL </t>
    </r>
  </si>
  <si>
    <r>
      <rPr>
        <sz val="10"/>
        <rFont val="Times New Roman"/>
        <family val="1"/>
      </rPr>
      <t xml:space="preserve">Filler, Header Soffit </t>
    </r>
  </si>
  <si>
    <r>
      <rPr>
        <sz val="10"/>
        <rFont val="Times New Roman"/>
        <family val="1"/>
      </rPr>
      <t xml:space="preserve">5-51-4003-DB </t>
    </r>
  </si>
  <si>
    <r>
      <rPr>
        <sz val="10"/>
        <rFont val="Times New Roman"/>
        <family val="1"/>
      </rPr>
      <t xml:space="preserve">5-51-4003-MF </t>
    </r>
  </si>
  <si>
    <r>
      <rPr>
        <sz val="10"/>
        <rFont val="Times New Roman"/>
        <family val="1"/>
      </rPr>
      <t xml:space="preserve">Filler, Header Soffit S/L 24' </t>
    </r>
  </si>
  <si>
    <r>
      <rPr>
        <sz val="10"/>
        <rFont val="Times New Roman"/>
        <family val="1"/>
      </rPr>
      <t xml:space="preserve">5-51-4004-CL </t>
    </r>
  </si>
  <si>
    <r>
      <rPr>
        <sz val="10"/>
        <rFont val="Times New Roman"/>
        <family val="1"/>
      </rPr>
      <t xml:space="preserve">Roller Track, Series 5100 </t>
    </r>
  </si>
  <si>
    <r>
      <rPr>
        <sz val="10"/>
        <rFont val="Times New Roman"/>
        <family val="1"/>
      </rPr>
      <t xml:space="preserve">5-51-4006-CL </t>
    </r>
  </si>
  <si>
    <r>
      <rPr>
        <sz val="10"/>
        <rFont val="Times New Roman"/>
        <family val="1"/>
      </rPr>
      <t xml:space="preserve">Door Catch, 5100 </t>
    </r>
  </si>
  <si>
    <r>
      <rPr>
        <sz val="10"/>
        <rFont val="Times New Roman"/>
        <family val="1"/>
      </rPr>
      <t xml:space="preserve">5-51-4006-DB </t>
    </r>
  </si>
  <si>
    <r>
      <rPr>
        <sz val="10"/>
        <rFont val="Times New Roman"/>
        <family val="1"/>
      </rPr>
      <t xml:space="preserve">5-51-4006-MF </t>
    </r>
  </si>
  <si>
    <r>
      <rPr>
        <sz val="10"/>
        <rFont val="Times New Roman"/>
        <family val="1"/>
      </rPr>
      <t xml:space="preserve">Door Catch, 5100 S/L 168" </t>
    </r>
  </si>
  <si>
    <r>
      <rPr>
        <sz val="10"/>
        <rFont val="Times New Roman"/>
        <family val="1"/>
      </rPr>
      <t xml:space="preserve">5-51-4007-CL </t>
    </r>
  </si>
  <si>
    <r>
      <rPr>
        <sz val="10"/>
        <rFont val="Times New Roman"/>
        <family val="1"/>
      </rPr>
      <t xml:space="preserve">Insert, Telescope Header </t>
    </r>
  </si>
  <si>
    <r>
      <rPr>
        <sz val="10"/>
        <rFont val="Times New Roman"/>
        <family val="1"/>
      </rPr>
      <t xml:space="preserve">5-51-4007-DB </t>
    </r>
  </si>
  <si>
    <r>
      <rPr>
        <sz val="8"/>
        <rFont val="Times New Roman"/>
        <family val="1"/>
      </rPr>
      <t xml:space="preserve">Page 12 of  21 </t>
    </r>
  </si>
  <si>
    <r>
      <rPr>
        <sz val="10"/>
        <rFont val="Times New Roman"/>
        <family val="1"/>
      </rPr>
      <t xml:space="preserve">5-51-4009-CL </t>
    </r>
  </si>
  <si>
    <r>
      <rPr>
        <sz val="10"/>
        <rFont val="Times New Roman"/>
        <family val="1"/>
      </rPr>
      <t xml:space="preserve">Rail - 3" </t>
    </r>
  </si>
  <si>
    <r>
      <rPr>
        <sz val="10"/>
        <rFont val="Times New Roman"/>
        <family val="1"/>
      </rPr>
      <t xml:space="preserve">5-51-4009-DB </t>
    </r>
  </si>
  <si>
    <r>
      <rPr>
        <sz val="10"/>
        <rFont val="Times New Roman"/>
        <family val="1"/>
      </rPr>
      <t xml:space="preserve">5-51-4009-MF </t>
    </r>
  </si>
  <si>
    <r>
      <rPr>
        <sz val="10"/>
        <rFont val="Times New Roman"/>
        <family val="1"/>
      </rPr>
      <t xml:space="preserve">Rail, 3" S/L 12' </t>
    </r>
  </si>
  <si>
    <r>
      <rPr>
        <sz val="10"/>
        <rFont val="Times New Roman"/>
        <family val="1"/>
      </rPr>
      <t xml:space="preserve">5-51-4010-CL </t>
    </r>
  </si>
  <si>
    <r>
      <rPr>
        <sz val="10"/>
        <rFont val="Times New Roman"/>
        <family val="1"/>
      </rPr>
      <t xml:space="preserve">Rail - 9" 24' </t>
    </r>
  </si>
  <si>
    <r>
      <rPr>
        <sz val="10"/>
        <rFont val="Times New Roman"/>
        <family val="1"/>
      </rPr>
      <t xml:space="preserve">5-51-4010-DB </t>
    </r>
  </si>
  <si>
    <r>
      <rPr>
        <sz val="10"/>
        <rFont val="Times New Roman"/>
        <family val="1"/>
      </rPr>
      <t xml:space="preserve">5-51-4010-MF </t>
    </r>
  </si>
  <si>
    <r>
      <rPr>
        <sz val="10"/>
        <rFont val="Times New Roman"/>
        <family val="1"/>
      </rPr>
      <t xml:space="preserve">Rail - 9" (12 ft) </t>
    </r>
  </si>
  <si>
    <r>
      <rPr>
        <sz val="10"/>
        <rFont val="Times New Roman"/>
        <family val="1"/>
      </rPr>
      <t xml:space="preserve">$69.00 </t>
    </r>
  </si>
  <si>
    <r>
      <rPr>
        <sz val="10"/>
        <rFont val="Times New Roman"/>
        <family val="1"/>
      </rPr>
      <t xml:space="preserve">5-51-4010-MF-24 </t>
    </r>
  </si>
  <si>
    <r>
      <rPr>
        <sz val="10"/>
        <rFont val="Times New Roman"/>
        <family val="1"/>
      </rPr>
      <t xml:space="preserve">Rail, 9" (24') </t>
    </r>
  </si>
  <si>
    <r>
      <rPr>
        <sz val="10"/>
        <rFont val="Times New Roman"/>
        <family val="1"/>
      </rPr>
      <t xml:space="preserve">$64.00 </t>
    </r>
  </si>
  <si>
    <r>
      <rPr>
        <sz val="10"/>
        <rFont val="Times New Roman"/>
        <family val="1"/>
      </rPr>
      <t xml:space="preserve">5-51-4011-CL </t>
    </r>
  </si>
  <si>
    <r>
      <rPr>
        <sz val="10"/>
        <rFont val="Times New Roman"/>
        <family val="1"/>
      </rPr>
      <t xml:space="preserve">Rail - 10" 24' </t>
    </r>
  </si>
  <si>
    <r>
      <rPr>
        <sz val="10"/>
        <rFont val="Times New Roman"/>
        <family val="1"/>
      </rPr>
      <t xml:space="preserve">5-51-4011-DB </t>
    </r>
  </si>
  <si>
    <r>
      <rPr>
        <sz val="10"/>
        <rFont val="Times New Roman"/>
        <family val="1"/>
      </rPr>
      <t xml:space="preserve">$143.00 </t>
    </r>
  </si>
  <si>
    <r>
      <rPr>
        <sz val="10"/>
        <rFont val="Times New Roman"/>
        <family val="1"/>
      </rPr>
      <t xml:space="preserve">5-51-4011-MF </t>
    </r>
  </si>
  <si>
    <r>
      <rPr>
        <sz val="10"/>
        <rFont val="Times New Roman"/>
        <family val="1"/>
      </rPr>
      <t xml:space="preserve">Rail, 10" S/L 12' </t>
    </r>
  </si>
  <si>
    <r>
      <rPr>
        <sz val="10"/>
        <rFont val="Times New Roman"/>
        <family val="1"/>
      </rPr>
      <t xml:space="preserve">5-51-4012-CL </t>
    </r>
  </si>
  <si>
    <r>
      <rPr>
        <sz val="10"/>
        <rFont val="Times New Roman"/>
        <family val="1"/>
      </rPr>
      <t xml:space="preserve">Housing, Recessed Panic Device </t>
    </r>
  </si>
  <si>
    <r>
      <rPr>
        <sz val="10"/>
        <rFont val="Times New Roman"/>
        <family val="1"/>
      </rPr>
      <t xml:space="preserve">5-51-4012-DB </t>
    </r>
  </si>
  <si>
    <r>
      <rPr>
        <sz val="10"/>
        <rFont val="Times New Roman"/>
        <family val="1"/>
      </rPr>
      <t xml:space="preserve">5-51-4012-MF </t>
    </r>
  </si>
  <si>
    <r>
      <rPr>
        <sz val="10"/>
        <rFont val="Times New Roman"/>
        <family val="1"/>
      </rPr>
      <t xml:space="preserve">Housing, Recessed Panic Device S/L 12' </t>
    </r>
  </si>
  <si>
    <r>
      <rPr>
        <sz val="10"/>
        <rFont val="Times New Roman"/>
        <family val="1"/>
      </rPr>
      <t xml:space="preserve">5-51-4013-MF </t>
    </r>
  </si>
  <si>
    <r>
      <rPr>
        <sz val="10"/>
        <rFont val="Times New Roman"/>
        <family val="1"/>
      </rPr>
      <t xml:space="preserve">Pin Guide Threshold, Tele. </t>
    </r>
  </si>
  <si>
    <r>
      <rPr>
        <sz val="10"/>
        <rFont val="Times New Roman"/>
        <family val="1"/>
      </rPr>
      <t xml:space="preserve">5-51-4015-MF </t>
    </r>
  </si>
  <si>
    <r>
      <rPr>
        <sz val="10"/>
        <rFont val="Times New Roman"/>
        <family val="1"/>
      </rPr>
      <t xml:space="preserve">Insert, Pin Guide </t>
    </r>
  </si>
  <si>
    <r>
      <rPr>
        <sz val="10"/>
        <rFont val="Times New Roman"/>
        <family val="1"/>
      </rPr>
      <t xml:space="preserve">5-51-4016-CL </t>
    </r>
  </si>
  <si>
    <r>
      <rPr>
        <sz val="10"/>
        <rFont val="Times New Roman"/>
        <family val="1"/>
      </rPr>
      <t xml:space="preserve">Sway Rail </t>
    </r>
  </si>
  <si>
    <r>
      <rPr>
        <sz val="10"/>
        <rFont val="Times New Roman"/>
        <family val="1"/>
      </rPr>
      <t xml:space="preserve">5-51-4016-DB </t>
    </r>
  </si>
  <si>
    <r>
      <rPr>
        <sz val="10"/>
        <rFont val="Times New Roman"/>
        <family val="1"/>
      </rPr>
      <t xml:space="preserve">5-51-4016-MF </t>
    </r>
  </si>
  <si>
    <r>
      <rPr>
        <sz val="10"/>
        <rFont val="Times New Roman"/>
        <family val="1"/>
      </rPr>
      <t xml:space="preserve">Sway Rail S/L 168" </t>
    </r>
  </si>
  <si>
    <r>
      <rPr>
        <sz val="10"/>
        <rFont val="Times New Roman"/>
        <family val="1"/>
      </rPr>
      <t xml:space="preserve">5-51-4017-CL </t>
    </r>
  </si>
  <si>
    <r>
      <rPr>
        <sz val="10"/>
        <rFont val="Times New Roman"/>
        <family val="1"/>
      </rPr>
      <t xml:space="preserve">Insert, Header (PP/SA Sliders) </t>
    </r>
  </si>
  <si>
    <r>
      <rPr>
        <sz val="10"/>
        <rFont val="Times New Roman"/>
        <family val="1"/>
      </rPr>
      <t xml:space="preserve">5-51-4017-DB </t>
    </r>
  </si>
  <si>
    <r>
      <rPr>
        <sz val="10"/>
        <rFont val="Times New Roman"/>
        <family val="1"/>
      </rPr>
      <t xml:space="preserve">5-51-4018-CL </t>
    </r>
  </si>
  <si>
    <r>
      <rPr>
        <sz val="10"/>
        <rFont val="Times New Roman"/>
        <family val="1"/>
      </rPr>
      <t xml:space="preserve">Cover - PP/SA Sliders </t>
    </r>
  </si>
  <si>
    <r>
      <rPr>
        <sz val="10"/>
        <rFont val="Times New Roman"/>
        <family val="1"/>
      </rPr>
      <t xml:space="preserve">5-51-4018-DB </t>
    </r>
  </si>
  <si>
    <r>
      <rPr>
        <sz val="10"/>
        <rFont val="Times New Roman"/>
        <family val="1"/>
      </rPr>
      <t xml:space="preserve">5-51-4021-MF </t>
    </r>
  </si>
  <si>
    <r>
      <rPr>
        <sz val="10"/>
        <rFont val="Times New Roman"/>
        <family val="1"/>
      </rPr>
      <t xml:space="preserve">Threshold, 1/2" x 7" Saddle 24' </t>
    </r>
  </si>
  <si>
    <r>
      <rPr>
        <sz val="10"/>
        <rFont val="Times New Roman"/>
        <family val="1"/>
      </rPr>
      <t xml:space="preserve">5-51-4022-CL </t>
    </r>
  </si>
  <si>
    <r>
      <rPr>
        <sz val="10"/>
        <rFont val="Times New Roman"/>
        <family val="1"/>
      </rPr>
      <t xml:space="preserve">Side Jamb, 1" Pocket </t>
    </r>
  </si>
  <si>
    <r>
      <rPr>
        <sz val="10"/>
        <rFont val="Times New Roman"/>
        <family val="1"/>
      </rPr>
      <t xml:space="preserve">5-51-4022-DB </t>
    </r>
  </si>
  <si>
    <r>
      <rPr>
        <sz val="10"/>
        <rFont val="Times New Roman"/>
        <family val="1"/>
      </rPr>
      <t xml:space="preserve">5-51-4022-MF </t>
    </r>
  </si>
  <si>
    <r>
      <rPr>
        <sz val="10"/>
        <rFont val="Times New Roman"/>
        <family val="1"/>
      </rPr>
      <t xml:space="preserve">Side Jamb, 1" Pocket 192", 16' </t>
    </r>
  </si>
  <si>
    <r>
      <rPr>
        <sz val="10"/>
        <rFont val="Times New Roman"/>
        <family val="1"/>
      </rPr>
      <t xml:space="preserve">5-51-4023-CL </t>
    </r>
  </si>
  <si>
    <r>
      <rPr>
        <sz val="10"/>
        <rFont val="Times New Roman"/>
        <family val="1"/>
      </rPr>
      <t xml:space="preserve">Mullion, 1" Pocket </t>
    </r>
  </si>
  <si>
    <r>
      <rPr>
        <sz val="10"/>
        <rFont val="Times New Roman"/>
        <family val="1"/>
      </rPr>
      <t xml:space="preserve">5-51-4023-DB </t>
    </r>
  </si>
  <si>
    <r>
      <rPr>
        <sz val="10"/>
        <rFont val="Times New Roman"/>
        <family val="1"/>
      </rPr>
      <t xml:space="preserve">5-51-4023-MF </t>
    </r>
  </si>
  <si>
    <r>
      <rPr>
        <sz val="10"/>
        <rFont val="Times New Roman"/>
        <family val="1"/>
      </rPr>
      <t xml:space="preserve">Mullion, 1" Pocket (14 ft) </t>
    </r>
  </si>
  <si>
    <r>
      <rPr>
        <sz val="10"/>
        <rFont val="Times New Roman"/>
        <family val="1"/>
      </rPr>
      <t xml:space="preserve">5-51-4023-MF-16 </t>
    </r>
  </si>
  <si>
    <r>
      <rPr>
        <sz val="10"/>
        <rFont val="Times New Roman"/>
        <family val="1"/>
      </rPr>
      <t xml:space="preserve">Mullion, 1" Pocket (16ft) </t>
    </r>
  </si>
  <si>
    <r>
      <rPr>
        <sz val="10"/>
        <rFont val="Times New Roman"/>
        <family val="1"/>
      </rPr>
      <t xml:space="preserve">5-51-4024-CL </t>
    </r>
  </si>
  <si>
    <r>
      <rPr>
        <sz val="10"/>
        <rFont val="Times New Roman"/>
        <family val="1"/>
      </rPr>
      <t xml:space="preserve">Filler, Side Jamb, 1" Pocket </t>
    </r>
  </si>
  <si>
    <r>
      <rPr>
        <sz val="10"/>
        <rFont val="Times New Roman"/>
        <family val="1"/>
      </rPr>
      <t xml:space="preserve">5-51-4024-DB </t>
    </r>
  </si>
  <si>
    <r>
      <rPr>
        <sz val="10"/>
        <rFont val="Times New Roman"/>
        <family val="1"/>
      </rPr>
      <t xml:space="preserve">5-51-4024-MF </t>
    </r>
  </si>
  <si>
    <r>
      <rPr>
        <sz val="10"/>
        <rFont val="Times New Roman"/>
        <family val="1"/>
      </rPr>
      <t xml:space="preserve">Filler, Side Jamb 1' Pocket S/L 24' </t>
    </r>
  </si>
  <si>
    <r>
      <rPr>
        <sz val="10"/>
        <rFont val="Times New Roman"/>
        <family val="1"/>
      </rPr>
      <t xml:space="preserve">5-51-4025-BL </t>
    </r>
  </si>
  <si>
    <r>
      <rPr>
        <sz val="10"/>
        <rFont val="Times New Roman"/>
        <family val="1"/>
      </rPr>
      <t xml:space="preserve">Push Bar / Cart Bar 24' </t>
    </r>
  </si>
  <si>
    <r>
      <rPr>
        <sz val="10"/>
        <rFont val="Times New Roman"/>
        <family val="1"/>
      </rPr>
      <t xml:space="preserve">5-51-4025-CL </t>
    </r>
  </si>
  <si>
    <r>
      <rPr>
        <sz val="10"/>
        <rFont val="Times New Roman"/>
        <family val="1"/>
      </rPr>
      <t xml:space="preserve">Push Bar / Cart Bar 1/4"x 2"x 12'6" </t>
    </r>
  </si>
  <si>
    <r>
      <rPr>
        <sz val="10"/>
        <rFont val="Times New Roman"/>
        <family val="1"/>
      </rPr>
      <t xml:space="preserve">5-51-4027-MF </t>
    </r>
  </si>
  <si>
    <r>
      <rPr>
        <sz val="10"/>
        <rFont val="Times New Roman"/>
        <family val="1"/>
      </rPr>
      <t xml:space="preserve">Threshold, 1/2"x 7" Saddle (Smooth Surface)    20 FT S/L </t>
    </r>
  </si>
  <si>
    <r>
      <rPr>
        <sz val="10"/>
        <rFont val="Times New Roman"/>
        <family val="1"/>
      </rPr>
      <t xml:space="preserve">5-51-4027-SR </t>
    </r>
  </si>
  <si>
    <r>
      <rPr>
        <sz val="10"/>
        <rFont val="Times New Roman"/>
        <family val="1"/>
      </rPr>
      <t xml:space="preserve">Threshold, 1/2" x 7" Saddle Slip Resistant Do Not Reorder </t>
    </r>
  </si>
  <si>
    <r>
      <rPr>
        <sz val="10"/>
        <rFont val="Times New Roman"/>
        <family val="1"/>
      </rPr>
      <t xml:space="preserve">$218.00 </t>
    </r>
  </si>
  <si>
    <r>
      <rPr>
        <sz val="10"/>
        <rFont val="Times New Roman"/>
        <family val="1"/>
      </rPr>
      <t xml:space="preserve">5-51-4029-CL </t>
    </r>
  </si>
  <si>
    <r>
      <rPr>
        <sz val="10"/>
        <rFont val="Times New Roman"/>
        <family val="1"/>
      </rPr>
      <t xml:space="preserve">Side Jamb, 1 3/4" X 6 3/4" </t>
    </r>
  </si>
  <si>
    <r>
      <rPr>
        <sz val="10"/>
        <rFont val="Times New Roman"/>
        <family val="1"/>
      </rPr>
      <t xml:space="preserve">5-51-4029-CL-20 </t>
    </r>
  </si>
  <si>
    <r>
      <rPr>
        <sz val="10"/>
        <rFont val="Times New Roman"/>
        <family val="1"/>
      </rPr>
      <t xml:space="preserve">Side Jamb, 1 3/4" x 6 3/4" 20'0" </t>
    </r>
  </si>
  <si>
    <r>
      <rPr>
        <sz val="10"/>
        <rFont val="Times New Roman"/>
        <family val="1"/>
      </rPr>
      <t xml:space="preserve">5-51-4029-DB </t>
    </r>
  </si>
  <si>
    <r>
      <rPr>
        <sz val="10"/>
        <rFont val="Times New Roman"/>
        <family val="1"/>
      </rPr>
      <t xml:space="preserve">5-51-4029-MF </t>
    </r>
  </si>
  <si>
    <r>
      <rPr>
        <sz val="10"/>
        <rFont val="Times New Roman"/>
        <family val="1"/>
      </rPr>
      <t xml:space="preserve">Side Jamb, 1 3/4" X 6 3/4" S/L 12' </t>
    </r>
  </si>
  <si>
    <r>
      <rPr>
        <sz val="10"/>
        <rFont val="Times New Roman"/>
        <family val="1"/>
      </rPr>
      <t xml:space="preserve">$76.00 </t>
    </r>
  </si>
  <si>
    <r>
      <rPr>
        <sz val="10"/>
        <rFont val="Times New Roman"/>
        <family val="1"/>
      </rPr>
      <t xml:space="preserve">5-52-4001-CL </t>
    </r>
  </si>
  <si>
    <r>
      <rPr>
        <sz val="10"/>
        <rFont val="Times New Roman"/>
        <family val="1"/>
      </rPr>
      <t xml:space="preserve">Rail, 3" </t>
    </r>
  </si>
  <si>
    <r>
      <rPr>
        <sz val="10"/>
        <rFont val="Times New Roman"/>
        <family val="1"/>
      </rPr>
      <t xml:space="preserve">5-52-4001-DB </t>
    </r>
  </si>
  <si>
    <r>
      <rPr>
        <sz val="10"/>
        <rFont val="Times New Roman"/>
        <family val="1"/>
      </rPr>
      <t xml:space="preserve">5-52-4001-MF </t>
    </r>
  </si>
  <si>
    <r>
      <rPr>
        <sz val="10"/>
        <rFont val="Times New Roman"/>
        <family val="1"/>
      </rPr>
      <t xml:space="preserve">Rail, 3" S/L 144" </t>
    </r>
  </si>
  <si>
    <r>
      <rPr>
        <sz val="10"/>
        <rFont val="Times New Roman"/>
        <family val="1"/>
      </rPr>
      <t xml:space="preserve">5-52-4002-CL </t>
    </r>
  </si>
  <si>
    <r>
      <rPr>
        <sz val="10"/>
        <rFont val="Times New Roman"/>
        <family val="1"/>
      </rPr>
      <t xml:space="preserve">5-52-4002-DB </t>
    </r>
  </si>
  <si>
    <r>
      <rPr>
        <sz val="10"/>
        <rFont val="Times New Roman"/>
        <family val="1"/>
      </rPr>
      <t xml:space="preserve">5-52-4002-MF </t>
    </r>
  </si>
  <si>
    <r>
      <rPr>
        <sz val="10"/>
        <rFont val="Times New Roman"/>
        <family val="1"/>
      </rPr>
      <t xml:space="preserve">Rail, 4" S/L 144" </t>
    </r>
  </si>
  <si>
    <r>
      <rPr>
        <sz val="8"/>
        <rFont val="Times New Roman"/>
        <family val="1"/>
      </rPr>
      <t xml:space="preserve">Page 13 of  21 </t>
    </r>
  </si>
  <si>
    <r>
      <rPr>
        <sz val="10"/>
        <rFont val="Times New Roman"/>
        <family val="1"/>
      </rPr>
      <t xml:space="preserve">5-52-4003-DB </t>
    </r>
  </si>
  <si>
    <r>
      <rPr>
        <sz val="10"/>
        <rFont val="Times New Roman"/>
        <family val="1"/>
      </rPr>
      <t xml:space="preserve">$101.00 </t>
    </r>
  </si>
  <si>
    <r>
      <rPr>
        <sz val="10"/>
        <rFont val="Times New Roman"/>
        <family val="1"/>
      </rPr>
      <t xml:space="preserve">5-52-4004-CL </t>
    </r>
  </si>
  <si>
    <r>
      <rPr>
        <sz val="10"/>
        <rFont val="Times New Roman"/>
        <family val="1"/>
      </rPr>
      <t xml:space="preserve">$112.00 </t>
    </r>
  </si>
  <si>
    <r>
      <rPr>
        <sz val="10"/>
        <rFont val="Times New Roman"/>
        <family val="1"/>
      </rPr>
      <t xml:space="preserve">5-52-4004-DB </t>
    </r>
  </si>
  <si>
    <r>
      <rPr>
        <sz val="10"/>
        <rFont val="Times New Roman"/>
        <family val="1"/>
      </rPr>
      <t xml:space="preserve">$115.00 </t>
    </r>
  </si>
  <si>
    <r>
      <rPr>
        <sz val="10"/>
        <rFont val="Times New Roman"/>
        <family val="1"/>
      </rPr>
      <t xml:space="preserve">5-52-4007-CL </t>
    </r>
  </si>
  <si>
    <r>
      <rPr>
        <sz val="10"/>
        <rFont val="Times New Roman"/>
        <family val="1"/>
      </rPr>
      <t xml:space="preserve">Strip, Glass Clamp </t>
    </r>
  </si>
  <si>
    <r>
      <rPr>
        <sz val="10"/>
        <rFont val="Times New Roman"/>
        <family val="1"/>
      </rPr>
      <t xml:space="preserve">5-59-4001-CL </t>
    </r>
  </si>
  <si>
    <r>
      <rPr>
        <sz val="10"/>
        <rFont val="Times New Roman"/>
        <family val="1"/>
      </rPr>
      <t xml:space="preserve">Header, 5900 ICU </t>
    </r>
  </si>
  <si>
    <r>
      <rPr>
        <sz val="10"/>
        <rFont val="Times New Roman"/>
        <family val="1"/>
      </rPr>
      <t xml:space="preserve">$124.00 </t>
    </r>
  </si>
  <si>
    <r>
      <rPr>
        <sz val="10"/>
        <rFont val="Times New Roman"/>
        <family val="1"/>
      </rPr>
      <t xml:space="preserve">5-59-4001-CL-15 </t>
    </r>
  </si>
  <si>
    <r>
      <rPr>
        <sz val="10"/>
        <rFont val="Times New Roman"/>
        <family val="1"/>
      </rPr>
      <t xml:space="preserve">Header, 5900 ICU 15'0" </t>
    </r>
  </si>
  <si>
    <r>
      <rPr>
        <sz val="10"/>
        <rFont val="Times New Roman"/>
        <family val="1"/>
      </rPr>
      <t xml:space="preserve">5-59-4001-DB </t>
    </r>
  </si>
  <si>
    <r>
      <rPr>
        <sz val="10"/>
        <rFont val="Times New Roman"/>
        <family val="1"/>
      </rPr>
      <t xml:space="preserve">5-59-4001-MF </t>
    </r>
  </si>
  <si>
    <r>
      <rPr>
        <sz val="10"/>
        <rFont val="Times New Roman"/>
        <family val="1"/>
      </rPr>
      <t xml:space="preserve">Header, 5900 ICU S/L 12' </t>
    </r>
  </si>
  <si>
    <r>
      <rPr>
        <sz val="10"/>
        <rFont val="Times New Roman"/>
        <family val="1"/>
      </rPr>
      <t xml:space="preserve">$105.00 </t>
    </r>
  </si>
  <si>
    <r>
      <rPr>
        <sz val="10"/>
        <rFont val="Times New Roman"/>
        <family val="1"/>
      </rPr>
      <t xml:space="preserve">5-59-4002-CL </t>
    </r>
  </si>
  <si>
    <r>
      <rPr>
        <sz val="10"/>
        <rFont val="Times New Roman"/>
        <family val="1"/>
      </rPr>
      <t xml:space="preserve">Insert, Telescopic ICU Header </t>
    </r>
  </si>
  <si>
    <r>
      <rPr>
        <sz val="10"/>
        <rFont val="Times New Roman"/>
        <family val="1"/>
      </rPr>
      <t xml:space="preserve">5-59-4002-CL-15 </t>
    </r>
  </si>
  <si>
    <r>
      <rPr>
        <sz val="10"/>
        <rFont val="Times New Roman"/>
        <family val="1"/>
      </rPr>
      <t xml:space="preserve">Insert, Telescopic ICU Header 15'0" </t>
    </r>
  </si>
  <si>
    <r>
      <rPr>
        <sz val="10"/>
        <rFont val="Times New Roman"/>
        <family val="1"/>
      </rPr>
      <t xml:space="preserve">5-59-4002-DB </t>
    </r>
  </si>
  <si>
    <r>
      <rPr>
        <sz val="10"/>
        <rFont val="Times New Roman"/>
        <family val="1"/>
      </rPr>
      <t xml:space="preserve">5-59-4003-CL </t>
    </r>
  </si>
  <si>
    <r>
      <rPr>
        <sz val="10"/>
        <rFont val="Times New Roman"/>
        <family val="1"/>
      </rPr>
      <t xml:space="preserve">Cover, 5900 ICU </t>
    </r>
  </si>
  <si>
    <r>
      <rPr>
        <sz val="10"/>
        <rFont val="Times New Roman"/>
        <family val="1"/>
      </rPr>
      <t xml:space="preserve">5-59-4003-CL-15 </t>
    </r>
  </si>
  <si>
    <r>
      <rPr>
        <sz val="10"/>
        <rFont val="Times New Roman"/>
        <family val="1"/>
      </rPr>
      <t xml:space="preserve">Cover, 5900 ICU 15'0" </t>
    </r>
  </si>
  <si>
    <r>
      <rPr>
        <sz val="10"/>
        <rFont val="Times New Roman"/>
        <family val="1"/>
      </rPr>
      <t xml:space="preserve">5-59-4003-DB </t>
    </r>
  </si>
  <si>
    <r>
      <rPr>
        <sz val="10"/>
        <rFont val="Times New Roman"/>
        <family val="1"/>
      </rPr>
      <t xml:space="preserve">5-59-4003-MF </t>
    </r>
  </si>
  <si>
    <r>
      <rPr>
        <sz val="10"/>
        <rFont val="Times New Roman"/>
        <family val="1"/>
      </rPr>
      <t xml:space="preserve">Cover, 5900 ICU S/L 12' </t>
    </r>
  </si>
  <si>
    <r>
      <rPr>
        <sz val="10"/>
        <rFont val="Times New Roman"/>
        <family val="1"/>
      </rPr>
      <t xml:space="preserve">5-59-4004-CL </t>
    </r>
  </si>
  <si>
    <r>
      <rPr>
        <sz val="10"/>
        <rFont val="Times New Roman"/>
        <family val="1"/>
      </rPr>
      <t xml:space="preserve">Header, 5800 (4.25") </t>
    </r>
  </si>
  <si>
    <r>
      <rPr>
        <sz val="10"/>
        <rFont val="Times New Roman"/>
        <family val="1"/>
      </rPr>
      <t xml:space="preserve">$144.00 </t>
    </r>
  </si>
  <si>
    <r>
      <rPr>
        <sz val="10"/>
        <rFont val="Times New Roman"/>
        <family val="1"/>
      </rPr>
      <t xml:space="preserve">5-60-1418-CL </t>
    </r>
  </si>
  <si>
    <r>
      <rPr>
        <sz val="10"/>
        <rFont val="Times New Roman"/>
        <family val="1"/>
      </rPr>
      <t xml:space="preserve">Side Jamb, 1 3/4" X 4 1/2" </t>
    </r>
  </si>
  <si>
    <r>
      <rPr>
        <sz val="10"/>
        <rFont val="Times New Roman"/>
        <family val="1"/>
      </rPr>
      <t xml:space="preserve">5-60-1418-DB </t>
    </r>
  </si>
  <si>
    <r>
      <rPr>
        <sz val="10"/>
        <rFont val="Times New Roman"/>
        <family val="1"/>
      </rPr>
      <t xml:space="preserve">5-60-1418-DB-22 </t>
    </r>
  </si>
  <si>
    <r>
      <rPr>
        <sz val="10"/>
        <rFont val="Times New Roman"/>
        <family val="1"/>
      </rPr>
      <t xml:space="preserve">Side Jamb, 1 3/4" x 4 1/2" 22' </t>
    </r>
  </si>
  <si>
    <r>
      <rPr>
        <sz val="10"/>
        <rFont val="Times New Roman"/>
        <family val="1"/>
      </rPr>
      <t xml:space="preserve">5-60-1418-MF </t>
    </r>
  </si>
  <si>
    <r>
      <rPr>
        <sz val="10"/>
        <rFont val="Times New Roman"/>
        <family val="1"/>
      </rPr>
      <t xml:space="preserve">Side Jamb, 1 3/4" x 4 1/2 S/L 16' </t>
    </r>
  </si>
  <si>
    <r>
      <rPr>
        <sz val="10"/>
        <rFont val="Times New Roman"/>
        <family val="1"/>
      </rPr>
      <t xml:space="preserve">5-60-1418-MF-24 </t>
    </r>
  </si>
  <si>
    <r>
      <rPr>
        <sz val="10"/>
        <rFont val="Times New Roman"/>
        <family val="1"/>
      </rPr>
      <t xml:space="preserve">Side Jamb. 1 3/4" x 4 1/2" S/L 288" </t>
    </r>
  </si>
  <si>
    <r>
      <rPr>
        <sz val="10"/>
        <rFont val="Times New Roman"/>
        <family val="1"/>
      </rPr>
      <t xml:space="preserve">5-60-1421-CL </t>
    </r>
  </si>
  <si>
    <r>
      <rPr>
        <sz val="10"/>
        <rFont val="Times New Roman"/>
        <family val="1"/>
      </rPr>
      <t xml:space="preserve">Tube, Rectangular, 1 3/4" X 4 1/2" </t>
    </r>
  </si>
  <si>
    <r>
      <rPr>
        <sz val="10"/>
        <rFont val="Times New Roman"/>
        <family val="1"/>
      </rPr>
      <t xml:space="preserve">5-60-1421-DB OBSOLET </t>
    </r>
  </si>
  <si>
    <r>
      <rPr>
        <sz val="10"/>
        <rFont val="Times New Roman"/>
        <family val="1"/>
      </rPr>
      <t xml:space="preserve">5-60-1423-CL </t>
    </r>
  </si>
  <si>
    <r>
      <rPr>
        <sz val="10"/>
        <rFont val="Times New Roman"/>
        <family val="1"/>
      </rPr>
      <t xml:space="preserve">Side Jamb, 1" X 4 1/2" 24' </t>
    </r>
  </si>
  <si>
    <r>
      <rPr>
        <sz val="10"/>
        <rFont val="Times New Roman"/>
        <family val="1"/>
      </rPr>
      <t xml:space="preserve">5-60-1423-DB </t>
    </r>
  </si>
  <si>
    <r>
      <rPr>
        <sz val="10"/>
        <rFont val="Times New Roman"/>
        <family val="1"/>
      </rPr>
      <t xml:space="preserve">5-60-1491-CL - DNU </t>
    </r>
  </si>
  <si>
    <r>
      <rPr>
        <sz val="10"/>
        <rFont val="Times New Roman"/>
        <family val="1"/>
      </rPr>
      <t xml:space="preserve">Tube, 1 3/4 x 2 </t>
    </r>
  </si>
  <si>
    <r>
      <rPr>
        <sz val="10"/>
        <rFont val="Times New Roman"/>
        <family val="1"/>
      </rPr>
      <t xml:space="preserve">5-60-1491-DB DNU </t>
    </r>
  </si>
  <si>
    <r>
      <rPr>
        <sz val="10"/>
        <rFont val="Times New Roman"/>
        <family val="1"/>
      </rPr>
      <t xml:space="preserve">5-60-1532-CL </t>
    </r>
  </si>
  <si>
    <r>
      <rPr>
        <sz val="10"/>
        <rFont val="Times New Roman"/>
        <family val="1"/>
      </rPr>
      <t xml:space="preserve">Filler, Side Jamb </t>
    </r>
  </si>
  <si>
    <r>
      <rPr>
        <sz val="10"/>
        <rFont val="Times New Roman"/>
        <family val="1"/>
      </rPr>
      <t xml:space="preserve">5-60-1532-DB </t>
    </r>
  </si>
  <si>
    <r>
      <rPr>
        <sz val="10"/>
        <rFont val="Times New Roman"/>
        <family val="1"/>
      </rPr>
      <t xml:space="preserve">5-60-1532-MF </t>
    </r>
  </si>
  <si>
    <r>
      <rPr>
        <sz val="10"/>
        <rFont val="Times New Roman"/>
        <family val="1"/>
      </rPr>
      <t xml:space="preserve">Filler, Side Jamb S/L 16' </t>
    </r>
  </si>
  <si>
    <r>
      <rPr>
        <sz val="10"/>
        <rFont val="Times New Roman"/>
        <family val="1"/>
      </rPr>
      <t xml:space="preserve">5-60-1739-CL </t>
    </r>
  </si>
  <si>
    <r>
      <rPr>
        <sz val="10"/>
        <rFont val="Times New Roman"/>
        <family val="1"/>
      </rPr>
      <t xml:space="preserve">Mullion, Vertical 24' </t>
    </r>
  </si>
  <si>
    <r>
      <rPr>
        <sz val="10"/>
        <rFont val="Times New Roman"/>
        <family val="1"/>
      </rPr>
      <t xml:space="preserve">5-60-1739-DB </t>
    </r>
  </si>
  <si>
    <r>
      <rPr>
        <sz val="10"/>
        <rFont val="Times New Roman"/>
        <family val="1"/>
      </rPr>
      <t xml:space="preserve">5-60-1739-MF </t>
    </r>
  </si>
  <si>
    <r>
      <rPr>
        <sz val="10"/>
        <rFont val="Times New Roman"/>
        <family val="1"/>
      </rPr>
      <t xml:space="preserve">Mullion, Vertical S/L 16' </t>
    </r>
  </si>
  <si>
    <r>
      <rPr>
        <sz val="10"/>
        <rFont val="Times New Roman"/>
        <family val="1"/>
      </rPr>
      <t xml:space="preserve">5-60-1832-CL </t>
    </r>
  </si>
  <si>
    <r>
      <rPr>
        <sz val="10"/>
        <rFont val="Times New Roman"/>
        <family val="1"/>
      </rPr>
      <t xml:space="preserve">Sidelite Stop </t>
    </r>
  </si>
  <si>
    <r>
      <rPr>
        <sz val="10"/>
        <rFont val="Times New Roman"/>
        <family val="1"/>
      </rPr>
      <t xml:space="preserve">5-60-1832-DB </t>
    </r>
  </si>
  <si>
    <r>
      <rPr>
        <sz val="10"/>
        <rFont val="Times New Roman"/>
        <family val="1"/>
      </rPr>
      <t xml:space="preserve">SIDELITE STOP </t>
    </r>
  </si>
  <si>
    <r>
      <rPr>
        <sz val="10"/>
        <rFont val="Times New Roman"/>
        <family val="1"/>
      </rPr>
      <t xml:space="preserve">5-60-4269 </t>
    </r>
  </si>
  <si>
    <r>
      <rPr>
        <sz val="10"/>
        <rFont val="Times New Roman"/>
        <family val="1"/>
      </rPr>
      <t xml:space="preserve">Aluminum, Channel 1"x 1"x 1/8"x 20' </t>
    </r>
  </si>
  <si>
    <r>
      <rPr>
        <sz val="10"/>
        <rFont val="Times New Roman"/>
        <family val="1"/>
      </rPr>
      <t xml:space="preserve">5-80-4001-MF </t>
    </r>
  </si>
  <si>
    <r>
      <rPr>
        <sz val="10"/>
        <rFont val="Times New Roman"/>
        <family val="1"/>
      </rPr>
      <t xml:space="preserve">Plate, Operator Mounting 24' </t>
    </r>
  </si>
  <si>
    <r>
      <rPr>
        <sz val="10"/>
        <rFont val="Times New Roman"/>
        <family val="1"/>
      </rPr>
      <t xml:space="preserve">5-80-4004-BL </t>
    </r>
  </si>
  <si>
    <r>
      <rPr>
        <sz val="10"/>
        <rFont val="Times New Roman"/>
        <family val="1"/>
      </rPr>
      <t xml:space="preserve">Cover, DFA Operator, Black Ano ; S/L 24' </t>
    </r>
  </si>
  <si>
    <r>
      <rPr>
        <sz val="10"/>
        <rFont val="Times New Roman"/>
        <family val="1"/>
      </rPr>
      <t xml:space="preserve">5-80-4004-CL </t>
    </r>
  </si>
  <si>
    <r>
      <rPr>
        <sz val="10"/>
        <rFont val="Times New Roman"/>
        <family val="1"/>
      </rPr>
      <t xml:space="preserve">Cover, DFA Operator 24' </t>
    </r>
  </si>
  <si>
    <r>
      <rPr>
        <sz val="10"/>
        <rFont val="Times New Roman"/>
        <family val="1"/>
      </rPr>
      <t xml:space="preserve">5-80-4004-DB </t>
    </r>
  </si>
  <si>
    <r>
      <rPr>
        <sz val="10"/>
        <rFont val="Times New Roman"/>
        <family val="1"/>
      </rPr>
      <t xml:space="preserve">5-80-4004-MF </t>
    </r>
  </si>
  <si>
    <r>
      <rPr>
        <sz val="10"/>
        <rFont val="Times New Roman"/>
        <family val="1"/>
      </rPr>
      <t xml:space="preserve">Cover, DFA Operator S/L 161" </t>
    </r>
  </si>
  <si>
    <r>
      <rPr>
        <sz val="10"/>
        <rFont val="Times New Roman"/>
        <family val="1"/>
      </rPr>
      <t xml:space="preserve">5-85-4003-CL </t>
    </r>
  </si>
  <si>
    <r>
      <rPr>
        <sz val="10"/>
        <rFont val="Times New Roman"/>
        <family val="1"/>
      </rPr>
      <t xml:space="preserve">Header, OHC S/L 24' </t>
    </r>
  </si>
  <si>
    <r>
      <rPr>
        <sz val="10"/>
        <rFont val="Times New Roman"/>
        <family val="1"/>
      </rPr>
      <t xml:space="preserve">5-85-4003-DB </t>
    </r>
  </si>
  <si>
    <r>
      <rPr>
        <sz val="10"/>
        <rFont val="Times New Roman"/>
        <family val="1"/>
      </rPr>
      <t xml:space="preserve">5-85-4003-MF </t>
    </r>
  </si>
  <si>
    <r>
      <rPr>
        <sz val="10"/>
        <rFont val="Times New Roman"/>
        <family val="1"/>
      </rPr>
      <t xml:space="preserve">Header, OHC S/L 12' </t>
    </r>
  </si>
  <si>
    <r>
      <rPr>
        <sz val="10"/>
        <rFont val="Times New Roman"/>
        <family val="1"/>
      </rPr>
      <t xml:space="preserve">5-85-4004-CL </t>
    </r>
  </si>
  <si>
    <r>
      <rPr>
        <sz val="10"/>
        <rFont val="Times New Roman"/>
        <family val="1"/>
      </rPr>
      <t xml:space="preserve">Cover, OHC S/L 24' </t>
    </r>
  </si>
  <si>
    <r>
      <rPr>
        <sz val="10"/>
        <rFont val="Times New Roman"/>
        <family val="1"/>
      </rPr>
      <t xml:space="preserve">5-85-4004-DB </t>
    </r>
  </si>
  <si>
    <r>
      <rPr>
        <sz val="10"/>
        <rFont val="Times New Roman"/>
        <family val="1"/>
      </rPr>
      <t xml:space="preserve">5-85-4004-MF </t>
    </r>
  </si>
  <si>
    <r>
      <rPr>
        <sz val="10"/>
        <rFont val="Times New Roman"/>
        <family val="1"/>
      </rPr>
      <t xml:space="preserve">Cover, OHC S/L 12' </t>
    </r>
  </si>
  <si>
    <r>
      <rPr>
        <sz val="8"/>
        <rFont val="Times New Roman"/>
        <family val="1"/>
      </rPr>
      <t xml:space="preserve">Page 14 of  21 </t>
    </r>
  </si>
  <si>
    <r>
      <rPr>
        <sz val="10"/>
        <rFont val="Times New Roman"/>
        <family val="1"/>
      </rPr>
      <t xml:space="preserve">5-85-4005-DB </t>
    </r>
  </si>
  <si>
    <r>
      <rPr>
        <sz val="10"/>
        <rFont val="Times New Roman"/>
        <family val="1"/>
      </rPr>
      <t xml:space="preserve">Channel, Arm Cover S/L 24' </t>
    </r>
  </si>
  <si>
    <r>
      <rPr>
        <sz val="10"/>
        <rFont val="Times New Roman"/>
        <family val="1"/>
      </rPr>
      <t xml:space="preserve">6-11-9002 </t>
    </r>
  </si>
  <si>
    <r>
      <rPr>
        <sz val="10"/>
        <rFont val="Times New Roman"/>
        <family val="1"/>
      </rPr>
      <t xml:space="preserve">Insert, Glass Stop 12' Stick Length </t>
    </r>
  </si>
  <si>
    <r>
      <rPr>
        <sz val="10"/>
        <rFont val="Times New Roman"/>
        <family val="1"/>
      </rPr>
      <t xml:space="preserve">6-11-9005 </t>
    </r>
  </si>
  <si>
    <r>
      <rPr>
        <sz val="10"/>
        <rFont val="Times New Roman"/>
        <family val="1"/>
      </rPr>
      <t xml:space="preserve">Vinyl, Sidelite Seal </t>
    </r>
  </si>
  <si>
    <r>
      <rPr>
        <sz val="10"/>
        <rFont val="Times New Roman"/>
        <family val="1"/>
      </rPr>
      <t xml:space="preserve">6-11-9007 </t>
    </r>
  </si>
  <si>
    <r>
      <rPr>
        <sz val="10"/>
        <rFont val="Times New Roman"/>
        <family val="1"/>
      </rPr>
      <t xml:space="preserve">Block, Glass Setting </t>
    </r>
  </si>
  <si>
    <r>
      <rPr>
        <sz val="10"/>
        <rFont val="Times New Roman"/>
        <family val="1"/>
      </rPr>
      <t xml:space="preserve">6-11-9009 </t>
    </r>
  </si>
  <si>
    <r>
      <rPr>
        <sz val="10"/>
        <rFont val="Times New Roman"/>
        <family val="1"/>
      </rPr>
      <t xml:space="preserve">Vinyl, Smokeless ICU </t>
    </r>
  </si>
  <si>
    <r>
      <rPr>
        <sz val="10"/>
        <rFont val="Times New Roman"/>
        <family val="1"/>
      </rPr>
      <t xml:space="preserve">6-11-9011 </t>
    </r>
  </si>
  <si>
    <r>
      <rPr>
        <sz val="10"/>
        <rFont val="Times New Roman"/>
        <family val="1"/>
      </rPr>
      <t xml:space="preserve">Glazing Bulb, Coextrusion </t>
    </r>
  </si>
  <si>
    <r>
      <rPr>
        <sz val="10"/>
        <rFont val="Times New Roman"/>
        <family val="1"/>
      </rPr>
      <t xml:space="preserve">$577.00 </t>
    </r>
  </si>
  <si>
    <r>
      <rPr>
        <sz val="10"/>
        <rFont val="Times New Roman"/>
        <family val="1"/>
      </rPr>
      <t xml:space="preserve">6-51-9004 </t>
    </r>
  </si>
  <si>
    <r>
      <rPr>
        <sz val="10"/>
        <rFont val="Times New Roman"/>
        <family val="1"/>
      </rPr>
      <t xml:space="preserve">Channel, Weather Pile (7'-3") </t>
    </r>
  </si>
  <si>
    <r>
      <rPr>
        <sz val="10"/>
        <rFont val="Times New Roman"/>
        <family val="1"/>
      </rPr>
      <t xml:space="preserve">6-51-9006 </t>
    </r>
  </si>
  <si>
    <r>
      <rPr>
        <sz val="10"/>
        <rFont val="Times New Roman"/>
        <family val="1"/>
      </rPr>
      <t xml:space="preserve">Block, Glass Jacking </t>
    </r>
  </si>
  <si>
    <r>
      <rPr>
        <sz val="10"/>
        <rFont val="Times New Roman"/>
        <family val="1"/>
      </rPr>
      <t xml:space="preserve">6-51-9007 </t>
    </r>
  </si>
  <si>
    <r>
      <rPr>
        <sz val="10"/>
        <rFont val="Times New Roman"/>
        <family val="1"/>
      </rPr>
      <t xml:space="preserve">Enclosure, Molded - Display Control Panel </t>
    </r>
  </si>
  <si>
    <r>
      <rPr>
        <sz val="10"/>
        <rFont val="Times New Roman"/>
        <family val="1"/>
      </rPr>
      <t xml:space="preserve">6-52-9001 </t>
    </r>
  </si>
  <si>
    <r>
      <rPr>
        <sz val="10"/>
        <rFont val="Times New Roman"/>
        <family val="1"/>
      </rPr>
      <t xml:space="preserve">Seal, Door Edge (5200 All Glass Slider) - 16' PC </t>
    </r>
  </si>
  <si>
    <r>
      <rPr>
        <sz val="10"/>
        <rFont val="Times New Roman"/>
        <family val="1"/>
      </rPr>
      <t xml:space="preserve">6-59-9001 </t>
    </r>
  </si>
  <si>
    <r>
      <rPr>
        <sz val="10"/>
        <rFont val="Times New Roman"/>
        <family val="1"/>
      </rPr>
      <t xml:space="preserve">Vinyl, Smoke/Air Seal 16' stock length </t>
    </r>
  </si>
  <si>
    <r>
      <rPr>
        <sz val="10"/>
        <rFont val="Times New Roman"/>
        <family val="1"/>
      </rPr>
      <t xml:space="preserve">6-60-1734 </t>
    </r>
  </si>
  <si>
    <r>
      <rPr>
        <sz val="10"/>
        <rFont val="Times New Roman"/>
        <family val="1"/>
      </rPr>
      <t xml:space="preserve">Vinyl, Transom </t>
    </r>
  </si>
  <si>
    <r>
      <rPr>
        <sz val="10"/>
        <rFont val="Times New Roman"/>
        <family val="1"/>
      </rPr>
      <t xml:space="preserve">6-80-9001 </t>
    </r>
  </si>
  <si>
    <r>
      <rPr>
        <sz val="10"/>
        <rFont val="Times New Roman"/>
        <family val="1"/>
      </rPr>
      <t xml:space="preserve">End Cap, Cover </t>
    </r>
  </si>
  <si>
    <r>
      <rPr>
        <sz val="10"/>
        <rFont val="Times New Roman"/>
        <family val="1"/>
      </rPr>
      <t xml:space="preserve">6-80-9002 </t>
    </r>
  </si>
  <si>
    <r>
      <rPr>
        <sz val="10"/>
        <rFont val="Times New Roman"/>
        <family val="1"/>
      </rPr>
      <t xml:space="preserve">Insert, Shaft Cutout </t>
    </r>
  </si>
  <si>
    <r>
      <rPr>
        <sz val="10"/>
        <rFont val="Times New Roman"/>
        <family val="1"/>
      </rPr>
      <t xml:space="preserve">6-80-9003 </t>
    </r>
  </si>
  <si>
    <r>
      <rPr>
        <sz val="10"/>
        <rFont val="Times New Roman"/>
        <family val="1"/>
      </rPr>
      <t xml:space="preserve">Insert, Cover (Plain) </t>
    </r>
  </si>
  <si>
    <r>
      <rPr>
        <sz val="10"/>
        <rFont val="Times New Roman"/>
        <family val="1"/>
      </rPr>
      <t xml:space="preserve">6-80-9004 </t>
    </r>
  </si>
  <si>
    <r>
      <rPr>
        <sz val="10"/>
        <rFont val="Times New Roman"/>
        <family val="1"/>
      </rPr>
      <t xml:space="preserve">Insert, Cover (Switch) </t>
    </r>
  </si>
  <si>
    <r>
      <rPr>
        <sz val="10"/>
        <rFont val="Times New Roman"/>
        <family val="1"/>
      </rPr>
      <t xml:space="preserve">81-0011-0562 </t>
    </r>
  </si>
  <si>
    <r>
      <rPr>
        <sz val="10"/>
        <rFont val="Times New Roman"/>
        <family val="1"/>
      </rPr>
      <t xml:space="preserve">Screw, 10-32 X 1/2", Phillips, Flat, MS, Zinc </t>
    </r>
  </si>
  <si>
    <r>
      <rPr>
        <sz val="10"/>
        <rFont val="Times New Roman"/>
        <family val="1"/>
      </rPr>
      <t xml:space="preserve">81-0011-2670 </t>
    </r>
  </si>
  <si>
    <r>
      <rPr>
        <sz val="10"/>
        <rFont val="Times New Roman"/>
        <family val="1"/>
      </rPr>
      <t xml:space="preserve">Screw, 1/4-20 x 1", Flat, Socket CS, Plain Box of 75 </t>
    </r>
  </si>
  <si>
    <r>
      <rPr>
        <sz val="10"/>
        <rFont val="Times New Roman"/>
        <family val="1"/>
      </rPr>
      <t xml:space="preserve">BOX </t>
    </r>
  </si>
  <si>
    <r>
      <rPr>
        <sz val="10"/>
        <rFont val="Times New Roman"/>
        <family val="1"/>
      </rPr>
      <t xml:space="preserve">81-0014-2664 </t>
    </r>
  </si>
  <si>
    <r>
      <rPr>
        <sz val="10"/>
        <rFont val="Times New Roman"/>
        <family val="1"/>
      </rPr>
      <t xml:space="preserve">Screw, 1/4-20 X 5/8", Allen Flange, Button, Oxide </t>
    </r>
  </si>
  <si>
    <r>
      <rPr>
        <sz val="10"/>
        <rFont val="Times New Roman"/>
        <family val="1"/>
      </rPr>
      <t xml:space="preserve">81-0016-2554 </t>
    </r>
  </si>
  <si>
    <r>
      <rPr>
        <sz val="10"/>
        <rFont val="Times New Roman"/>
        <family val="1"/>
      </rPr>
      <t xml:space="preserve">Screw, 10-32 x 1/4", Hex Socket CS, Grade 5, Box of 150 </t>
    </r>
  </si>
  <si>
    <r>
      <rPr>
        <sz val="10"/>
        <rFont val="Times New Roman"/>
        <family val="1"/>
      </rPr>
      <t xml:space="preserve">81-0016-2562 </t>
    </r>
  </si>
  <si>
    <r>
      <rPr>
        <sz val="10"/>
        <rFont val="Times New Roman"/>
        <family val="1"/>
      </rPr>
      <t xml:space="preserve">Screw, 10-32 X 1/2", Hex Socket CS, Grade 5 Box of 200 </t>
    </r>
  </si>
  <si>
    <r>
      <rPr>
        <sz val="10"/>
        <rFont val="Times New Roman"/>
        <family val="1"/>
      </rPr>
      <t xml:space="preserve">81-0017-2658 </t>
    </r>
  </si>
  <si>
    <r>
      <rPr>
        <sz val="10"/>
        <rFont val="Times New Roman"/>
        <family val="1"/>
      </rPr>
      <t xml:space="preserve">Screw, 1/4-20 x 3/8", Socket, Flanged BH,CS,Blk.Oxide Box100 </t>
    </r>
  </si>
  <si>
    <r>
      <rPr>
        <sz val="10"/>
        <rFont val="Times New Roman"/>
        <family val="1"/>
      </rPr>
      <t xml:space="preserve">81-0017-3664 </t>
    </r>
  </si>
  <si>
    <r>
      <rPr>
        <sz val="10"/>
        <rFont val="Times New Roman"/>
        <family val="1"/>
      </rPr>
      <t xml:space="preserve">Screw,1/4-20 X 5/8", Hex, Washer Head,MS,Grade8,Plain Box of 50 </t>
    </r>
  </si>
  <si>
    <r>
      <rPr>
        <sz val="10"/>
        <rFont val="Times New Roman"/>
        <family val="1"/>
      </rPr>
      <t xml:space="preserve">81-0017-3666 </t>
    </r>
  </si>
  <si>
    <r>
      <rPr>
        <sz val="10"/>
        <rFont val="Times New Roman"/>
        <family val="1"/>
      </rPr>
      <t xml:space="preserve">Screw, 1/4-20 X 3/4", Hex, Washer Head,MS,Grade8,Plain Box of 75 </t>
    </r>
  </si>
  <si>
    <r>
      <rPr>
        <sz val="10"/>
        <rFont val="Times New Roman"/>
        <family val="1"/>
      </rPr>
      <t xml:space="preserve">81-0018-3726 </t>
    </r>
  </si>
  <si>
    <r>
      <rPr>
        <sz val="10"/>
        <rFont val="Times New Roman"/>
        <family val="1"/>
      </rPr>
      <t xml:space="preserve">Screw, 5/16-18 X 1 1/2", Hex, CS, Grade 8, Zin, Box of 50 </t>
    </r>
  </si>
  <si>
    <r>
      <rPr>
        <sz val="10"/>
        <rFont val="Times New Roman"/>
        <family val="1"/>
      </rPr>
      <t xml:space="preserve">81-0019-2558 </t>
    </r>
  </si>
  <si>
    <r>
      <rPr>
        <sz val="10"/>
        <rFont val="Times New Roman"/>
        <family val="1"/>
      </rPr>
      <t xml:space="preserve">Screw, 10-32 x 3/8", Socket Lo Head, CS, Plain </t>
    </r>
  </si>
  <si>
    <r>
      <rPr>
        <sz val="10"/>
        <rFont val="Times New Roman"/>
        <family val="1"/>
      </rPr>
      <t xml:space="preserve">81-0718-3666 </t>
    </r>
  </si>
  <si>
    <r>
      <rPr>
        <sz val="10"/>
        <rFont val="Times New Roman"/>
        <family val="1"/>
      </rPr>
      <t xml:space="preserve">Screw, 1/4-20 X 3/4", Hex, MS W/Nylok Patch, Grade 5 Or 8 </t>
    </r>
  </si>
  <si>
    <r>
      <rPr>
        <sz val="10"/>
        <rFont val="Times New Roman"/>
        <family val="1"/>
      </rPr>
      <t xml:space="preserve">81-3114-0412-DB </t>
    </r>
  </si>
  <si>
    <r>
      <rPr>
        <sz val="10"/>
        <rFont val="Times New Roman"/>
        <family val="1"/>
      </rPr>
      <t xml:space="preserve">Screw, 8-18 x 1/2",Phillips,Pan Type"AB",SMS,Blk.Ox.Box of 200 </t>
    </r>
  </si>
  <si>
    <r>
      <rPr>
        <sz val="10"/>
        <rFont val="Times New Roman"/>
        <family val="1"/>
      </rPr>
      <t xml:space="preserve">81-3514-0512 </t>
    </r>
  </si>
  <si>
    <r>
      <rPr>
        <sz val="10"/>
        <rFont val="Times New Roman"/>
        <family val="1"/>
      </rPr>
      <t xml:space="preserve">Screw, 10-16 X 1/2", Phillips, Pan, SMS, Type B, Zinc </t>
    </r>
  </si>
  <si>
    <r>
      <rPr>
        <sz val="10"/>
        <rFont val="Times New Roman"/>
        <family val="1"/>
      </rPr>
      <t xml:space="preserve">81-4211-0308 </t>
    </r>
  </si>
  <si>
    <r>
      <rPr>
        <sz val="10"/>
        <rFont val="Times New Roman"/>
        <family val="1"/>
      </rPr>
      <t xml:space="preserve">Screw, 6-32 x 3/", Phillips, | Flat, Type "F", Zinc </t>
    </r>
  </si>
  <si>
    <r>
      <rPr>
        <sz val="10"/>
        <rFont val="Times New Roman"/>
        <family val="1"/>
      </rPr>
      <t xml:space="preserve">81-4211-0684 </t>
    </r>
  </si>
  <si>
    <r>
      <rPr>
        <sz val="10"/>
        <rFont val="Times New Roman"/>
        <family val="1"/>
      </rPr>
      <t xml:space="preserve">Screw, 1/4-20 X 2 1/2", Phillips, Flat, SMS, Type "F", Zinc </t>
    </r>
  </si>
  <si>
    <r>
      <rPr>
        <sz val="10"/>
        <rFont val="Times New Roman"/>
        <family val="1"/>
      </rPr>
      <t xml:space="preserve">81-4411-0512 </t>
    </r>
  </si>
  <si>
    <r>
      <rPr>
        <sz val="10"/>
        <rFont val="Times New Roman"/>
        <family val="1"/>
      </rPr>
      <t xml:space="preserve">Screw, 10-24 X 1/2", Phillips, Flat, Type 23, Zinc Box of 100 </t>
    </r>
  </si>
  <si>
    <r>
      <rPr>
        <sz val="10"/>
        <rFont val="Times New Roman"/>
        <family val="1"/>
      </rPr>
      <t xml:space="preserve">81-4411-0516 </t>
    </r>
  </si>
  <si>
    <r>
      <rPr>
        <sz val="10"/>
        <rFont val="Times New Roman"/>
        <family val="1"/>
      </rPr>
      <t xml:space="preserve">Screw, 10-24 X 3/4", Phillips, Flat,Type 23,Zinc Box of 100 </t>
    </r>
  </si>
  <si>
    <r>
      <rPr>
        <sz val="10"/>
        <rFont val="Times New Roman"/>
        <family val="1"/>
      </rPr>
      <t xml:space="preserve">8-91-3006 </t>
    </r>
  </si>
  <si>
    <r>
      <rPr>
        <sz val="10"/>
        <rFont val="Times New Roman"/>
        <family val="1"/>
      </rPr>
      <t xml:space="preserve">Decal, "In Emergency, Push to Open" </t>
    </r>
  </si>
  <si>
    <r>
      <rPr>
        <sz val="10"/>
        <rFont val="Times New Roman"/>
        <family val="1"/>
      </rPr>
      <t xml:space="preserve">8-91-3011 </t>
    </r>
  </si>
  <si>
    <r>
      <rPr>
        <sz val="10"/>
        <rFont val="Times New Roman"/>
        <family val="1"/>
      </rPr>
      <t xml:space="preserve">Decal Set, Bipart Sliders </t>
    </r>
  </si>
  <si>
    <r>
      <rPr>
        <sz val="10"/>
        <rFont val="Times New Roman"/>
        <family val="1"/>
      </rPr>
      <t xml:space="preserve">8-91-3012 </t>
    </r>
  </si>
  <si>
    <r>
      <rPr>
        <sz val="10"/>
        <rFont val="Times New Roman"/>
        <family val="1"/>
      </rPr>
      <t xml:space="preserve">Decal Set, Single Sliders </t>
    </r>
  </si>
  <si>
    <r>
      <rPr>
        <sz val="10"/>
        <rFont val="Times New Roman"/>
        <family val="1"/>
      </rPr>
      <t xml:space="preserve">8-91-3013 </t>
    </r>
  </si>
  <si>
    <r>
      <rPr>
        <sz val="10"/>
        <rFont val="Times New Roman"/>
        <family val="1"/>
      </rPr>
      <t xml:space="preserve">Decal, AAADM Safety - Sliders </t>
    </r>
  </si>
  <si>
    <r>
      <rPr>
        <sz val="10"/>
        <rFont val="Times New Roman"/>
        <family val="1"/>
      </rPr>
      <t xml:space="preserve">8-91-3014 </t>
    </r>
  </si>
  <si>
    <r>
      <rPr>
        <sz val="10"/>
        <rFont val="Times New Roman"/>
        <family val="1"/>
      </rPr>
      <t xml:space="preserve">Label, Trackless ICU Operation </t>
    </r>
  </si>
  <si>
    <r>
      <rPr>
        <sz val="10"/>
        <rFont val="Times New Roman"/>
        <family val="1"/>
      </rPr>
      <t xml:space="preserve">8-91-3016 </t>
    </r>
  </si>
  <si>
    <r>
      <rPr>
        <sz val="10"/>
        <rFont val="Times New Roman"/>
        <family val="1"/>
      </rPr>
      <t xml:space="preserve">Decal, Automatic Sliding Door (w/record logo) </t>
    </r>
  </si>
  <si>
    <r>
      <rPr>
        <sz val="10"/>
        <rFont val="Times New Roman"/>
        <family val="1"/>
      </rPr>
      <t xml:space="preserve">8-91-3017 </t>
    </r>
  </si>
  <si>
    <r>
      <rPr>
        <sz val="10"/>
        <rFont val="Times New Roman"/>
        <family val="1"/>
      </rPr>
      <t xml:space="preserve">Decal, "STAND CLEAR" </t>
    </r>
  </si>
  <si>
    <r>
      <rPr>
        <sz val="10"/>
        <rFont val="Times New Roman"/>
        <family val="1"/>
      </rPr>
      <t xml:space="preserve">8-91-3018 </t>
    </r>
  </si>
  <si>
    <r>
      <rPr>
        <sz val="10"/>
        <rFont val="Times New Roman"/>
        <family val="1"/>
      </rPr>
      <t xml:space="preserve">Decal, record Logo (Bubble) </t>
    </r>
  </si>
  <si>
    <r>
      <rPr>
        <sz val="10"/>
        <rFont val="Times New Roman"/>
        <family val="1"/>
      </rPr>
      <t xml:space="preserve">8-91-3023 </t>
    </r>
  </si>
  <si>
    <r>
      <rPr>
        <sz val="10"/>
        <rFont val="Times New Roman"/>
        <family val="1"/>
      </rPr>
      <t xml:space="preserve">Decal, "This Door Must Remain Unlocked During Business Hrs." </t>
    </r>
  </si>
  <si>
    <r>
      <rPr>
        <sz val="10"/>
        <rFont val="Times New Roman"/>
        <family val="1"/>
      </rPr>
      <t xml:space="preserve">8-91-3026 </t>
    </r>
  </si>
  <si>
    <r>
      <rPr>
        <sz val="10"/>
        <rFont val="Times New Roman"/>
        <family val="1"/>
      </rPr>
      <t xml:space="preserve">Decal, ICU Positive Latch Emergency Release </t>
    </r>
  </si>
  <si>
    <r>
      <rPr>
        <sz val="10"/>
        <rFont val="Times New Roman"/>
        <family val="1"/>
      </rPr>
      <t xml:space="preserve">8-92-3017 </t>
    </r>
  </si>
  <si>
    <r>
      <rPr>
        <sz val="10"/>
        <rFont val="Times New Roman"/>
        <family val="1"/>
      </rPr>
      <t xml:space="preserve">Decal, AAADM Safety - Swing Door Operators </t>
    </r>
  </si>
  <si>
    <r>
      <rPr>
        <sz val="10"/>
        <rFont val="Times New Roman"/>
        <family val="1"/>
      </rPr>
      <t xml:space="preserve">8-92-3026 </t>
    </r>
  </si>
  <si>
    <r>
      <rPr>
        <sz val="10"/>
        <rFont val="Times New Roman"/>
        <family val="1"/>
      </rPr>
      <t xml:space="preserve">Decal Set - Low Energy Electromechanical Operators </t>
    </r>
  </si>
  <si>
    <r>
      <rPr>
        <sz val="10"/>
        <rFont val="Times New Roman"/>
        <family val="1"/>
      </rPr>
      <t xml:space="preserve">8-92-3031 </t>
    </r>
  </si>
  <si>
    <r>
      <rPr>
        <sz val="10"/>
        <rFont val="Times New Roman"/>
        <family val="1"/>
      </rPr>
      <t xml:space="preserve">Decal,"Caution Automatic Door" w/"Activate Switch to Operate" </t>
    </r>
  </si>
  <si>
    <r>
      <rPr>
        <sz val="10"/>
        <rFont val="Times New Roman"/>
        <family val="1"/>
      </rPr>
      <t xml:space="preserve">8-92-3032 </t>
    </r>
  </si>
  <si>
    <r>
      <rPr>
        <sz val="10"/>
        <rFont val="Times New Roman"/>
        <family val="1"/>
      </rPr>
      <t xml:space="preserve">Decal, "Automatic Door Keep Moving" w/Arrow </t>
    </r>
  </si>
  <si>
    <r>
      <rPr>
        <sz val="8"/>
        <rFont val="Times New Roman"/>
        <family val="1"/>
      </rPr>
      <t xml:space="preserve">Page 15 of  21 </t>
    </r>
  </si>
  <si>
    <r>
      <rPr>
        <sz val="10"/>
        <rFont val="Times New Roman"/>
        <family val="1"/>
      </rPr>
      <t xml:space="preserve">8-92-3034 </t>
    </r>
  </si>
  <si>
    <r>
      <rPr>
        <sz val="10"/>
        <rFont val="Times New Roman"/>
        <family val="1"/>
      </rPr>
      <t xml:space="preserve">Decal Set, Full Power Operator </t>
    </r>
  </si>
  <si>
    <r>
      <rPr>
        <sz val="10"/>
        <rFont val="Times New Roman"/>
        <family val="1"/>
      </rPr>
      <t xml:space="preserve">8-92-3035 </t>
    </r>
  </si>
  <si>
    <r>
      <rPr>
        <sz val="10"/>
        <rFont val="Times New Roman"/>
        <family val="1"/>
      </rPr>
      <t xml:space="preserve">Decal Set, Low Energy Operator </t>
    </r>
  </si>
  <si>
    <r>
      <rPr>
        <sz val="10"/>
        <rFont val="Times New Roman"/>
        <family val="1"/>
      </rPr>
      <t xml:space="preserve">8-92-3037 </t>
    </r>
  </si>
  <si>
    <r>
      <rPr>
        <sz val="10"/>
        <rFont val="Times New Roman"/>
        <family val="1"/>
      </rPr>
      <t xml:space="preserve">Decal, Caution Automatic Door (2-Sided) </t>
    </r>
  </si>
  <si>
    <r>
      <rPr>
        <sz val="10"/>
        <rFont val="Times New Roman"/>
        <family val="1"/>
      </rPr>
      <t xml:space="preserve">8-92-3038 </t>
    </r>
  </si>
  <si>
    <r>
      <rPr>
        <sz val="10"/>
        <rFont val="Times New Roman"/>
        <family val="1"/>
      </rPr>
      <t xml:space="preserve">Decal, "Automatic Door Keep Moving" w/ Arrow, (2-Sided) </t>
    </r>
  </si>
  <si>
    <r>
      <rPr>
        <sz val="10"/>
        <rFont val="Times New Roman"/>
        <family val="1"/>
      </rPr>
      <t xml:space="preserve">8-92-3039 </t>
    </r>
  </si>
  <si>
    <r>
      <rPr>
        <sz val="10"/>
        <rFont val="Times New Roman"/>
        <family val="1"/>
      </rPr>
      <t xml:space="preserve">Decal, "Caution Automatic Door Two Way Traffic", (2-Sided) </t>
    </r>
  </si>
  <si>
    <r>
      <rPr>
        <sz val="10"/>
        <rFont val="Times New Roman"/>
        <family val="1"/>
      </rPr>
      <t xml:space="preserve">8-92-3040 </t>
    </r>
  </si>
  <si>
    <r>
      <rPr>
        <sz val="10"/>
        <rFont val="Times New Roman"/>
        <family val="1"/>
      </rPr>
      <t xml:space="preserve">Decal, "Caution Automatic Door Activate Sw.Operate",(2-Sided) </t>
    </r>
  </si>
  <si>
    <r>
      <rPr>
        <sz val="10"/>
        <rFont val="Times New Roman"/>
        <family val="1"/>
      </rPr>
      <t xml:space="preserve">8-92-3041 </t>
    </r>
  </si>
  <si>
    <r>
      <rPr>
        <sz val="10"/>
        <rFont val="Times New Roman"/>
        <family val="1"/>
      </rPr>
      <t xml:space="preserve">Decal, 1 Side, "Caution Auto. Door" w/"Two Way Traffic" </t>
    </r>
  </si>
  <si>
    <r>
      <rPr>
        <sz val="10"/>
        <rFont val="Times New Roman"/>
        <family val="1"/>
      </rPr>
      <t xml:space="preserve">8-92-3043 </t>
    </r>
  </si>
  <si>
    <r>
      <rPr>
        <sz val="10"/>
        <rFont val="Times New Roman"/>
        <family val="1"/>
      </rPr>
      <t xml:space="preserve">Decal,"Automatic Door w/Arrow &amp; Do Not Enter, (2-Sided) </t>
    </r>
  </si>
  <si>
    <r>
      <rPr>
        <sz val="10"/>
        <rFont val="Times New Roman"/>
        <family val="1"/>
      </rPr>
      <t xml:space="preserve">8-92-3044 </t>
    </r>
  </si>
  <si>
    <r>
      <rPr>
        <sz val="10"/>
        <rFont val="Times New Roman"/>
        <family val="1"/>
      </rPr>
      <t xml:space="preserve">Decal,"Do Not Enter/ Automatic Door w/Arrow", (2-Sided) </t>
    </r>
  </si>
  <si>
    <r>
      <rPr>
        <sz val="10"/>
        <rFont val="Times New Roman"/>
        <family val="1"/>
      </rPr>
      <t xml:space="preserve">8-93-3002 </t>
    </r>
  </si>
  <si>
    <r>
      <rPr>
        <sz val="10"/>
        <rFont val="Times New Roman"/>
        <family val="1"/>
      </rPr>
      <t xml:space="preserve">Decal, AAADM Safety - Folders </t>
    </r>
  </si>
  <si>
    <r>
      <rPr>
        <sz val="10"/>
        <rFont val="Times New Roman"/>
        <family val="1"/>
      </rPr>
      <t xml:space="preserve">8-93-3003 </t>
    </r>
  </si>
  <si>
    <r>
      <rPr>
        <sz val="10"/>
        <rFont val="Times New Roman"/>
        <family val="1"/>
      </rPr>
      <t xml:space="preserve">Decal Set, Folding Doors </t>
    </r>
  </si>
  <si>
    <r>
      <rPr>
        <sz val="10"/>
        <rFont val="Times New Roman"/>
        <family val="1"/>
      </rPr>
      <t xml:space="preserve">9-09-0012 </t>
    </r>
  </si>
  <si>
    <r>
      <rPr>
        <sz val="10"/>
        <rFont val="Times New Roman"/>
        <family val="1"/>
      </rPr>
      <t xml:space="preserve">Belt, Timing (Series 5100) 102-108338 </t>
    </r>
  </si>
  <si>
    <r>
      <rPr>
        <sz val="10"/>
        <rFont val="Times New Roman"/>
        <family val="1"/>
      </rPr>
      <t xml:space="preserve">9-09-0015 </t>
    </r>
  </si>
  <si>
    <r>
      <rPr>
        <sz val="10"/>
        <rFont val="Times New Roman"/>
        <family val="1"/>
      </rPr>
      <t xml:space="preserve">Belt, Main Drive, 4500, 30M Roll </t>
    </r>
  </si>
  <si>
    <r>
      <rPr>
        <sz val="10"/>
        <rFont val="Times New Roman"/>
        <family val="1"/>
      </rPr>
      <t xml:space="preserve">ROLL </t>
    </r>
  </si>
  <si>
    <r>
      <rPr>
        <sz val="10"/>
        <rFont val="Times New Roman"/>
        <family val="1"/>
      </rPr>
      <t xml:space="preserve">$911.00 </t>
    </r>
  </si>
  <si>
    <r>
      <rPr>
        <sz val="10"/>
        <rFont val="Times New Roman"/>
        <family val="1"/>
      </rPr>
      <t xml:space="preserve">9-09-0016 </t>
    </r>
  </si>
  <si>
    <r>
      <rPr>
        <sz val="10"/>
        <rFont val="Times New Roman"/>
        <family val="1"/>
      </rPr>
      <t xml:space="preserve">Belt, S4500 Motordrive Ass'y. </t>
    </r>
  </si>
  <si>
    <r>
      <rPr>
        <sz val="10"/>
        <rFont val="Times New Roman"/>
        <family val="1"/>
      </rPr>
      <t xml:space="preserve">9-11-0001 </t>
    </r>
  </si>
  <si>
    <r>
      <rPr>
        <sz val="10"/>
        <rFont val="Times New Roman"/>
        <family val="1"/>
      </rPr>
      <t xml:space="preserve">Trackk Cap (Nylatron) | 40-1103 </t>
    </r>
  </si>
  <si>
    <r>
      <rPr>
        <sz val="10"/>
        <rFont val="Times New Roman"/>
        <family val="1"/>
      </rPr>
      <t xml:space="preserve">9-25-0020-CL </t>
    </r>
  </si>
  <si>
    <r>
      <rPr>
        <sz val="10"/>
        <rFont val="Times New Roman"/>
        <family val="1"/>
      </rPr>
      <t xml:space="preserve">Lock Indicator-used on upside down lock application-5100's </t>
    </r>
  </si>
  <si>
    <r>
      <rPr>
        <sz val="10"/>
        <rFont val="Times New Roman"/>
        <family val="1"/>
      </rPr>
      <t xml:space="preserve">9-25-0020-DB </t>
    </r>
  </si>
  <si>
    <r>
      <rPr>
        <sz val="10"/>
        <rFont val="Times New Roman"/>
        <family val="1"/>
      </rPr>
      <t xml:space="preserve">Lock Indicator-used on upside down lock application- 5100's </t>
    </r>
  </si>
  <si>
    <r>
      <rPr>
        <sz val="10"/>
        <rFont val="Times New Roman"/>
        <family val="1"/>
      </rPr>
      <t xml:space="preserve">9-25-0021-CL </t>
    </r>
  </si>
  <si>
    <r>
      <rPr>
        <sz val="10"/>
        <rFont val="Times New Roman"/>
        <family val="1"/>
      </rPr>
      <t xml:space="preserve">Lock Indicator (Right Side Up) 8600 &amp; 4500 Line </t>
    </r>
  </si>
  <si>
    <r>
      <rPr>
        <sz val="10"/>
        <rFont val="Times New Roman"/>
        <family val="1"/>
      </rPr>
      <t xml:space="preserve">9-25-0021-DB </t>
    </r>
  </si>
  <si>
    <r>
      <rPr>
        <sz val="10"/>
        <rFont val="Times New Roman"/>
        <family val="1"/>
      </rPr>
      <t xml:space="preserve">Lock Indicator (right side up) 8600 &amp; 4500 Lines </t>
    </r>
  </si>
  <si>
    <r>
      <rPr>
        <sz val="10"/>
        <rFont val="Times New Roman"/>
        <family val="1"/>
      </rPr>
      <t xml:space="preserve">$53.00 </t>
    </r>
  </si>
  <si>
    <r>
      <rPr>
        <sz val="10"/>
        <rFont val="Times New Roman"/>
        <family val="1"/>
      </rPr>
      <t xml:space="preserve">9-25-0023-CL </t>
    </r>
  </si>
  <si>
    <r>
      <rPr>
        <sz val="10"/>
        <rFont val="Times New Roman"/>
        <family val="1"/>
      </rPr>
      <t xml:space="preserve">Cylinder, Keyed, 1" Mortise, | KA4 (All Glass Door) </t>
    </r>
  </si>
  <si>
    <r>
      <rPr>
        <sz val="10"/>
        <rFont val="Times New Roman"/>
        <family val="1"/>
      </rPr>
      <t xml:space="preserve">9-25-0023-DB </t>
    </r>
  </si>
  <si>
    <r>
      <rPr>
        <sz val="10"/>
        <rFont val="Times New Roman"/>
        <family val="1"/>
      </rPr>
      <t xml:space="preserve">Cylinder, Keyed, 1" Mortise, | KA4 (All Glass Door Lock) </t>
    </r>
  </si>
  <si>
    <r>
      <rPr>
        <sz val="10"/>
        <rFont val="Times New Roman"/>
        <family val="1"/>
      </rPr>
      <t xml:space="preserve">9-45-0010 </t>
    </r>
  </si>
  <si>
    <r>
      <rPr>
        <sz val="10"/>
        <rFont val="Times New Roman"/>
        <family val="1"/>
      </rPr>
      <t xml:space="preserve">Belt Clamp - Right </t>
    </r>
  </si>
  <si>
    <r>
      <rPr>
        <sz val="10"/>
        <rFont val="Times New Roman"/>
        <family val="1"/>
      </rPr>
      <t xml:space="preserve">9-45-0011 </t>
    </r>
  </si>
  <si>
    <r>
      <rPr>
        <sz val="10"/>
        <rFont val="Times New Roman"/>
        <family val="1"/>
      </rPr>
      <t xml:space="preserve">Tie Rod, Belt Clamp (Short) </t>
    </r>
  </si>
  <si>
    <r>
      <rPr>
        <sz val="10"/>
        <rFont val="Times New Roman"/>
        <family val="1"/>
      </rPr>
      <t xml:space="preserve">9-45-0012 </t>
    </r>
  </si>
  <si>
    <r>
      <rPr>
        <sz val="10"/>
        <rFont val="Times New Roman"/>
        <family val="1"/>
      </rPr>
      <t xml:space="preserve">Belt Clamp - Left </t>
    </r>
  </si>
  <si>
    <r>
      <rPr>
        <sz val="10"/>
        <rFont val="Times New Roman"/>
        <family val="1"/>
      </rPr>
      <t xml:space="preserve">9-45-0013 </t>
    </r>
  </si>
  <si>
    <r>
      <rPr>
        <sz val="10"/>
        <rFont val="Times New Roman"/>
        <family val="1"/>
      </rPr>
      <t xml:space="preserve">Tie Rod, Belt Clamp (Long) </t>
    </r>
  </si>
  <si>
    <r>
      <rPr>
        <sz val="10"/>
        <rFont val="Times New Roman"/>
        <family val="1"/>
      </rPr>
      <t xml:space="preserve">9-45-0101 </t>
    </r>
  </si>
  <si>
    <r>
      <rPr>
        <sz val="10"/>
        <rFont val="Times New Roman"/>
        <family val="1"/>
      </rPr>
      <t xml:space="preserve">Drive Pedestal, Slave </t>
    </r>
  </si>
  <si>
    <r>
      <rPr>
        <sz val="10"/>
        <rFont val="Times New Roman"/>
        <family val="1"/>
      </rPr>
      <t xml:space="preserve">$2,576.00 </t>
    </r>
  </si>
  <si>
    <r>
      <rPr>
        <sz val="10"/>
        <rFont val="Times New Roman"/>
        <family val="1"/>
      </rPr>
      <t xml:space="preserve">9-45-0102 </t>
    </r>
  </si>
  <si>
    <r>
      <rPr>
        <sz val="10"/>
        <rFont val="Times New Roman"/>
        <family val="1"/>
      </rPr>
      <t xml:space="preserve">Drive Pedestal, Master </t>
    </r>
  </si>
  <si>
    <r>
      <rPr>
        <sz val="10"/>
        <rFont val="Times New Roman"/>
        <family val="1"/>
      </rPr>
      <t xml:space="preserve">$2,810.00 </t>
    </r>
  </si>
  <si>
    <r>
      <rPr>
        <sz val="10"/>
        <rFont val="Times New Roman"/>
        <family val="1"/>
      </rPr>
      <t xml:space="preserve">9-45-0103 </t>
    </r>
  </si>
  <si>
    <r>
      <rPr>
        <sz val="10"/>
        <rFont val="Times New Roman"/>
        <family val="1"/>
      </rPr>
      <t xml:space="preserve">Inner Arm Ass'y. </t>
    </r>
  </si>
  <si>
    <r>
      <rPr>
        <sz val="10"/>
        <rFont val="Times New Roman"/>
        <family val="1"/>
      </rPr>
      <t xml:space="preserve">$788.00 </t>
    </r>
  </si>
  <si>
    <r>
      <rPr>
        <sz val="10"/>
        <rFont val="Times New Roman"/>
        <family val="1"/>
      </rPr>
      <t xml:space="preserve">9-45-0106 </t>
    </r>
  </si>
  <si>
    <r>
      <rPr>
        <sz val="10"/>
        <rFont val="Times New Roman"/>
        <family val="1"/>
      </rPr>
      <t xml:space="preserve">Electric Lock, Anti-Breakout </t>
    </r>
  </si>
  <si>
    <r>
      <rPr>
        <sz val="10"/>
        <rFont val="Times New Roman"/>
        <family val="1"/>
      </rPr>
      <t xml:space="preserve">$1,545.00 </t>
    </r>
  </si>
  <si>
    <r>
      <rPr>
        <sz val="10"/>
        <rFont val="Times New Roman"/>
        <family val="1"/>
      </rPr>
      <t xml:space="preserve">9-45-0107 </t>
    </r>
  </si>
  <si>
    <r>
      <rPr>
        <sz val="10"/>
        <rFont val="Times New Roman"/>
        <family val="1"/>
      </rPr>
      <t xml:space="preserve">Kit, Door Open Stop </t>
    </r>
  </si>
  <si>
    <r>
      <rPr>
        <sz val="10"/>
        <rFont val="Times New Roman"/>
        <family val="1"/>
      </rPr>
      <t xml:space="preserve">$95.00 </t>
    </r>
  </si>
  <si>
    <r>
      <rPr>
        <sz val="10"/>
        <rFont val="Times New Roman"/>
        <family val="1"/>
      </rPr>
      <t xml:space="preserve">9-45-0109 </t>
    </r>
  </si>
  <si>
    <r>
      <rPr>
        <sz val="10"/>
        <rFont val="Times New Roman"/>
        <family val="1"/>
      </rPr>
      <t xml:space="preserve">Sequencer,VRR Control Module Dual Lock,System 20 </t>
    </r>
  </si>
  <si>
    <r>
      <rPr>
        <sz val="10"/>
        <rFont val="Times New Roman"/>
        <family val="1"/>
      </rPr>
      <t xml:space="preserve">$1,006.00 </t>
    </r>
  </si>
  <si>
    <r>
      <rPr>
        <sz val="10"/>
        <rFont val="Times New Roman"/>
        <family val="1"/>
      </rPr>
      <t xml:space="preserve">9-45-0110 </t>
    </r>
  </si>
  <si>
    <r>
      <rPr>
        <sz val="10"/>
        <rFont val="Times New Roman"/>
        <family val="1"/>
      </rPr>
      <t xml:space="preserve">Motordrive Ass'y., ATE FTA 20 </t>
    </r>
  </si>
  <si>
    <r>
      <rPr>
        <sz val="10"/>
        <rFont val="Times New Roman"/>
        <family val="1"/>
      </rPr>
      <t xml:space="preserve">$2,702.00 </t>
    </r>
  </si>
  <si>
    <r>
      <rPr>
        <sz val="10"/>
        <rFont val="Times New Roman"/>
        <family val="1"/>
      </rPr>
      <t xml:space="preserve">9-51-0001 </t>
    </r>
  </si>
  <si>
    <r>
      <rPr>
        <sz val="10"/>
        <rFont val="Times New Roman"/>
        <family val="1"/>
      </rPr>
      <t xml:space="preserve">Damper, Roller Track </t>
    </r>
  </si>
  <si>
    <r>
      <rPr>
        <sz val="10"/>
        <rFont val="Times New Roman"/>
        <family val="1"/>
      </rPr>
      <t xml:space="preserve">$2,116.00 </t>
    </r>
  </si>
  <si>
    <r>
      <rPr>
        <sz val="10"/>
        <rFont val="Times New Roman"/>
        <family val="1"/>
      </rPr>
      <t xml:space="preserve">9-51-0004 </t>
    </r>
  </si>
  <si>
    <r>
      <rPr>
        <sz val="10"/>
        <rFont val="Times New Roman"/>
        <family val="1"/>
      </rPr>
      <t xml:space="preserve">Pulley, Idler </t>
    </r>
  </si>
  <si>
    <r>
      <rPr>
        <sz val="10"/>
        <rFont val="Times New Roman"/>
        <family val="1"/>
      </rPr>
      <t xml:space="preserve">9-51-0010 </t>
    </r>
  </si>
  <si>
    <r>
      <rPr>
        <sz val="10"/>
        <rFont val="Times New Roman"/>
        <family val="1"/>
      </rPr>
      <t xml:space="preserve">Battery Pack, NiCad (System 19 Only) </t>
    </r>
  </si>
  <si>
    <r>
      <rPr>
        <sz val="10"/>
        <rFont val="Times New Roman"/>
        <family val="1"/>
      </rPr>
      <t xml:space="preserve">$513.00 </t>
    </r>
  </si>
  <si>
    <r>
      <rPr>
        <sz val="10"/>
        <rFont val="Times New Roman"/>
        <family val="1"/>
      </rPr>
      <t xml:space="preserve">9-51-0014 </t>
    </r>
  </si>
  <si>
    <r>
      <rPr>
        <sz val="10"/>
        <rFont val="Times New Roman"/>
        <family val="1"/>
      </rPr>
      <t xml:space="preserve">Cord, Power (9'10" Length) ***SJT JACKET **** </t>
    </r>
  </si>
  <si>
    <r>
      <rPr>
        <sz val="10"/>
        <rFont val="Times New Roman"/>
        <family val="1"/>
      </rPr>
      <t xml:space="preserve">9-51-0015 </t>
    </r>
  </si>
  <si>
    <r>
      <rPr>
        <sz val="10"/>
        <rFont val="Times New Roman"/>
        <family val="1"/>
      </rPr>
      <t xml:space="preserve">Washer, Pin Guide (Hurricane- Rated Sliders) </t>
    </r>
  </si>
  <si>
    <r>
      <rPr>
        <sz val="10"/>
        <rFont val="Times New Roman"/>
        <family val="1"/>
      </rPr>
      <t xml:space="preserve">9-51-0016 </t>
    </r>
  </si>
  <si>
    <r>
      <rPr>
        <sz val="10"/>
        <rFont val="Times New Roman"/>
        <family val="1"/>
      </rPr>
      <t xml:space="preserve">PCB - Supplementary (Lead Acid Battery) </t>
    </r>
  </si>
  <si>
    <r>
      <rPr>
        <sz val="10"/>
        <rFont val="Times New Roman"/>
        <family val="1"/>
      </rPr>
      <t xml:space="preserve">$248.00 </t>
    </r>
  </si>
  <si>
    <r>
      <rPr>
        <sz val="10"/>
        <rFont val="Times New Roman"/>
        <family val="1"/>
      </rPr>
      <t xml:space="preserve">9-51-0017 </t>
    </r>
  </si>
  <si>
    <r>
      <rPr>
        <sz val="10"/>
        <rFont val="Times New Roman"/>
        <family val="1"/>
      </rPr>
      <t xml:space="preserve">Battery, Lead Acid 102-019808036 </t>
    </r>
  </si>
  <si>
    <r>
      <rPr>
        <sz val="10"/>
        <rFont val="Times New Roman"/>
        <family val="1"/>
      </rPr>
      <t xml:space="preserve">$563.00 </t>
    </r>
  </si>
  <si>
    <r>
      <rPr>
        <sz val="10"/>
        <rFont val="Times New Roman"/>
        <family val="1"/>
      </rPr>
      <t xml:space="preserve">9-51-0019 </t>
    </r>
  </si>
  <si>
    <r>
      <rPr>
        <sz val="10"/>
        <rFont val="Times New Roman"/>
        <family val="1"/>
      </rPr>
      <t xml:space="preserve">Film, Static Cling Vinyl (S5200 All Glass Doors) </t>
    </r>
  </si>
  <si>
    <r>
      <rPr>
        <sz val="10"/>
        <rFont val="Times New Roman"/>
        <family val="1"/>
      </rPr>
      <t xml:space="preserve">$323.00 </t>
    </r>
  </si>
  <si>
    <r>
      <rPr>
        <sz val="10"/>
        <rFont val="Times New Roman"/>
        <family val="1"/>
      </rPr>
      <t xml:space="preserve">9-58-0008 </t>
    </r>
  </si>
  <si>
    <r>
      <rPr>
        <sz val="10"/>
        <rFont val="Times New Roman"/>
        <family val="1"/>
      </rPr>
      <t xml:space="preserve">Pin, Clevis (3/8" x 1 1/4") Box of 12 </t>
    </r>
  </si>
  <si>
    <r>
      <rPr>
        <sz val="10"/>
        <rFont val="Times New Roman"/>
        <family val="1"/>
      </rPr>
      <t xml:space="preserve">9-59-0001 </t>
    </r>
  </si>
  <si>
    <r>
      <rPr>
        <sz val="10"/>
        <rFont val="Times New Roman"/>
        <family val="1"/>
      </rPr>
      <t xml:space="preserve">Adaptor, AC, FPC (Battery Charger) </t>
    </r>
  </si>
  <si>
    <r>
      <rPr>
        <sz val="10"/>
        <rFont val="Times New Roman"/>
        <family val="1"/>
      </rPr>
      <t xml:space="preserve">9-60-1677 </t>
    </r>
  </si>
  <si>
    <r>
      <rPr>
        <sz val="10"/>
        <rFont val="Times New Roman"/>
        <family val="1"/>
      </rPr>
      <t xml:space="preserve">Rod, Threaded - 3/8-16 </t>
    </r>
  </si>
  <si>
    <r>
      <rPr>
        <sz val="10"/>
        <rFont val="Times New Roman"/>
        <family val="1"/>
      </rPr>
      <t xml:space="preserve">9-61-0001 </t>
    </r>
  </si>
  <si>
    <r>
      <rPr>
        <sz val="10"/>
        <rFont val="Times New Roman"/>
        <family val="1"/>
      </rPr>
      <t xml:space="preserve">4.75" BEA SQ SS Vestibule Push Plate "Push To Open" text &amp; Handicap L EACH </t>
    </r>
  </si>
  <si>
    <r>
      <rPr>
        <sz val="10"/>
        <rFont val="Times New Roman"/>
        <family val="1"/>
      </rPr>
      <t xml:space="preserve">$336.00 </t>
    </r>
  </si>
  <si>
    <r>
      <rPr>
        <sz val="10"/>
        <rFont val="Times New Roman"/>
        <family val="1"/>
      </rPr>
      <t xml:space="preserve">9-61-0004 </t>
    </r>
  </si>
  <si>
    <r>
      <rPr>
        <sz val="10"/>
        <rFont val="Times New Roman"/>
        <family val="1"/>
      </rPr>
      <t xml:space="preserve">Switch, Press Wall, 1 1/2" x 4 3/4", Baby Carriage Logo </t>
    </r>
  </si>
  <si>
    <r>
      <rPr>
        <sz val="10"/>
        <rFont val="Times New Roman"/>
        <family val="1"/>
      </rPr>
      <t xml:space="preserve">9-61-0006 </t>
    </r>
  </si>
  <si>
    <r>
      <rPr>
        <sz val="10"/>
        <rFont val="Times New Roman"/>
        <family val="1"/>
      </rPr>
      <t xml:space="preserve">6" BEA Round Black MS31 Text &amp; Hand Logo </t>
    </r>
  </si>
  <si>
    <r>
      <rPr>
        <sz val="10"/>
        <rFont val="Times New Roman"/>
        <family val="1"/>
      </rPr>
      <t xml:space="preserve">$714.00 </t>
    </r>
  </si>
  <si>
    <r>
      <rPr>
        <sz val="10"/>
        <rFont val="Times New Roman"/>
        <family val="1"/>
      </rPr>
      <t xml:space="preserve">9-61-0011 </t>
    </r>
  </si>
  <si>
    <r>
      <rPr>
        <sz val="10"/>
        <rFont val="Times New Roman"/>
        <family val="1"/>
      </rPr>
      <t xml:space="preserve">Sensor, Motion (BEA Eagle) </t>
    </r>
  </si>
  <si>
    <r>
      <rPr>
        <sz val="8"/>
        <rFont val="Times New Roman"/>
        <family val="1"/>
      </rPr>
      <t xml:space="preserve">Page 16 of  21 </t>
    </r>
  </si>
  <si>
    <r>
      <rPr>
        <sz val="10"/>
        <rFont val="Times New Roman"/>
        <family val="1"/>
      </rPr>
      <t xml:space="preserve">$97.00 </t>
    </r>
  </si>
  <si>
    <r>
      <rPr>
        <sz val="10"/>
        <rFont val="Times New Roman"/>
        <family val="1"/>
      </rPr>
      <t xml:space="preserve">9-61-0015 </t>
    </r>
  </si>
  <si>
    <r>
      <rPr>
        <sz val="10"/>
        <rFont val="Times New Roman"/>
        <family val="1"/>
      </rPr>
      <t xml:space="preserve">Sensor, On Door Presence Superscan11T **DROP SHIP** </t>
    </r>
  </si>
  <si>
    <r>
      <rPr>
        <sz val="10"/>
        <rFont val="Times New Roman"/>
        <family val="1"/>
      </rPr>
      <t xml:space="preserve">$986.00 </t>
    </r>
  </si>
  <si>
    <r>
      <rPr>
        <sz val="10"/>
        <rFont val="Times New Roman"/>
        <family val="1"/>
      </rPr>
      <t xml:space="preserve">9-61-0016 </t>
    </r>
  </si>
  <si>
    <r>
      <rPr>
        <sz val="10"/>
        <rFont val="Times New Roman"/>
        <family val="1"/>
      </rPr>
      <t xml:space="preserve">Sensor,Presence,BEA,Swing/Fold BodyguardT w/monitoring </t>
    </r>
  </si>
  <si>
    <r>
      <rPr>
        <sz val="10"/>
        <rFont val="Times New Roman"/>
        <family val="1"/>
      </rPr>
      <t xml:space="preserve">$881.00 </t>
    </r>
  </si>
  <si>
    <r>
      <rPr>
        <sz val="10"/>
        <rFont val="Times New Roman"/>
        <family val="1"/>
      </rPr>
      <t xml:space="preserve">9-61-0018 </t>
    </r>
  </si>
  <si>
    <r>
      <rPr>
        <sz val="10"/>
        <rFont val="Times New Roman"/>
        <family val="1"/>
      </rPr>
      <t xml:space="preserve">Sensor, Motion/Presence, BEA IXIO-DT1 </t>
    </r>
  </si>
  <si>
    <r>
      <rPr>
        <sz val="10"/>
        <rFont val="Times New Roman"/>
        <family val="1"/>
      </rPr>
      <t xml:space="preserve">$505.00 </t>
    </r>
  </si>
  <si>
    <r>
      <rPr>
        <sz val="10"/>
        <rFont val="Times New Roman"/>
        <family val="1"/>
      </rPr>
      <t xml:space="preserve">9-61-0021 </t>
    </r>
  </si>
  <si>
    <r>
      <rPr>
        <sz val="10"/>
        <rFont val="Times New Roman"/>
        <family val="1"/>
      </rPr>
      <t xml:space="preserve">Sensor,On Door Presence,Optex Pro-Swing Elite, *DROP SHIP* </t>
    </r>
  </si>
  <si>
    <r>
      <rPr>
        <sz val="10"/>
        <rFont val="Times New Roman"/>
        <family val="1"/>
      </rPr>
      <t xml:space="preserve">$2,732.00 </t>
    </r>
  </si>
  <si>
    <r>
      <rPr>
        <sz val="10"/>
        <rFont val="Times New Roman"/>
        <family val="1"/>
      </rPr>
      <t xml:space="preserve">9-61-0022 </t>
    </r>
  </si>
  <si>
    <r>
      <rPr>
        <sz val="10"/>
        <rFont val="Times New Roman"/>
        <family val="1"/>
      </rPr>
      <t xml:space="preserve">Kit,Beam Set,Panic Breakout Shut Off, Optex </t>
    </r>
  </si>
  <si>
    <r>
      <rPr>
        <sz val="10"/>
        <rFont val="Times New Roman"/>
        <family val="1"/>
      </rPr>
      <t xml:space="preserve">$1,082.00 </t>
    </r>
  </si>
  <si>
    <r>
      <rPr>
        <sz val="10"/>
        <rFont val="Times New Roman"/>
        <family val="1"/>
      </rPr>
      <t xml:space="preserve">9-61-0028 </t>
    </r>
  </si>
  <si>
    <r>
      <rPr>
        <sz val="10"/>
        <rFont val="Times New Roman"/>
        <family val="1"/>
      </rPr>
      <t xml:space="preserve">Sensor, Motion (Optex Reaction Two) </t>
    </r>
  </si>
  <si>
    <r>
      <rPr>
        <sz val="10"/>
        <rFont val="Times New Roman"/>
        <family val="1"/>
      </rPr>
      <t xml:space="preserve">$606.00 </t>
    </r>
  </si>
  <si>
    <r>
      <rPr>
        <sz val="10"/>
        <rFont val="Times New Roman"/>
        <family val="1"/>
      </rPr>
      <t xml:space="preserve">9-61-0029 </t>
    </r>
  </si>
  <si>
    <r>
      <rPr>
        <sz val="10"/>
        <rFont val="Times New Roman"/>
        <family val="1"/>
      </rPr>
      <t xml:space="preserve">Holder, Surface Mount (Optex) </t>
    </r>
  </si>
  <si>
    <r>
      <rPr>
        <sz val="10"/>
        <rFont val="Times New Roman"/>
        <family val="1"/>
      </rPr>
      <t xml:space="preserve">9-61-0031 </t>
    </r>
  </si>
  <si>
    <r>
      <rPr>
        <sz val="10"/>
        <rFont val="Times New Roman"/>
        <family val="1"/>
      </rPr>
      <t xml:space="preserve">Module, Control (Optex OS-12C) </t>
    </r>
  </si>
  <si>
    <r>
      <rPr>
        <sz val="10"/>
        <rFont val="Times New Roman"/>
        <family val="1"/>
      </rPr>
      <t xml:space="preserve">$585.00 </t>
    </r>
  </si>
  <si>
    <r>
      <rPr>
        <sz val="10"/>
        <rFont val="Times New Roman"/>
        <family val="1"/>
      </rPr>
      <t xml:space="preserve">9-61-0033 </t>
    </r>
  </si>
  <si>
    <r>
      <rPr>
        <sz val="10"/>
        <rFont val="Times New Roman"/>
        <family val="1"/>
      </rPr>
      <t xml:space="preserve">Safety Beam Heads w/Cable (Optex - Blue/Gray Wire - 1) </t>
    </r>
  </si>
  <si>
    <r>
      <rPr>
        <sz val="10"/>
        <rFont val="Times New Roman"/>
        <family val="1"/>
      </rPr>
      <t xml:space="preserve">9-61-0035 </t>
    </r>
  </si>
  <si>
    <r>
      <rPr>
        <sz val="10"/>
        <rFont val="Times New Roman"/>
        <family val="1"/>
      </rPr>
      <t xml:space="preserve">Spacer, Optex Reaction Sensor </t>
    </r>
  </si>
  <si>
    <r>
      <rPr>
        <sz val="10"/>
        <rFont val="Times New Roman"/>
        <family val="1"/>
      </rPr>
      <t xml:space="preserve">9-61-0036 </t>
    </r>
  </si>
  <si>
    <r>
      <rPr>
        <sz val="10"/>
        <rFont val="Times New Roman"/>
        <family val="1"/>
      </rPr>
      <t xml:space="preserve">Sensor, Optex - X ZoneT Motion/Presence, Slide Door </t>
    </r>
  </si>
  <si>
    <r>
      <rPr>
        <sz val="10"/>
        <rFont val="Times New Roman"/>
        <family val="1"/>
      </rPr>
      <t xml:space="preserve">9-61-0037 </t>
    </r>
  </si>
  <si>
    <r>
      <rPr>
        <sz val="10"/>
        <rFont val="Times New Roman"/>
        <family val="1"/>
      </rPr>
      <t xml:space="preserve">Sensor, Presence, Premier T + cntrl,Optex,Swing/Fold </t>
    </r>
  </si>
  <si>
    <r>
      <rPr>
        <sz val="10"/>
        <rFont val="Times New Roman"/>
        <family val="1"/>
      </rPr>
      <t xml:space="preserve">$990.00 </t>
    </r>
  </si>
  <si>
    <r>
      <rPr>
        <sz val="10"/>
        <rFont val="Times New Roman"/>
        <family val="1"/>
      </rPr>
      <t xml:space="preserve">9-61-0038 </t>
    </r>
  </si>
  <si>
    <r>
      <rPr>
        <sz val="10"/>
        <rFont val="Times New Roman"/>
        <family val="1"/>
      </rPr>
      <t xml:space="preserve">Sensor, RIC 290 AC US CANBus Motion/Presence, Sliding Door </t>
    </r>
  </si>
  <si>
    <r>
      <rPr>
        <sz val="10"/>
        <rFont val="Times New Roman"/>
        <family val="1"/>
      </rPr>
      <t xml:space="preserve">$752.00 </t>
    </r>
  </si>
  <si>
    <r>
      <rPr>
        <sz val="10"/>
        <rFont val="Times New Roman"/>
        <family val="1"/>
      </rPr>
      <t xml:space="preserve">9-61-0040 </t>
    </r>
  </si>
  <si>
    <r>
      <rPr>
        <sz val="10"/>
        <rFont val="Times New Roman"/>
        <family val="1"/>
      </rPr>
      <t xml:space="preserve">Sensor,OnDoor Presence Single LZR Microscan**DROPSHIP ITEM** </t>
    </r>
  </si>
  <si>
    <r>
      <rPr>
        <sz val="10"/>
        <rFont val="Times New Roman"/>
        <family val="1"/>
      </rPr>
      <t xml:space="preserve">$3,031.00 </t>
    </r>
  </si>
  <si>
    <r>
      <rPr>
        <sz val="10"/>
        <rFont val="Times New Roman"/>
        <family val="1"/>
      </rPr>
      <t xml:space="preserve">9-61-0041 </t>
    </r>
  </si>
  <si>
    <r>
      <rPr>
        <sz val="10"/>
        <rFont val="Times New Roman"/>
        <family val="1"/>
      </rPr>
      <t xml:space="preserve">Sensor, On Door Presence LZR Microscan, Dual,Drop ship </t>
    </r>
  </si>
  <si>
    <r>
      <rPr>
        <sz val="10"/>
        <rFont val="Times New Roman"/>
        <family val="1"/>
      </rPr>
      <t xml:space="preserve">$4,850.00 </t>
    </r>
  </si>
  <si>
    <r>
      <rPr>
        <sz val="10"/>
        <rFont val="Times New Roman"/>
        <family val="1"/>
      </rPr>
      <t xml:space="preserve">9-61-0042 </t>
    </r>
  </si>
  <si>
    <r>
      <rPr>
        <sz val="10"/>
        <rFont val="Times New Roman"/>
        <family val="1"/>
      </rPr>
      <t xml:space="preserve">Sensor, Touchless Activation **Drop Ship Item** </t>
    </r>
  </si>
  <si>
    <r>
      <rPr>
        <sz val="10"/>
        <rFont val="Times New Roman"/>
        <family val="1"/>
      </rPr>
      <t xml:space="preserve">$889.00 </t>
    </r>
  </si>
  <si>
    <r>
      <rPr>
        <sz val="10"/>
        <rFont val="Times New Roman"/>
        <family val="1"/>
      </rPr>
      <t xml:space="preserve">9-61-0043 </t>
    </r>
  </si>
  <si>
    <r>
      <rPr>
        <sz val="10"/>
        <rFont val="Times New Roman"/>
        <family val="1"/>
      </rPr>
      <t xml:space="preserve">Switch, Touchless Activation 19 </t>
    </r>
  </si>
  <si>
    <r>
      <rPr>
        <sz val="10"/>
        <rFont val="Times New Roman"/>
        <family val="1"/>
      </rPr>
      <t xml:space="preserve">$776.00 </t>
    </r>
  </si>
  <si>
    <r>
      <rPr>
        <sz val="10"/>
        <rFont val="Times New Roman"/>
        <family val="1"/>
      </rPr>
      <t xml:space="preserve">9-61-0045 </t>
    </r>
  </si>
  <si>
    <r>
      <rPr>
        <sz val="10"/>
        <rFont val="Times New Roman"/>
        <family val="1"/>
      </rPr>
      <t xml:space="preserve">Push Plate, 4.5x4.5 Square SS,HC, "Push to Open" </t>
    </r>
  </si>
  <si>
    <r>
      <rPr>
        <sz val="10"/>
        <rFont val="Times New Roman"/>
        <family val="1"/>
      </rPr>
      <t xml:space="preserve">$188.00 </t>
    </r>
  </si>
  <si>
    <r>
      <rPr>
        <sz val="10"/>
        <rFont val="Times New Roman"/>
        <family val="1"/>
      </rPr>
      <t xml:space="preserve">9-61-0051 </t>
    </r>
  </si>
  <si>
    <r>
      <rPr>
        <sz val="10"/>
        <rFont val="Times New Roman"/>
        <family val="1"/>
      </rPr>
      <t xml:space="preserve">Kit, Wire Ass'y. - Header Molded Connector Safety Beams </t>
    </r>
  </si>
  <si>
    <r>
      <rPr>
        <sz val="10"/>
        <rFont val="Times New Roman"/>
        <family val="1"/>
      </rPr>
      <t xml:space="preserve">9-61-0052 </t>
    </r>
  </si>
  <si>
    <r>
      <rPr>
        <sz val="10"/>
        <rFont val="Times New Roman"/>
        <family val="1"/>
      </rPr>
      <t xml:space="preserve">Kit, Beam Head/Wire Ass'y. Molded Connector Safety Beams </t>
    </r>
  </si>
  <si>
    <r>
      <rPr>
        <sz val="10"/>
        <rFont val="Times New Roman"/>
        <family val="1"/>
      </rPr>
      <t xml:space="preserve">$273.00 </t>
    </r>
  </si>
  <si>
    <r>
      <rPr>
        <sz val="10"/>
        <rFont val="Times New Roman"/>
        <family val="1"/>
      </rPr>
      <t xml:space="preserve">9-61-0062 </t>
    </r>
  </si>
  <si>
    <r>
      <rPr>
        <sz val="10"/>
        <rFont val="Times New Roman"/>
        <family val="1"/>
      </rPr>
      <t xml:space="preserve">36" BEA High-Low SS Push Plate w/ Integrated 900Mhz Wireless "Push ToEACH </t>
    </r>
  </si>
  <si>
    <r>
      <rPr>
        <sz val="10"/>
        <rFont val="Times New Roman"/>
        <family val="1"/>
      </rPr>
      <t xml:space="preserve">$1,409.00 </t>
    </r>
  </si>
  <si>
    <r>
      <rPr>
        <sz val="10"/>
        <rFont val="Times New Roman"/>
        <family val="1"/>
      </rPr>
      <t xml:space="preserve">9-61-0066 </t>
    </r>
  </si>
  <si>
    <r>
      <rPr>
        <sz val="10"/>
        <rFont val="Times New Roman"/>
        <family val="1"/>
      </rPr>
      <t xml:space="preserve">6" BEA Round Black MS31 "Wave To Open" Text &amp; hand Logo </t>
    </r>
  </si>
  <si>
    <r>
      <rPr>
        <sz val="10"/>
        <rFont val="Times New Roman"/>
        <family val="1"/>
      </rPr>
      <t xml:space="preserve">$713.00 </t>
    </r>
  </si>
  <si>
    <r>
      <rPr>
        <sz val="10"/>
        <rFont val="Times New Roman"/>
        <family val="1"/>
      </rPr>
      <t xml:space="preserve">9-61-0068 </t>
    </r>
  </si>
  <si>
    <r>
      <rPr>
        <sz val="10"/>
        <rFont val="Times New Roman"/>
        <family val="1"/>
      </rPr>
      <t xml:space="preserve">Stainless Steel 4.75" Square Push To Open Drop Ship Item </t>
    </r>
  </si>
  <si>
    <r>
      <rPr>
        <sz val="10"/>
        <rFont val="Times New Roman"/>
        <family val="1"/>
      </rPr>
      <t xml:space="preserve">9-61-0069 </t>
    </r>
  </si>
  <si>
    <r>
      <rPr>
        <sz val="10"/>
        <rFont val="Times New Roman"/>
        <family val="1"/>
      </rPr>
      <t xml:space="preserve">Stainless Steel 4.75" Square Handicap Logo *DROP SHIP* </t>
    </r>
  </si>
  <si>
    <r>
      <rPr>
        <sz val="10"/>
        <rFont val="Times New Roman"/>
        <family val="1"/>
      </rPr>
      <t xml:space="preserve">9-61-0070 </t>
    </r>
  </si>
  <si>
    <r>
      <rPr>
        <sz val="10"/>
        <rFont val="Times New Roman"/>
        <family val="1"/>
      </rPr>
      <t xml:space="preserve">900 MHz Receiver Module </t>
    </r>
  </si>
  <si>
    <r>
      <rPr>
        <sz val="10"/>
        <rFont val="Times New Roman"/>
        <family val="1"/>
      </rPr>
      <t xml:space="preserve">$226.00 </t>
    </r>
  </si>
  <si>
    <r>
      <rPr>
        <sz val="10"/>
        <rFont val="Times New Roman"/>
        <family val="1"/>
      </rPr>
      <t xml:space="preserve">9-61-0072 </t>
    </r>
  </si>
  <si>
    <r>
      <rPr>
        <sz val="10"/>
        <rFont val="Times New Roman"/>
        <family val="1"/>
      </rPr>
      <t xml:space="preserve">900 MHz Push Button Transmitter </t>
    </r>
  </si>
  <si>
    <r>
      <rPr>
        <sz val="10"/>
        <rFont val="Times New Roman"/>
        <family val="1"/>
      </rPr>
      <t xml:space="preserve">9-61-0075 </t>
    </r>
  </si>
  <si>
    <r>
      <rPr>
        <sz val="10"/>
        <rFont val="Times New Roman"/>
        <family val="1"/>
      </rPr>
      <t xml:space="preserve">Weather Ring 4.75" X 4.75" </t>
    </r>
  </si>
  <si>
    <r>
      <rPr>
        <sz val="10"/>
        <rFont val="Times New Roman"/>
        <family val="1"/>
      </rPr>
      <t xml:space="preserve">9-65-0006 </t>
    </r>
  </si>
  <si>
    <r>
      <rPr>
        <sz val="10"/>
        <rFont val="Times New Roman"/>
        <family val="1"/>
      </rPr>
      <t xml:space="preserve">Ring, Retaining (External) </t>
    </r>
  </si>
  <si>
    <r>
      <rPr>
        <sz val="10"/>
        <rFont val="Times New Roman"/>
        <family val="1"/>
      </rPr>
      <t xml:space="preserve">9-70-0077 </t>
    </r>
  </si>
  <si>
    <r>
      <rPr>
        <sz val="10"/>
        <rFont val="Times New Roman"/>
        <family val="1"/>
      </rPr>
      <t xml:space="preserve">Bumper, Pin Guide </t>
    </r>
  </si>
  <si>
    <r>
      <rPr>
        <sz val="10"/>
        <rFont val="Times New Roman"/>
        <family val="1"/>
      </rPr>
      <t xml:space="preserve">$4,310.00 </t>
    </r>
  </si>
  <si>
    <r>
      <rPr>
        <sz val="10"/>
        <rFont val="Times New Roman"/>
        <family val="1"/>
      </rPr>
      <t xml:space="preserve">9-73-0071 </t>
    </r>
  </si>
  <si>
    <r>
      <rPr>
        <sz val="10"/>
        <rFont val="Times New Roman"/>
        <family val="1"/>
      </rPr>
      <t xml:space="preserve">Magnet, Flexible </t>
    </r>
  </si>
  <si>
    <r>
      <rPr>
        <sz val="10"/>
        <rFont val="Times New Roman"/>
        <family val="1"/>
      </rPr>
      <t xml:space="preserve">9-73-0074 </t>
    </r>
  </si>
  <si>
    <r>
      <rPr>
        <sz val="10"/>
        <rFont val="Times New Roman"/>
        <family val="1"/>
      </rPr>
      <t xml:space="preserve">Breakout Stop / Switch 81322-900 </t>
    </r>
  </si>
  <si>
    <r>
      <rPr>
        <sz val="10"/>
        <rFont val="Times New Roman"/>
        <family val="1"/>
      </rPr>
      <t xml:space="preserve">$771.00 </t>
    </r>
  </si>
  <si>
    <r>
      <rPr>
        <sz val="10"/>
        <rFont val="Times New Roman"/>
        <family val="1"/>
      </rPr>
      <t xml:space="preserve">9-73-0079 </t>
    </r>
  </si>
  <si>
    <r>
      <rPr>
        <sz val="10"/>
        <rFont val="Times New Roman"/>
        <family val="1"/>
      </rPr>
      <t xml:space="preserve">Magnet (for Magnetic Switch) </t>
    </r>
  </si>
  <si>
    <r>
      <rPr>
        <sz val="10"/>
        <rFont val="Times New Roman"/>
        <family val="1"/>
      </rPr>
      <t xml:space="preserve">9-73-0080 </t>
    </r>
  </si>
  <si>
    <r>
      <rPr>
        <sz val="10"/>
        <rFont val="Times New Roman"/>
        <family val="1"/>
      </rPr>
      <t xml:space="preserve">Panic Switch, Magnetic (N/O) </t>
    </r>
  </si>
  <si>
    <r>
      <rPr>
        <sz val="10"/>
        <rFont val="Times New Roman"/>
        <family val="1"/>
      </rPr>
      <t xml:space="preserve">9-73-0081 </t>
    </r>
  </si>
  <si>
    <r>
      <rPr>
        <sz val="10"/>
        <rFont val="Times New Roman"/>
        <family val="1"/>
      </rPr>
      <t xml:space="preserve">Switch, Recessed Contact, 3/8 </t>
    </r>
  </si>
  <si>
    <r>
      <rPr>
        <sz val="10"/>
        <rFont val="Times New Roman"/>
        <family val="1"/>
      </rPr>
      <t xml:space="preserve">9-73-0082 </t>
    </r>
  </si>
  <si>
    <r>
      <rPr>
        <sz val="10"/>
        <rFont val="Times New Roman"/>
        <family val="1"/>
      </rPr>
      <t xml:space="preserve">Switch, Recessed Contact, 1/4 </t>
    </r>
  </si>
  <si>
    <r>
      <rPr>
        <sz val="10"/>
        <rFont val="Times New Roman"/>
        <family val="1"/>
      </rPr>
      <t xml:space="preserve">9-73-0087 </t>
    </r>
  </si>
  <si>
    <r>
      <rPr>
        <sz val="10"/>
        <rFont val="Times New Roman"/>
        <family val="1"/>
      </rPr>
      <t xml:space="preserve">Switch, Press Wall, 4-1/2" X 4-1/2", HC Logo </t>
    </r>
  </si>
  <si>
    <r>
      <rPr>
        <sz val="10"/>
        <rFont val="Times New Roman"/>
        <family val="1"/>
      </rPr>
      <t xml:space="preserve">9-73-0088 </t>
    </r>
  </si>
  <si>
    <r>
      <rPr>
        <sz val="10"/>
        <rFont val="Times New Roman"/>
        <family val="1"/>
      </rPr>
      <t xml:space="preserve">Push Plate, Simpleswing BEA 10PBS45-690 </t>
    </r>
  </si>
  <si>
    <r>
      <rPr>
        <sz val="10"/>
        <rFont val="Times New Roman"/>
        <family val="1"/>
      </rPr>
      <t xml:space="preserve">$182.00 </t>
    </r>
  </si>
  <si>
    <r>
      <rPr>
        <sz val="10"/>
        <rFont val="Times New Roman"/>
        <family val="1"/>
      </rPr>
      <t xml:space="preserve">9-73-0092 </t>
    </r>
  </si>
  <si>
    <r>
      <rPr>
        <sz val="10"/>
        <rFont val="Times New Roman"/>
        <family val="1"/>
      </rPr>
      <t xml:space="preserve">Receiver, Remote Activation </t>
    </r>
  </si>
  <si>
    <r>
      <rPr>
        <sz val="10"/>
        <rFont val="Times New Roman"/>
        <family val="1"/>
      </rPr>
      <t xml:space="preserve">9-73-0104 </t>
    </r>
  </si>
  <si>
    <r>
      <rPr>
        <sz val="10"/>
        <rFont val="Times New Roman"/>
        <family val="1"/>
      </rPr>
      <t xml:space="preserve">Kit, PWS/Transmitter/Receiver (MS Sedco)*DROP SHIP ITEM </t>
    </r>
  </si>
  <si>
    <r>
      <rPr>
        <sz val="10"/>
        <rFont val="Times New Roman"/>
        <family val="1"/>
      </rPr>
      <t xml:space="preserve">$1,172.00 </t>
    </r>
  </si>
  <si>
    <r>
      <rPr>
        <sz val="10"/>
        <rFont val="Times New Roman"/>
        <family val="1"/>
      </rPr>
      <t xml:space="preserve">9-79-0008 </t>
    </r>
  </si>
  <si>
    <r>
      <rPr>
        <sz val="10"/>
        <rFont val="Times New Roman"/>
        <family val="1"/>
      </rPr>
      <t xml:space="preserve">Filter, Powerline, 120/250VAC, 3A  70185912 </t>
    </r>
  </si>
  <si>
    <r>
      <rPr>
        <sz val="10"/>
        <rFont val="Times New Roman"/>
        <family val="1"/>
      </rPr>
      <t xml:space="preserve">$253.00 </t>
    </r>
  </si>
  <si>
    <r>
      <rPr>
        <sz val="10"/>
        <rFont val="Times New Roman"/>
        <family val="1"/>
      </rPr>
      <t xml:space="preserve">9-80-0006 </t>
    </r>
  </si>
  <si>
    <r>
      <rPr>
        <sz val="10"/>
        <rFont val="Times New Roman"/>
        <family val="1"/>
      </rPr>
      <t xml:space="preserve">$175.00 </t>
    </r>
  </si>
  <si>
    <r>
      <rPr>
        <sz val="10"/>
        <rFont val="Times New Roman"/>
        <family val="1"/>
      </rPr>
      <t xml:space="preserve">9-80-0007 </t>
    </r>
  </si>
  <si>
    <r>
      <rPr>
        <sz val="10"/>
        <rFont val="Times New Roman"/>
        <family val="1"/>
      </rPr>
      <t xml:space="preserve">9-80-0008 </t>
    </r>
  </si>
  <si>
    <r>
      <rPr>
        <sz val="10"/>
        <rFont val="Times New Roman"/>
        <family val="1"/>
      </rPr>
      <t xml:space="preserve">9-80-0009 </t>
    </r>
  </si>
  <si>
    <r>
      <rPr>
        <sz val="10"/>
        <rFont val="Times New Roman"/>
        <family val="1"/>
      </rPr>
      <t xml:space="preserve">Harness, Power Supply (Series 8000 Operator) </t>
    </r>
  </si>
  <si>
    <r>
      <rPr>
        <sz val="10"/>
        <rFont val="Times New Roman"/>
        <family val="1"/>
      </rPr>
      <t xml:space="preserve">9-80-0011 </t>
    </r>
  </si>
  <si>
    <r>
      <rPr>
        <sz val="10"/>
        <rFont val="Times New Roman"/>
        <family val="1"/>
      </rPr>
      <t xml:space="preserve">9-80-0017 </t>
    </r>
  </si>
  <si>
    <r>
      <rPr>
        <sz val="10"/>
        <rFont val="Times New Roman"/>
        <family val="1"/>
      </rPr>
      <t xml:space="preserve">Door Position Switch </t>
    </r>
  </si>
  <si>
    <r>
      <rPr>
        <sz val="10"/>
        <rFont val="Times New Roman"/>
        <family val="1"/>
      </rPr>
      <t xml:space="preserve">9-80-0018 </t>
    </r>
  </si>
  <si>
    <r>
      <rPr>
        <sz val="10"/>
        <rFont val="Times New Roman"/>
        <family val="1"/>
      </rPr>
      <t xml:space="preserve">Disk, Encoder (Metal) </t>
    </r>
  </si>
  <si>
    <r>
      <rPr>
        <sz val="8"/>
        <rFont val="Times New Roman"/>
        <family val="1"/>
      </rPr>
      <t xml:space="preserve">Page 17 of  21 </t>
    </r>
  </si>
  <si>
    <r>
      <rPr>
        <sz val="10"/>
        <rFont val="Times New Roman"/>
        <family val="1"/>
      </rPr>
      <t xml:space="preserve">9-80-0020 </t>
    </r>
  </si>
  <si>
    <r>
      <rPr>
        <sz val="10"/>
        <rFont val="Times New Roman"/>
        <family val="1"/>
      </rPr>
      <t xml:space="preserve">Harness, Encoder (RJ-11 Conn.) </t>
    </r>
  </si>
  <si>
    <r>
      <rPr>
        <sz val="10"/>
        <rFont val="Times New Roman"/>
        <family val="1"/>
      </rPr>
      <t xml:space="preserve">9-80-0022 </t>
    </r>
  </si>
  <si>
    <r>
      <rPr>
        <sz val="10"/>
        <rFont val="Times New Roman"/>
        <family val="1"/>
      </rPr>
      <t xml:space="preserve">Enclosure, Encoder (RJ-11 Encoder Connector) </t>
    </r>
  </si>
  <si>
    <r>
      <rPr>
        <sz val="10"/>
        <rFont val="Times New Roman"/>
        <family val="1"/>
      </rPr>
      <t xml:space="preserve">9-80-0023 </t>
    </r>
  </si>
  <si>
    <r>
      <rPr>
        <sz val="10"/>
        <rFont val="Times New Roman"/>
        <family val="1"/>
      </rPr>
      <t xml:space="preserve">Cover, Encoder - Snap-on (RJ-11 Encoder Connector) </t>
    </r>
  </si>
  <si>
    <r>
      <rPr>
        <sz val="10"/>
        <rFont val="Times New Roman"/>
        <family val="1"/>
      </rPr>
      <t xml:space="preserve">9-80-0101 </t>
    </r>
  </si>
  <si>
    <r>
      <rPr>
        <sz val="10"/>
        <rFont val="Times New Roman"/>
        <family val="1"/>
      </rPr>
      <t xml:space="preserve">Drive Module w/ Control S8000 (SN) </t>
    </r>
  </si>
  <si>
    <r>
      <rPr>
        <sz val="10"/>
        <rFont val="Times New Roman"/>
        <family val="1"/>
      </rPr>
      <t xml:space="preserve">$4,212.00 </t>
    </r>
  </si>
  <si>
    <r>
      <rPr>
        <sz val="10"/>
        <rFont val="Times New Roman"/>
        <family val="1"/>
      </rPr>
      <t xml:space="preserve">9-80-0102 </t>
    </r>
  </si>
  <si>
    <r>
      <rPr>
        <sz val="10"/>
        <rFont val="Times New Roman"/>
        <family val="1"/>
      </rPr>
      <t xml:space="preserve">Power Supply (DFA) </t>
    </r>
  </si>
  <si>
    <r>
      <rPr>
        <sz val="10"/>
        <rFont val="Times New Roman"/>
        <family val="1"/>
      </rPr>
      <t xml:space="preserve">$923.00 </t>
    </r>
  </si>
  <si>
    <r>
      <rPr>
        <sz val="10"/>
        <rFont val="Times New Roman"/>
        <family val="1"/>
      </rPr>
      <t xml:space="preserve">9-80-0103 </t>
    </r>
  </si>
  <si>
    <r>
      <rPr>
        <sz val="10"/>
        <rFont val="Times New Roman"/>
        <family val="1"/>
      </rPr>
      <t xml:space="preserve">Kit, Hard Stop </t>
    </r>
  </si>
  <si>
    <r>
      <rPr>
        <sz val="10"/>
        <rFont val="Times New Roman"/>
        <family val="1"/>
      </rPr>
      <t xml:space="preserve">9-80-0106 </t>
    </r>
  </si>
  <si>
    <r>
      <rPr>
        <sz val="10"/>
        <rFont val="Times New Roman"/>
        <family val="1"/>
      </rPr>
      <t xml:space="preserve">Kit, Rocker Switch Ass'y. w/Cable </t>
    </r>
  </si>
  <si>
    <r>
      <rPr>
        <sz val="10"/>
        <rFont val="Times New Roman"/>
        <family val="1"/>
      </rPr>
      <t xml:space="preserve">$257.00 </t>
    </r>
  </si>
  <si>
    <r>
      <rPr>
        <sz val="10"/>
        <rFont val="Times New Roman"/>
        <family val="1"/>
      </rPr>
      <t xml:space="preserve">9-80-0107 </t>
    </r>
  </si>
  <si>
    <r>
      <rPr>
        <sz val="10"/>
        <rFont val="Times New Roman"/>
        <family val="1"/>
      </rPr>
      <t xml:space="preserve">Adaptor, Offset Slide Arm, CL </t>
    </r>
  </si>
  <si>
    <r>
      <rPr>
        <sz val="10"/>
        <rFont val="Times New Roman"/>
        <family val="1"/>
      </rPr>
      <t xml:space="preserve">$321.00 </t>
    </r>
  </si>
  <si>
    <r>
      <rPr>
        <sz val="10"/>
        <rFont val="Times New Roman"/>
        <family val="1"/>
      </rPr>
      <t xml:space="preserve">9-80-0109 </t>
    </r>
  </si>
  <si>
    <r>
      <rPr>
        <sz val="10"/>
        <rFont val="Times New Roman"/>
        <family val="1"/>
      </rPr>
      <t xml:space="preserve">PCB Assembly, Encoder (Blue Connector) </t>
    </r>
  </si>
  <si>
    <r>
      <rPr>
        <sz val="10"/>
        <rFont val="Times New Roman"/>
        <family val="1"/>
      </rPr>
      <t xml:space="preserve">9-80-0113 </t>
    </r>
  </si>
  <si>
    <r>
      <rPr>
        <sz val="10"/>
        <rFont val="Times New Roman"/>
        <family val="1"/>
      </rPr>
      <t xml:space="preserve">Motor PCB, with Breakout </t>
    </r>
  </si>
  <si>
    <r>
      <rPr>
        <sz val="10"/>
        <rFont val="Times New Roman"/>
        <family val="1"/>
      </rPr>
      <t xml:space="preserve">$272.00 </t>
    </r>
  </si>
  <si>
    <r>
      <rPr>
        <sz val="10"/>
        <rFont val="Times New Roman"/>
        <family val="1"/>
      </rPr>
      <t xml:space="preserve">9-80-0115 </t>
    </r>
  </si>
  <si>
    <r>
      <rPr>
        <sz val="10"/>
        <rFont val="Times New Roman"/>
        <family val="1"/>
      </rPr>
      <t xml:space="preserve">PCB Ass'y., Encoder (RJ-11 Encoder Connector) </t>
    </r>
  </si>
  <si>
    <r>
      <rPr>
        <sz val="10"/>
        <rFont val="Times New Roman"/>
        <family val="1"/>
      </rPr>
      <t xml:space="preserve">9-80-0201 </t>
    </r>
  </si>
  <si>
    <r>
      <rPr>
        <sz val="10"/>
        <rFont val="Times New Roman"/>
        <family val="1"/>
      </rPr>
      <t xml:space="preserve">Drive Module w/Control S8000 w/Brake                   (SN) </t>
    </r>
  </si>
  <si>
    <r>
      <rPr>
        <sz val="10"/>
        <rFont val="Times New Roman"/>
        <family val="1"/>
      </rPr>
      <t xml:space="preserve">$5,495.00 </t>
    </r>
  </si>
  <si>
    <r>
      <rPr>
        <sz val="10"/>
        <rFont val="Times New Roman"/>
        <family val="1"/>
      </rPr>
      <t xml:space="preserve">9-81-3000-36 </t>
    </r>
  </si>
  <si>
    <r>
      <rPr>
        <sz val="10"/>
        <rFont val="Times New Roman"/>
        <family val="1"/>
      </rPr>
      <t xml:space="preserve">Stainless Cover, 8100, sloped 36" DOW ***DNU*** </t>
    </r>
  </si>
  <si>
    <r>
      <rPr>
        <sz val="10"/>
        <rFont val="Times New Roman"/>
        <family val="1"/>
      </rPr>
      <t xml:space="preserve">$1,910.00 </t>
    </r>
  </si>
  <si>
    <r>
      <rPr>
        <sz val="10"/>
        <rFont val="Times New Roman"/>
        <family val="1"/>
      </rPr>
      <t xml:space="preserve">9-81-3000-60 </t>
    </r>
  </si>
  <si>
    <r>
      <rPr>
        <sz val="10"/>
        <rFont val="Times New Roman"/>
        <family val="1"/>
      </rPr>
      <t xml:space="preserve">Stainless Cover, 8100, Sloped 60" DOW ***DNU** </t>
    </r>
  </si>
  <si>
    <r>
      <rPr>
        <sz val="10"/>
        <rFont val="Times New Roman"/>
        <family val="1"/>
      </rPr>
      <t xml:space="preserve">$2,705.00 </t>
    </r>
  </si>
  <si>
    <r>
      <rPr>
        <sz val="10"/>
        <rFont val="Times New Roman"/>
        <family val="1"/>
      </rPr>
      <t xml:space="preserve">9-81-3000-72 </t>
    </r>
  </si>
  <si>
    <r>
      <rPr>
        <sz val="10"/>
        <rFont val="Times New Roman"/>
        <family val="1"/>
      </rPr>
      <t xml:space="preserve">Stainless Cover. 8100, Sloped 72" DOW **DROPSHIP ITEM** </t>
    </r>
  </si>
  <si>
    <r>
      <rPr>
        <sz val="10"/>
        <rFont val="Times New Roman"/>
        <family val="1"/>
      </rPr>
      <t xml:space="preserve">9-81-3000-CS </t>
    </r>
  </si>
  <si>
    <r>
      <rPr>
        <sz val="10"/>
        <rFont val="Times New Roman"/>
        <family val="1"/>
      </rPr>
      <t xml:space="preserve">SS Sloped Cover, 8100, Custom Size **DNU </t>
    </r>
  </si>
  <si>
    <r>
      <rPr>
        <sz val="10"/>
        <rFont val="Times New Roman"/>
        <family val="1"/>
      </rPr>
      <t xml:space="preserve">9-81-3001-36 </t>
    </r>
  </si>
  <si>
    <r>
      <rPr>
        <sz val="10"/>
        <rFont val="Times New Roman"/>
        <family val="1"/>
      </rPr>
      <t xml:space="preserve">Stainless Cover,8100,Flush 36" ***DROPSHIP ONLY*** NO CUTOUT </t>
    </r>
  </si>
  <si>
    <r>
      <rPr>
        <sz val="10"/>
        <rFont val="Times New Roman"/>
        <family val="1"/>
      </rPr>
      <t xml:space="preserve">9-81-3001-42 </t>
    </r>
  </si>
  <si>
    <r>
      <rPr>
        <sz val="10"/>
        <rFont val="Times New Roman"/>
        <family val="1"/>
      </rPr>
      <t xml:space="preserve">Stainless Cover, 81, Flush 42" ***DROPSHIP ONLY*** NO CUTOUT </t>
    </r>
  </si>
  <si>
    <r>
      <rPr>
        <sz val="10"/>
        <rFont val="Times New Roman"/>
        <family val="1"/>
      </rPr>
      <t xml:space="preserve">9-81-3001-48 </t>
    </r>
  </si>
  <si>
    <r>
      <rPr>
        <sz val="10"/>
        <rFont val="Times New Roman"/>
        <family val="1"/>
      </rPr>
      <t xml:space="preserve">Stainless Cover,81, Flush 48" ***DROPSHIP ONLY*** NO CUTOUT </t>
    </r>
  </si>
  <si>
    <r>
      <rPr>
        <sz val="10"/>
        <rFont val="Times New Roman"/>
        <family val="1"/>
      </rPr>
      <t xml:space="preserve">9-81-3001-54 </t>
    </r>
  </si>
  <si>
    <r>
      <rPr>
        <sz val="10"/>
        <rFont val="Times New Roman"/>
        <family val="1"/>
      </rPr>
      <t xml:space="preserve">Stainless Cover, 81, Flush 54" ***DROPSHIP ONLY*** NO CUTOUT </t>
    </r>
  </si>
  <si>
    <r>
      <rPr>
        <sz val="10"/>
        <rFont val="Times New Roman"/>
        <family val="1"/>
      </rPr>
      <t xml:space="preserve">9-81-3001-60 </t>
    </r>
  </si>
  <si>
    <r>
      <rPr>
        <sz val="10"/>
        <rFont val="Times New Roman"/>
        <family val="1"/>
      </rPr>
      <t xml:space="preserve">Stainless Cover, 81, Flush 60" ***DROPSHIP ONLY*** NO CUTOUT </t>
    </r>
  </si>
  <si>
    <r>
      <rPr>
        <sz val="10"/>
        <rFont val="Times New Roman"/>
        <family val="1"/>
      </rPr>
      <t xml:space="preserve">9-81-3001-72 </t>
    </r>
  </si>
  <si>
    <r>
      <rPr>
        <sz val="10"/>
        <rFont val="Times New Roman"/>
        <family val="1"/>
      </rPr>
      <t xml:space="preserve">Stainless Cover, 81, Flush 72" ***DROPSHIP ONLY*** NO CUTOUT </t>
    </r>
  </si>
  <si>
    <r>
      <rPr>
        <sz val="10"/>
        <rFont val="Times New Roman"/>
        <family val="1"/>
      </rPr>
      <t xml:space="preserve">$2,750.00 </t>
    </r>
  </si>
  <si>
    <r>
      <rPr>
        <sz val="10"/>
        <rFont val="Times New Roman"/>
        <family val="1"/>
      </rPr>
      <t xml:space="preserve">9-81-3001-96 </t>
    </r>
  </si>
  <si>
    <r>
      <rPr>
        <sz val="10"/>
        <rFont val="Times New Roman"/>
        <family val="1"/>
      </rPr>
      <t xml:space="preserve">Stainless Cover, 81, Flush 96" ***DROPSHIP ONLY*** NO CUTOUT </t>
    </r>
  </si>
  <si>
    <r>
      <rPr>
        <sz val="10"/>
        <rFont val="Times New Roman"/>
        <family val="1"/>
      </rPr>
      <t xml:space="preserve">9-81-3001-CS </t>
    </r>
  </si>
  <si>
    <r>
      <rPr>
        <sz val="10"/>
        <rFont val="Times New Roman"/>
        <family val="1"/>
      </rPr>
      <t xml:space="preserve">SS Sloped Cover, 8100, Custom Size - No Cutout *DROP SHIP* </t>
    </r>
  </si>
  <si>
    <r>
      <rPr>
        <sz val="10"/>
        <rFont val="Times New Roman"/>
        <family val="1"/>
      </rPr>
      <t xml:space="preserve">9-81-3002-36 </t>
    </r>
  </si>
  <si>
    <r>
      <rPr>
        <sz val="10"/>
        <rFont val="Times New Roman"/>
        <family val="1"/>
      </rPr>
      <t xml:space="preserve">SS Cover,8100, Flush W/notch **DROPSHIP ONLY** Rev C </t>
    </r>
  </si>
  <si>
    <r>
      <rPr>
        <sz val="10"/>
        <rFont val="Times New Roman"/>
        <family val="1"/>
      </rPr>
      <t xml:space="preserve">9-81-3002-42 </t>
    </r>
  </si>
  <si>
    <r>
      <rPr>
        <sz val="10"/>
        <rFont val="Times New Roman"/>
        <family val="1"/>
      </rPr>
      <t xml:space="preserve">9-81-3002-48 </t>
    </r>
  </si>
  <si>
    <r>
      <rPr>
        <sz val="10"/>
        <rFont val="Times New Roman"/>
        <family val="1"/>
      </rPr>
      <t xml:space="preserve">SS Cover,8100,Flush W/notch **DROPSHIP ONLY**  Rev C </t>
    </r>
  </si>
  <si>
    <r>
      <rPr>
        <sz val="10"/>
        <rFont val="Times New Roman"/>
        <family val="1"/>
      </rPr>
      <t xml:space="preserve">9-81-3002-54 </t>
    </r>
  </si>
  <si>
    <r>
      <rPr>
        <sz val="10"/>
        <rFont val="Times New Roman"/>
        <family val="1"/>
      </rPr>
      <t xml:space="preserve">SS Cover,8100,Flush W/Notch **DROPSHIP ONLY** Rev C </t>
    </r>
  </si>
  <si>
    <r>
      <rPr>
        <sz val="10"/>
        <rFont val="Times New Roman"/>
        <family val="1"/>
      </rPr>
      <t xml:space="preserve">9-81-3002-60 </t>
    </r>
  </si>
  <si>
    <r>
      <rPr>
        <sz val="10"/>
        <rFont val="Times New Roman"/>
        <family val="1"/>
      </rPr>
      <t xml:space="preserve">SS Cover,8100, Flush w/notch *DROPSHIP ONLY*  Rev C </t>
    </r>
  </si>
  <si>
    <r>
      <rPr>
        <sz val="10"/>
        <rFont val="Times New Roman"/>
        <family val="1"/>
      </rPr>
      <t xml:space="preserve">9-81-3002-72 </t>
    </r>
  </si>
  <si>
    <r>
      <rPr>
        <sz val="10"/>
        <rFont val="Times New Roman"/>
        <family val="1"/>
      </rPr>
      <t xml:space="preserve">SS Cover,8100, Flush w/notch **DROPSHIP ONLY** Rev C </t>
    </r>
  </si>
  <si>
    <r>
      <rPr>
        <sz val="10"/>
        <rFont val="Times New Roman"/>
        <family val="1"/>
      </rPr>
      <t xml:space="preserve">9-81-3002-96 </t>
    </r>
  </si>
  <si>
    <r>
      <rPr>
        <sz val="10"/>
        <rFont val="Times New Roman"/>
        <family val="1"/>
      </rPr>
      <t xml:space="preserve">9-81-3002-CS </t>
    </r>
  </si>
  <si>
    <r>
      <rPr>
        <sz val="10"/>
        <rFont val="Times New Roman"/>
        <family val="1"/>
      </rPr>
      <t xml:space="preserve">SS Sloped Cover, 8100 w/ Notch Custom Size *DROP SHIP* </t>
    </r>
  </si>
  <si>
    <r>
      <rPr>
        <sz val="10"/>
        <rFont val="Times New Roman"/>
        <family val="1"/>
      </rPr>
      <t xml:space="preserve">9-81-4120 </t>
    </r>
  </si>
  <si>
    <r>
      <rPr>
        <sz val="10"/>
        <rFont val="Times New Roman"/>
        <family val="1"/>
      </rPr>
      <t xml:space="preserve">Clean Switch, Optex, Black </t>
    </r>
  </si>
  <si>
    <r>
      <rPr>
        <sz val="10"/>
        <rFont val="Times New Roman"/>
        <family val="1"/>
      </rPr>
      <t xml:space="preserve">$750.00 </t>
    </r>
  </si>
  <si>
    <r>
      <rPr>
        <sz val="10"/>
        <rFont val="Times New Roman"/>
        <family val="1"/>
      </rPr>
      <t xml:space="preserve">9-87-0112 </t>
    </r>
  </si>
  <si>
    <r>
      <rPr>
        <sz val="10"/>
        <rFont val="Times New Roman"/>
        <family val="1"/>
      </rPr>
      <t xml:space="preserve">Cable, 8 Conductor 20 AWG Harness Lock 4500 </t>
    </r>
  </si>
  <si>
    <r>
      <rPr>
        <sz val="10"/>
        <rFont val="Times New Roman"/>
        <family val="1"/>
      </rPr>
      <t xml:space="preserve">$1,262.00 </t>
    </r>
  </si>
  <si>
    <r>
      <rPr>
        <sz val="10"/>
        <rFont val="Times New Roman"/>
        <family val="1"/>
      </rPr>
      <t xml:space="preserve">9-87-0115 </t>
    </r>
  </si>
  <si>
    <r>
      <rPr>
        <sz val="10"/>
        <rFont val="Times New Roman"/>
        <family val="1"/>
      </rPr>
      <t xml:space="preserve">Cable, 22 AWG, 2 Pair Twisted (Black-Red, White-Green) </t>
    </r>
  </si>
  <si>
    <r>
      <rPr>
        <sz val="10"/>
        <rFont val="Times New Roman"/>
        <family val="1"/>
      </rPr>
      <t xml:space="preserve">9-90-0000 </t>
    </r>
  </si>
  <si>
    <r>
      <rPr>
        <sz val="10"/>
        <rFont val="Times New Roman"/>
        <family val="1"/>
      </rPr>
      <t xml:space="preserve">Pivot, Bottom Center, OHC </t>
    </r>
  </si>
  <si>
    <r>
      <rPr>
        <sz val="10"/>
        <rFont val="Times New Roman"/>
        <family val="1"/>
      </rPr>
      <t xml:space="preserve">9-90-0002-CL </t>
    </r>
  </si>
  <si>
    <r>
      <rPr>
        <sz val="10"/>
        <rFont val="Times New Roman"/>
        <family val="1"/>
      </rPr>
      <t xml:space="preserve">Guide Rail, 36" H X 36" L (W/Single Bar) </t>
    </r>
  </si>
  <si>
    <r>
      <rPr>
        <sz val="10"/>
        <rFont val="Times New Roman"/>
        <family val="1"/>
      </rPr>
      <t xml:space="preserve">PAIR </t>
    </r>
  </si>
  <si>
    <r>
      <rPr>
        <sz val="10"/>
        <rFont val="Times New Roman"/>
        <family val="1"/>
      </rPr>
      <t xml:space="preserve">$1,411.00 </t>
    </r>
  </si>
  <si>
    <r>
      <rPr>
        <sz val="10"/>
        <rFont val="Times New Roman"/>
        <family val="1"/>
      </rPr>
      <t xml:space="preserve">9-90-0002-DB </t>
    </r>
  </si>
  <si>
    <r>
      <rPr>
        <sz val="10"/>
        <rFont val="Times New Roman"/>
        <family val="1"/>
      </rPr>
      <t xml:space="preserve">Guide Rail, 36" H x 36" L (w/ single bar) </t>
    </r>
  </si>
  <si>
    <r>
      <rPr>
        <sz val="10"/>
        <rFont val="Times New Roman"/>
        <family val="1"/>
      </rPr>
      <t xml:space="preserve">$1,477.00 </t>
    </r>
  </si>
  <si>
    <r>
      <rPr>
        <sz val="10"/>
        <rFont val="Times New Roman"/>
        <family val="1"/>
      </rPr>
      <t xml:space="preserve">9-99-0042 </t>
    </r>
  </si>
  <si>
    <r>
      <rPr>
        <sz val="10"/>
        <rFont val="Times New Roman"/>
        <family val="1"/>
      </rPr>
      <t xml:space="preserve">Key, Operating (for Schlage I/C Core w/Green Face) </t>
    </r>
  </si>
  <si>
    <r>
      <rPr>
        <sz val="10"/>
        <rFont val="Times New Roman"/>
        <family val="1"/>
      </rPr>
      <t xml:space="preserve">9-99-0051-CL </t>
    </r>
  </si>
  <si>
    <r>
      <rPr>
        <sz val="10"/>
        <rFont val="Times New Roman"/>
        <family val="1"/>
      </rPr>
      <t xml:space="preserve">Faceplate, Blank (Keyed F/B) </t>
    </r>
  </si>
  <si>
    <r>
      <rPr>
        <sz val="10"/>
        <rFont val="Times New Roman"/>
        <family val="1"/>
      </rPr>
      <t xml:space="preserve">9-99-0053 </t>
    </r>
  </si>
  <si>
    <r>
      <rPr>
        <sz val="10"/>
        <rFont val="Times New Roman"/>
        <family val="1"/>
      </rPr>
      <t xml:space="preserve">Guide, Manual Flushbolt </t>
    </r>
  </si>
  <si>
    <r>
      <rPr>
        <sz val="10"/>
        <rFont val="Times New Roman"/>
        <family val="1"/>
      </rPr>
      <t xml:space="preserve">9-99-0064-CL </t>
    </r>
  </si>
  <si>
    <r>
      <rPr>
        <sz val="10"/>
        <rFont val="Times New Roman"/>
        <family val="1"/>
      </rPr>
      <t xml:space="preserve">Cylinder, Keyed (KA-50) Clear Anodized </t>
    </r>
  </si>
  <si>
    <r>
      <rPr>
        <sz val="10"/>
        <rFont val="Times New Roman"/>
        <family val="1"/>
      </rPr>
      <t xml:space="preserve">9-99-0064-DB </t>
    </r>
  </si>
  <si>
    <r>
      <rPr>
        <sz val="10"/>
        <rFont val="Times New Roman"/>
        <family val="1"/>
      </rPr>
      <t xml:space="preserve">Cylinder, Keyed (KA-50) Dark Bronze Anodized </t>
    </r>
  </si>
  <si>
    <r>
      <rPr>
        <sz val="10"/>
        <rFont val="Times New Roman"/>
        <family val="1"/>
      </rPr>
      <t xml:space="preserve">9-99-0067 </t>
    </r>
  </si>
  <si>
    <r>
      <rPr>
        <sz val="10"/>
        <rFont val="Times New Roman"/>
        <family val="1"/>
      </rPr>
      <t xml:space="preserve">Flushbolt, Cylinder Operated (31/32" Backset) </t>
    </r>
  </si>
  <si>
    <r>
      <rPr>
        <sz val="10"/>
        <rFont val="Times New Roman"/>
        <family val="1"/>
      </rPr>
      <t xml:space="preserve">$232.00 </t>
    </r>
  </si>
  <si>
    <r>
      <rPr>
        <sz val="10"/>
        <rFont val="Times New Roman"/>
        <family val="1"/>
      </rPr>
      <t xml:space="preserve">9-99-0069-CL </t>
    </r>
  </si>
  <si>
    <r>
      <rPr>
        <sz val="10"/>
        <rFont val="Times New Roman"/>
        <family val="1"/>
      </rPr>
      <t xml:space="preserve">Thumbturn, Clear Anodized </t>
    </r>
  </si>
  <si>
    <r>
      <rPr>
        <sz val="10"/>
        <rFont val="Times New Roman"/>
        <family val="1"/>
      </rPr>
      <t xml:space="preserve">9-99-0069-DB </t>
    </r>
  </si>
  <si>
    <r>
      <rPr>
        <sz val="10"/>
        <rFont val="Times New Roman"/>
        <family val="1"/>
      </rPr>
      <t xml:space="preserve">Thumbturn, Dark Bronze Anodize </t>
    </r>
  </si>
  <si>
    <r>
      <rPr>
        <sz val="10"/>
        <rFont val="Times New Roman"/>
        <family val="1"/>
      </rPr>
      <t xml:space="preserve">9-99-0071-CL </t>
    </r>
  </si>
  <si>
    <r>
      <rPr>
        <sz val="10"/>
        <rFont val="Times New Roman"/>
        <family val="1"/>
      </rPr>
      <t xml:space="preserve">Deadlock, Hookbolt (1-1/8" Backset), Clear Anodized </t>
    </r>
  </si>
  <si>
    <r>
      <rPr>
        <sz val="8"/>
        <rFont val="Times New Roman"/>
        <family val="1"/>
      </rPr>
      <t xml:space="preserve">Page 18 of  21 </t>
    </r>
  </si>
  <si>
    <r>
      <rPr>
        <sz val="10"/>
        <rFont val="Times New Roman"/>
        <family val="1"/>
      </rPr>
      <t xml:space="preserve">9-99-0072-CL </t>
    </r>
  </si>
  <si>
    <r>
      <rPr>
        <sz val="10"/>
        <rFont val="Times New Roman"/>
        <family val="1"/>
      </rPr>
      <t xml:space="preserve">Cylinder, Dummy </t>
    </r>
  </si>
  <si>
    <r>
      <rPr>
        <sz val="10"/>
        <rFont val="Times New Roman"/>
        <family val="1"/>
      </rPr>
      <t xml:space="preserve">9-99-0072-DB </t>
    </r>
  </si>
  <si>
    <r>
      <rPr>
        <sz val="10"/>
        <rFont val="Times New Roman"/>
        <family val="1"/>
      </rPr>
      <t xml:space="preserve">9-99-0073-CL </t>
    </r>
  </si>
  <si>
    <r>
      <rPr>
        <sz val="10"/>
        <rFont val="Times New Roman"/>
        <family val="1"/>
      </rPr>
      <t xml:space="preserve">Flushbolt, Manual, Clear Anodized </t>
    </r>
  </si>
  <si>
    <r>
      <rPr>
        <sz val="10"/>
        <rFont val="Times New Roman"/>
        <family val="1"/>
      </rPr>
      <t xml:space="preserve">9-99-0073-DB </t>
    </r>
  </si>
  <si>
    <r>
      <rPr>
        <sz val="10"/>
        <rFont val="Times New Roman"/>
        <family val="1"/>
      </rPr>
      <t xml:space="preserve">Flushbolt, Manual, Dark Bronze Anodized </t>
    </r>
  </si>
  <si>
    <r>
      <rPr>
        <sz val="10"/>
        <rFont val="Times New Roman"/>
        <family val="1"/>
      </rPr>
      <t xml:space="preserve">9-99-0074 </t>
    </r>
  </si>
  <si>
    <r>
      <rPr>
        <sz val="10"/>
        <rFont val="Times New Roman"/>
        <family val="1"/>
      </rPr>
      <t xml:space="preserve">Bolt, Threshold </t>
    </r>
  </si>
  <si>
    <r>
      <rPr>
        <sz val="10"/>
        <rFont val="Times New Roman"/>
        <family val="1"/>
      </rPr>
      <t xml:space="preserve">$82.00 </t>
    </r>
  </si>
  <si>
    <r>
      <rPr>
        <sz val="10"/>
        <rFont val="Times New Roman"/>
        <family val="1"/>
      </rPr>
      <t xml:space="preserve">9-99-0076 </t>
    </r>
  </si>
  <si>
    <r>
      <rPr>
        <sz val="10"/>
        <rFont val="Times New Roman"/>
        <family val="1"/>
      </rPr>
      <t xml:space="preserve">Header Bolt Set (31/32" B/Set) </t>
    </r>
  </si>
  <si>
    <r>
      <rPr>
        <sz val="10"/>
        <rFont val="Times New Roman"/>
        <family val="1"/>
      </rPr>
      <t xml:space="preserve">$152.00 </t>
    </r>
  </si>
  <si>
    <r>
      <rPr>
        <sz val="10"/>
        <rFont val="Times New Roman"/>
        <family val="1"/>
      </rPr>
      <t xml:space="preserve">9-99-0083 </t>
    </r>
  </si>
  <si>
    <r>
      <rPr>
        <sz val="10"/>
        <rFont val="Times New Roman"/>
        <family val="1"/>
      </rPr>
      <t xml:space="preserve">Fastener, Dual Lock Reclosable (Velcro-Type) </t>
    </r>
  </si>
  <si>
    <r>
      <rPr>
        <sz val="10"/>
        <rFont val="Times New Roman"/>
        <family val="1"/>
      </rPr>
      <t xml:space="preserve">9-99-0087-BL </t>
    </r>
  </si>
  <si>
    <r>
      <rPr>
        <sz val="10"/>
        <rFont val="Times New Roman"/>
        <family val="1"/>
      </rPr>
      <t xml:space="preserve">Exit Device, F86 Recess Mount </t>
    </r>
  </si>
  <si>
    <r>
      <rPr>
        <sz val="10"/>
        <rFont val="Times New Roman"/>
        <family val="1"/>
      </rPr>
      <t xml:space="preserve">$1,315.00 </t>
    </r>
  </si>
  <si>
    <r>
      <rPr>
        <sz val="10"/>
        <rFont val="Times New Roman"/>
        <family val="1"/>
      </rPr>
      <t xml:space="preserve">9-99-0088-BL </t>
    </r>
  </si>
  <si>
    <r>
      <rPr>
        <sz val="10"/>
        <rFont val="Times New Roman"/>
        <family val="1"/>
      </rPr>
      <t xml:space="preserve">Push Bar, F86 Exit Device 5' Stock Length </t>
    </r>
  </si>
  <si>
    <r>
      <rPr>
        <sz val="10"/>
        <rFont val="Times New Roman"/>
        <family val="1"/>
      </rPr>
      <t xml:space="preserve">$1,316.00 </t>
    </r>
  </si>
  <si>
    <r>
      <rPr>
        <sz val="10"/>
        <rFont val="Times New Roman"/>
        <family val="1"/>
      </rPr>
      <t xml:space="preserve">9-99-0094-BL </t>
    </r>
  </si>
  <si>
    <r>
      <rPr>
        <sz val="10"/>
        <rFont val="Times New Roman"/>
        <family val="1"/>
      </rPr>
      <t xml:space="preserve">Exit Device, G86 C.V.R. </t>
    </r>
  </si>
  <si>
    <r>
      <rPr>
        <sz val="10"/>
        <rFont val="Times New Roman"/>
        <family val="1"/>
      </rPr>
      <t xml:space="preserve">$1,107.00 </t>
    </r>
  </si>
  <si>
    <r>
      <rPr>
        <sz val="10"/>
        <rFont val="Times New Roman"/>
        <family val="1"/>
      </rPr>
      <t xml:space="preserve">9-99-0097 </t>
    </r>
  </si>
  <si>
    <r>
      <rPr>
        <sz val="10"/>
        <rFont val="Times New Roman"/>
        <family val="1"/>
      </rPr>
      <t xml:space="preserve">Lock, Bottom Rail (All Glass) </t>
    </r>
  </si>
  <si>
    <r>
      <rPr>
        <sz val="10"/>
        <rFont val="Times New Roman"/>
        <family val="1"/>
      </rPr>
      <t xml:space="preserve">$316.00 </t>
    </r>
  </si>
  <si>
    <r>
      <rPr>
        <sz val="10"/>
        <rFont val="Times New Roman"/>
        <family val="1"/>
      </rPr>
      <t xml:space="preserve">9-99-0113 </t>
    </r>
  </si>
  <si>
    <r>
      <rPr>
        <sz val="10"/>
        <rFont val="Times New Roman"/>
        <family val="1"/>
      </rPr>
      <t xml:space="preserve">Plunger, Spring Loaded Device </t>
    </r>
  </si>
  <si>
    <r>
      <rPr>
        <sz val="10"/>
        <rFont val="Times New Roman"/>
        <family val="1"/>
      </rPr>
      <t xml:space="preserve">9-99-0150 </t>
    </r>
  </si>
  <si>
    <r>
      <rPr>
        <sz val="10"/>
        <rFont val="Times New Roman"/>
        <family val="1"/>
      </rPr>
      <t xml:space="preserve">Bearing, Spherical </t>
    </r>
  </si>
  <si>
    <r>
      <rPr>
        <sz val="10"/>
        <rFont val="Times New Roman"/>
        <family val="1"/>
      </rPr>
      <t xml:space="preserve">$320.00 </t>
    </r>
  </si>
  <si>
    <r>
      <rPr>
        <sz val="10"/>
        <rFont val="Times New Roman"/>
        <family val="1"/>
      </rPr>
      <t xml:space="preserve">9-99-0232 </t>
    </r>
  </si>
  <si>
    <r>
      <rPr>
        <sz val="10"/>
        <rFont val="Times New Roman"/>
        <family val="1"/>
      </rPr>
      <t xml:space="preserve">Bearing, Flanged (Oilite) </t>
    </r>
  </si>
  <si>
    <r>
      <rPr>
        <sz val="10"/>
        <rFont val="Times New Roman"/>
        <family val="1"/>
      </rPr>
      <t xml:space="preserve">9-99-0233 </t>
    </r>
  </si>
  <si>
    <r>
      <rPr>
        <sz val="10"/>
        <rFont val="Times New Roman"/>
        <family val="1"/>
      </rPr>
      <t xml:space="preserve">9-99-0238 </t>
    </r>
  </si>
  <si>
    <r>
      <rPr>
        <sz val="10"/>
        <rFont val="Times New Roman"/>
        <family val="1"/>
      </rPr>
      <t xml:space="preserve">Bearing, Oilite </t>
    </r>
  </si>
  <si>
    <r>
      <rPr>
        <sz val="10"/>
        <rFont val="Times New Roman"/>
        <family val="1"/>
      </rPr>
      <t xml:space="preserve">9-99-0351 </t>
    </r>
  </si>
  <si>
    <r>
      <rPr>
        <sz val="10"/>
        <rFont val="Times New Roman"/>
        <family val="1"/>
      </rPr>
      <t xml:space="preserve">Clip, Sidelite Stop </t>
    </r>
  </si>
  <si>
    <r>
      <rPr>
        <sz val="10"/>
        <rFont val="Times New Roman"/>
        <family val="1"/>
      </rPr>
      <t xml:space="preserve">9-99-0462 </t>
    </r>
  </si>
  <si>
    <r>
      <rPr>
        <sz val="10"/>
        <rFont val="Times New Roman"/>
        <family val="1"/>
      </rPr>
      <t xml:space="preserve">Clip, Cord </t>
    </r>
  </si>
  <si>
    <r>
      <rPr>
        <sz val="10"/>
        <rFont val="Times New Roman"/>
        <family val="1"/>
      </rPr>
      <t xml:space="preserve">9-99-0783 </t>
    </r>
  </si>
  <si>
    <r>
      <rPr>
        <sz val="10"/>
        <rFont val="Times New Roman"/>
        <family val="1"/>
      </rPr>
      <t xml:space="preserve">Shorting Bridge - 5mm Terminal Blocks </t>
    </r>
  </si>
  <si>
    <r>
      <rPr>
        <sz val="10"/>
        <rFont val="Times New Roman"/>
        <family val="1"/>
      </rPr>
      <t xml:space="preserve">9-99-0784 </t>
    </r>
  </si>
  <si>
    <r>
      <rPr>
        <sz val="10"/>
        <rFont val="Times New Roman"/>
        <family val="1"/>
      </rPr>
      <t xml:space="preserve">Shorting Block - 0.1" C/L Posts </t>
    </r>
  </si>
  <si>
    <r>
      <rPr>
        <sz val="10"/>
        <rFont val="Times New Roman"/>
        <family val="1"/>
      </rPr>
      <t xml:space="preserve">9-99-1321 </t>
    </r>
  </si>
  <si>
    <r>
      <rPr>
        <sz val="10"/>
        <rFont val="Times New Roman"/>
        <family val="1"/>
      </rPr>
      <t xml:space="preserve">Control Panel - Display no cable no plug </t>
    </r>
  </si>
  <si>
    <r>
      <rPr>
        <sz val="10"/>
        <rFont val="Times New Roman"/>
        <family val="1"/>
      </rPr>
      <t xml:space="preserve">$748.00 </t>
    </r>
  </si>
  <si>
    <r>
      <rPr>
        <sz val="10"/>
        <rFont val="Times New Roman"/>
        <family val="1"/>
      </rPr>
      <t xml:space="preserve">9-99-1325 </t>
    </r>
  </si>
  <si>
    <r>
      <rPr>
        <sz val="10"/>
        <rFont val="Times New Roman"/>
        <family val="1"/>
      </rPr>
      <t xml:space="preserve">Control Ass'y - System 20 Check for Proper SOFTWARE **** </t>
    </r>
  </si>
  <si>
    <r>
      <rPr>
        <sz val="10"/>
        <rFont val="Times New Roman"/>
        <family val="1"/>
      </rPr>
      <t xml:space="preserve">$2,870.00 </t>
    </r>
  </si>
  <si>
    <r>
      <rPr>
        <sz val="10"/>
        <rFont val="Times New Roman"/>
        <family val="1"/>
      </rPr>
      <t xml:space="preserve">9-99-1326 </t>
    </r>
  </si>
  <si>
    <r>
      <rPr>
        <sz val="10"/>
        <rFont val="Times New Roman"/>
        <family val="1"/>
      </rPr>
      <t xml:space="preserve">Module, ZLP-ELS Safety Beam PCB-System 20 </t>
    </r>
  </si>
  <si>
    <r>
      <rPr>
        <sz val="10"/>
        <rFont val="Times New Roman"/>
        <family val="1"/>
      </rPr>
      <t xml:space="preserve">$459.00 </t>
    </r>
  </si>
  <si>
    <r>
      <rPr>
        <sz val="10"/>
        <rFont val="Times New Roman"/>
        <family val="1"/>
      </rPr>
      <t xml:space="preserve">9-99-1823 </t>
    </r>
  </si>
  <si>
    <r>
      <rPr>
        <sz val="10"/>
        <rFont val="Times New Roman"/>
        <family val="1"/>
      </rPr>
      <t xml:space="preserve">Screw, M8-1.25 x 16, Hex, CS, Zinc, Class 8.8 </t>
    </r>
  </si>
  <si>
    <r>
      <rPr>
        <sz val="10"/>
        <rFont val="Times New Roman"/>
        <family val="1"/>
      </rPr>
      <t xml:space="preserve">9-99-1824 </t>
    </r>
  </si>
  <si>
    <r>
      <rPr>
        <sz val="10"/>
        <rFont val="Times New Roman"/>
        <family val="1"/>
      </rPr>
      <t xml:space="preserve">Screw, 5/16-18 x 20, Hex, CS, Zinc, Class 8.8 </t>
    </r>
  </si>
  <si>
    <r>
      <rPr>
        <sz val="10"/>
        <rFont val="Times New Roman"/>
        <family val="1"/>
      </rPr>
      <t xml:space="preserve">9-99-1902 </t>
    </r>
  </si>
  <si>
    <r>
      <rPr>
        <sz val="10"/>
        <rFont val="Times New Roman"/>
        <family val="1"/>
      </rPr>
      <t xml:space="preserve">Fuse Holder </t>
    </r>
  </si>
  <si>
    <r>
      <rPr>
        <sz val="10"/>
        <rFont val="Times New Roman"/>
        <family val="1"/>
      </rPr>
      <t xml:space="preserve">9-99-1939 </t>
    </r>
  </si>
  <si>
    <r>
      <rPr>
        <sz val="10"/>
        <rFont val="Times New Roman"/>
        <family val="1"/>
      </rPr>
      <t xml:space="preserve">Fuse, 2A 250VAC Slow Blow </t>
    </r>
  </si>
  <si>
    <r>
      <rPr>
        <sz val="10"/>
        <rFont val="Times New Roman"/>
        <family val="1"/>
      </rPr>
      <t xml:space="preserve">9-99-1940 </t>
    </r>
  </si>
  <si>
    <r>
      <rPr>
        <sz val="10"/>
        <rFont val="Times New Roman"/>
        <family val="1"/>
      </rPr>
      <t xml:space="preserve">Fuse, 2.5A 250VAC Slow Blow </t>
    </r>
  </si>
  <si>
    <r>
      <rPr>
        <sz val="10"/>
        <rFont val="Times New Roman"/>
        <family val="1"/>
      </rPr>
      <t xml:space="preserve">9-99-2593 </t>
    </r>
  </si>
  <si>
    <r>
      <rPr>
        <sz val="10"/>
        <rFont val="Times New Roman"/>
        <family val="1"/>
      </rPr>
      <t xml:space="preserve">Rubber Strip, 1/8"x1/2" Self-; adhesive backing </t>
    </r>
  </si>
  <si>
    <r>
      <rPr>
        <sz val="10"/>
        <rFont val="Times New Roman"/>
        <family val="1"/>
      </rPr>
      <t xml:space="preserve">9-99-2801-CL </t>
    </r>
  </si>
  <si>
    <r>
      <rPr>
        <sz val="10"/>
        <rFont val="Times New Roman"/>
        <family val="1"/>
      </rPr>
      <t xml:space="preserve">Hinge, Geared Continuous - 83" 1/8" Swing Side Reveal </t>
    </r>
  </si>
  <si>
    <r>
      <rPr>
        <sz val="10"/>
        <rFont val="Times New Roman"/>
        <family val="1"/>
      </rPr>
      <t xml:space="preserve">$725.00 </t>
    </r>
  </si>
  <si>
    <r>
      <rPr>
        <sz val="10"/>
        <rFont val="Times New Roman"/>
        <family val="1"/>
      </rPr>
      <t xml:space="preserve">9-99-2801-DB </t>
    </r>
  </si>
  <si>
    <r>
      <rPr>
        <sz val="10"/>
        <rFont val="Times New Roman"/>
        <family val="1"/>
      </rPr>
      <t xml:space="preserve">$749.00 </t>
    </r>
  </si>
  <si>
    <r>
      <rPr>
        <sz val="10"/>
        <rFont val="Times New Roman"/>
        <family val="1"/>
      </rPr>
      <t xml:space="preserve">9-99-2802-CL </t>
    </r>
  </si>
  <si>
    <r>
      <rPr>
        <sz val="10"/>
        <rFont val="Times New Roman"/>
        <family val="1"/>
      </rPr>
      <t xml:space="preserve">Hinge, Geared Continuous - 95" 1/8" Swing Side Reveal </t>
    </r>
  </si>
  <si>
    <r>
      <rPr>
        <sz val="10"/>
        <rFont val="Times New Roman"/>
        <family val="1"/>
      </rPr>
      <t xml:space="preserve">$914.00 </t>
    </r>
  </si>
  <si>
    <r>
      <rPr>
        <sz val="10"/>
        <rFont val="Times New Roman"/>
        <family val="1"/>
      </rPr>
      <t xml:space="preserve">9-99-2802-DB </t>
    </r>
  </si>
  <si>
    <r>
      <rPr>
        <sz val="10"/>
        <rFont val="Times New Roman"/>
        <family val="1"/>
      </rPr>
      <t xml:space="preserve">$957.00 </t>
    </r>
  </si>
  <si>
    <r>
      <rPr>
        <sz val="10"/>
        <rFont val="Times New Roman"/>
        <family val="1"/>
      </rPr>
      <t xml:space="preserve">9-99-2809-CL </t>
    </r>
  </si>
  <si>
    <r>
      <rPr>
        <sz val="10"/>
        <rFont val="Times New Roman"/>
        <family val="1"/>
      </rPr>
      <t xml:space="preserve">Door Pulls (Back/Back) </t>
    </r>
  </si>
  <si>
    <r>
      <rPr>
        <sz val="10"/>
        <rFont val="Times New Roman"/>
        <family val="1"/>
      </rPr>
      <t xml:space="preserve">$1,630.00 </t>
    </r>
  </si>
  <si>
    <r>
      <rPr>
        <sz val="10"/>
        <rFont val="Times New Roman"/>
        <family val="1"/>
      </rPr>
      <t xml:space="preserve">9-99-2809-DB </t>
    </r>
  </si>
  <si>
    <r>
      <rPr>
        <sz val="10"/>
        <rFont val="Times New Roman"/>
        <family val="1"/>
      </rPr>
      <t xml:space="preserve">$1,665.00 </t>
    </r>
  </si>
  <si>
    <r>
      <rPr>
        <sz val="10"/>
        <rFont val="Times New Roman"/>
        <family val="1"/>
      </rPr>
      <t xml:space="preserve">9-99-2813-CL </t>
    </r>
  </si>
  <si>
    <r>
      <rPr>
        <sz val="10"/>
        <rFont val="Times New Roman"/>
        <family val="1"/>
      </rPr>
      <t xml:space="preserve">Door Pull </t>
    </r>
  </si>
  <si>
    <r>
      <rPr>
        <sz val="10"/>
        <rFont val="Times New Roman"/>
        <family val="1"/>
      </rPr>
      <t xml:space="preserve">$379.00 </t>
    </r>
  </si>
  <si>
    <r>
      <rPr>
        <sz val="10"/>
        <rFont val="Times New Roman"/>
        <family val="1"/>
      </rPr>
      <t xml:space="preserve">9-99-2813-DB </t>
    </r>
  </si>
  <si>
    <r>
      <rPr>
        <sz val="10"/>
        <rFont val="Times New Roman"/>
        <family val="1"/>
      </rPr>
      <t xml:space="preserve">$416.00 </t>
    </r>
  </si>
  <si>
    <r>
      <rPr>
        <sz val="10"/>
        <rFont val="Times New Roman"/>
        <family val="1"/>
      </rPr>
      <t xml:space="preserve">9-99-2826-BL </t>
    </r>
  </si>
  <si>
    <r>
      <rPr>
        <sz val="10"/>
        <rFont val="Times New Roman"/>
        <family val="1"/>
      </rPr>
      <t xml:space="preserve">Door Pull, Offset (Back/Back) Stocked &amp; Purchased as a Pair </t>
    </r>
  </si>
  <si>
    <r>
      <rPr>
        <sz val="10"/>
        <rFont val="Times New Roman"/>
        <family val="1"/>
      </rPr>
      <t xml:space="preserve">9-99-2827-CL </t>
    </r>
  </si>
  <si>
    <r>
      <rPr>
        <sz val="10"/>
        <rFont val="Times New Roman"/>
        <family val="1"/>
      </rPr>
      <t xml:space="preserve">Door Pull, Offset </t>
    </r>
  </si>
  <si>
    <r>
      <rPr>
        <sz val="10"/>
        <rFont val="Times New Roman"/>
        <family val="1"/>
      </rPr>
      <t xml:space="preserve">$460.00 </t>
    </r>
  </si>
  <si>
    <r>
      <rPr>
        <sz val="10"/>
        <rFont val="Times New Roman"/>
        <family val="1"/>
      </rPr>
      <t xml:space="preserve">9-99-2827-DB </t>
    </r>
  </si>
  <si>
    <r>
      <rPr>
        <sz val="10"/>
        <rFont val="Times New Roman"/>
        <family val="1"/>
      </rPr>
      <t xml:space="preserve">$660.00 </t>
    </r>
  </si>
  <si>
    <r>
      <rPr>
        <sz val="10"/>
        <rFont val="Times New Roman"/>
        <family val="1"/>
      </rPr>
      <t xml:space="preserve">9-99-2828-BL </t>
    </r>
  </si>
  <si>
    <r>
      <rPr>
        <sz val="10"/>
        <rFont val="Times New Roman"/>
        <family val="1"/>
      </rPr>
      <t xml:space="preserve">Door Closer, Manual (Surface Applied) </t>
    </r>
  </si>
  <si>
    <r>
      <rPr>
        <sz val="10"/>
        <rFont val="Times New Roman"/>
        <family val="1"/>
      </rPr>
      <t xml:space="preserve">$593.00 </t>
    </r>
  </si>
  <si>
    <r>
      <rPr>
        <sz val="10"/>
        <rFont val="Times New Roman"/>
        <family val="1"/>
      </rPr>
      <t xml:space="preserve">9-99-2828-CL </t>
    </r>
  </si>
  <si>
    <r>
      <rPr>
        <sz val="10"/>
        <rFont val="Times New Roman"/>
        <family val="1"/>
      </rPr>
      <t xml:space="preserve">9-99-2829 </t>
    </r>
  </si>
  <si>
    <r>
      <rPr>
        <sz val="10"/>
        <rFont val="Times New Roman"/>
        <family val="1"/>
      </rPr>
      <t xml:space="preserve">Door Closer, Manual, OHC </t>
    </r>
  </si>
  <si>
    <r>
      <rPr>
        <sz val="10"/>
        <rFont val="Times New Roman"/>
        <family val="1"/>
      </rPr>
      <t xml:space="preserve">$883.00 </t>
    </r>
  </si>
  <si>
    <r>
      <rPr>
        <sz val="10"/>
        <rFont val="Times New Roman"/>
        <family val="1"/>
      </rPr>
      <t xml:space="preserve">9-99-2832 </t>
    </r>
  </si>
  <si>
    <r>
      <rPr>
        <sz val="10"/>
        <rFont val="Times New Roman"/>
        <family val="1"/>
      </rPr>
      <t xml:space="preserve">Threshold &amp; Bottom Pivot (Heavy Duty Recessed in Floor) </t>
    </r>
  </si>
  <si>
    <r>
      <rPr>
        <sz val="10"/>
        <rFont val="Times New Roman"/>
        <family val="1"/>
      </rPr>
      <t xml:space="preserve">$482.00 </t>
    </r>
  </si>
  <si>
    <r>
      <rPr>
        <sz val="10"/>
        <rFont val="Times New Roman"/>
        <family val="1"/>
      </rPr>
      <t xml:space="preserve">9-99-2834 </t>
    </r>
  </si>
  <si>
    <r>
      <rPr>
        <sz val="10"/>
        <rFont val="Times New Roman"/>
        <family val="1"/>
      </rPr>
      <t xml:space="preserve">Door Closer, Concealed-In-Door </t>
    </r>
  </si>
  <si>
    <r>
      <rPr>
        <sz val="10"/>
        <rFont val="Times New Roman"/>
        <family val="1"/>
      </rPr>
      <t xml:space="preserve">9-99-2836 </t>
    </r>
  </si>
  <si>
    <r>
      <rPr>
        <sz val="10"/>
        <rFont val="Times New Roman"/>
        <family val="1"/>
      </rPr>
      <t xml:space="preserve">Door Pull, Recessed (Metal) 1 part = 2 pieces + 2 screws </t>
    </r>
  </si>
  <si>
    <r>
      <rPr>
        <sz val="10"/>
        <rFont val="Times New Roman"/>
        <family val="1"/>
      </rPr>
      <t xml:space="preserve">$165.00 </t>
    </r>
  </si>
  <si>
    <r>
      <rPr>
        <sz val="10"/>
        <rFont val="Times New Roman"/>
        <family val="1"/>
      </rPr>
      <t xml:space="preserve">9-99-3036 </t>
    </r>
  </si>
  <si>
    <r>
      <rPr>
        <sz val="10"/>
        <rFont val="Times New Roman"/>
        <family val="1"/>
      </rPr>
      <t xml:space="preserve">Key, BDE-A Switch </t>
    </r>
  </si>
  <si>
    <r>
      <rPr>
        <sz val="8"/>
        <rFont val="Times New Roman"/>
        <family val="1"/>
      </rPr>
      <t xml:space="preserve">Page 19 of  21 </t>
    </r>
  </si>
  <si>
    <r>
      <rPr>
        <sz val="10"/>
        <rFont val="Times New Roman"/>
        <family val="1"/>
      </rPr>
      <t xml:space="preserve">9-99-3459 </t>
    </r>
  </si>
  <si>
    <r>
      <rPr>
        <sz val="10"/>
        <rFont val="Times New Roman"/>
        <family val="1"/>
      </rPr>
      <t xml:space="preserve">NUT, HEX, 10-32, STEEL, ZINC Box of 200 </t>
    </r>
  </si>
  <si>
    <r>
      <rPr>
        <sz val="10"/>
        <rFont val="Times New Roman"/>
        <family val="1"/>
      </rPr>
      <t xml:space="preserve">9-99-3507 </t>
    </r>
  </si>
  <si>
    <r>
      <rPr>
        <sz val="10"/>
        <rFont val="Times New Roman"/>
        <family val="1"/>
      </rPr>
      <t xml:space="preserve">Nut,Square,1/4-20,Steel,Zinc Box of 100 </t>
    </r>
  </si>
  <si>
    <r>
      <rPr>
        <sz val="10"/>
        <rFont val="Times New Roman"/>
        <family val="1"/>
      </rPr>
      <t xml:space="preserve">9-99-3901 </t>
    </r>
  </si>
  <si>
    <r>
      <rPr>
        <sz val="10"/>
        <rFont val="Times New Roman"/>
        <family val="1"/>
      </rPr>
      <t xml:space="preserve">Pin, Slotted Spring (3/16" x 2 1/2" Long, 18-8 SS) </t>
    </r>
  </si>
  <si>
    <r>
      <rPr>
        <sz val="10"/>
        <rFont val="Times New Roman"/>
        <family val="1"/>
      </rPr>
      <t xml:space="preserve">9-99-3980 </t>
    </r>
  </si>
  <si>
    <r>
      <rPr>
        <sz val="10"/>
        <rFont val="Times New Roman"/>
        <family val="1"/>
      </rPr>
      <t xml:space="preserve">Plug, Hole (Locking) Plastic, Black, 1/2"Dia. </t>
    </r>
  </si>
  <si>
    <r>
      <rPr>
        <sz val="10"/>
        <rFont val="Times New Roman"/>
        <family val="1"/>
      </rPr>
      <t xml:space="preserve">9-99-4622 </t>
    </r>
  </si>
  <si>
    <r>
      <rPr>
        <sz val="10"/>
        <rFont val="Times New Roman"/>
        <family val="1"/>
      </rPr>
      <t xml:space="preserve">Ring, Retaining </t>
    </r>
  </si>
  <si>
    <r>
      <rPr>
        <sz val="10"/>
        <rFont val="Times New Roman"/>
        <family val="1"/>
      </rPr>
      <t xml:space="preserve">9-99-4625 </t>
    </r>
  </si>
  <si>
    <r>
      <rPr>
        <sz val="10"/>
        <rFont val="Times New Roman"/>
        <family val="1"/>
      </rPr>
      <t xml:space="preserve">Ring, Retaining Torque Bar Assy' </t>
    </r>
  </si>
  <si>
    <r>
      <rPr>
        <sz val="10"/>
        <rFont val="Times New Roman"/>
        <family val="1"/>
      </rPr>
      <t xml:space="preserve">9-99-4628 </t>
    </r>
  </si>
  <si>
    <r>
      <rPr>
        <sz val="10"/>
        <rFont val="Times New Roman"/>
        <family val="1"/>
      </rPr>
      <t xml:space="preserve">Ring, Push-On Self-Locking </t>
    </r>
  </si>
  <si>
    <r>
      <rPr>
        <sz val="10"/>
        <rFont val="Times New Roman"/>
        <family val="1"/>
      </rPr>
      <t xml:space="preserve">9-99-5690 </t>
    </r>
  </si>
  <si>
    <r>
      <rPr>
        <sz val="10"/>
        <rFont val="Times New Roman"/>
        <family val="1"/>
      </rPr>
      <t xml:space="preserve">Spring, Compression (ICU Positive Latch) </t>
    </r>
  </si>
  <si>
    <r>
      <rPr>
        <sz val="10"/>
        <rFont val="Times New Roman"/>
        <family val="1"/>
      </rPr>
      <t xml:space="preserve">9-99-6151 </t>
    </r>
  </si>
  <si>
    <r>
      <rPr>
        <sz val="10"/>
        <rFont val="Times New Roman"/>
        <family val="1"/>
      </rPr>
      <t xml:space="preserve">Rod, Threaded, 1/4-20 </t>
    </r>
  </si>
  <si>
    <r>
      <rPr>
        <sz val="10"/>
        <rFont val="Times New Roman"/>
        <family val="1"/>
      </rPr>
      <t xml:space="preserve">9-99-6194 </t>
    </r>
  </si>
  <si>
    <r>
      <rPr>
        <sz val="10"/>
        <rFont val="Times New Roman"/>
        <family val="1"/>
      </rPr>
      <t xml:space="preserve">Stud, PEM, 10-32 x 7/16", Steel, Zinc Box of 50 </t>
    </r>
  </si>
  <si>
    <r>
      <rPr>
        <sz val="10"/>
        <rFont val="Times New Roman"/>
        <family val="1"/>
      </rPr>
      <t xml:space="preserve">9-99-6510 </t>
    </r>
  </si>
  <si>
    <r>
      <rPr>
        <sz val="10"/>
        <rFont val="Times New Roman"/>
        <family val="1"/>
      </rPr>
      <t xml:space="preserve">Terminal Strip, Insulated, 12 Conductor </t>
    </r>
  </si>
  <si>
    <r>
      <rPr>
        <sz val="10"/>
        <rFont val="Times New Roman"/>
        <family val="1"/>
      </rPr>
      <t xml:space="preserve">9-99-6597 </t>
    </r>
  </si>
  <si>
    <r>
      <rPr>
        <sz val="10"/>
        <rFont val="Times New Roman"/>
        <family val="1"/>
      </rPr>
      <t xml:space="preserve">Terminal Block, Plug-In, 4 Conductor, Labeled 25-28 </t>
    </r>
  </si>
  <si>
    <r>
      <rPr>
        <sz val="10"/>
        <rFont val="Times New Roman"/>
        <family val="1"/>
      </rPr>
      <t xml:space="preserve">$27.00 </t>
    </r>
  </si>
  <si>
    <r>
      <rPr>
        <sz val="10"/>
        <rFont val="Times New Roman"/>
        <family val="1"/>
      </rPr>
      <t xml:space="preserve">9-99-6598 </t>
    </r>
  </si>
  <si>
    <r>
      <rPr>
        <sz val="10"/>
        <rFont val="Times New Roman"/>
        <family val="1"/>
      </rPr>
      <t xml:space="preserve">Terminal Block, Plug-In, 6 Conductor, Labeled 13-19 </t>
    </r>
  </si>
  <si>
    <r>
      <rPr>
        <sz val="10"/>
        <rFont val="Times New Roman"/>
        <family val="1"/>
      </rPr>
      <t xml:space="preserve">9-99-6600 </t>
    </r>
  </si>
  <si>
    <r>
      <rPr>
        <sz val="10"/>
        <rFont val="Times New Roman"/>
        <family val="1"/>
      </rPr>
      <t xml:space="preserve">Terminal Block, Plug-In, 12 Conductor, Labeled 1-12 </t>
    </r>
  </si>
  <si>
    <r>
      <rPr>
        <sz val="10"/>
        <rFont val="Times New Roman"/>
        <family val="1"/>
      </rPr>
      <t xml:space="preserve">9-99-6601 </t>
    </r>
  </si>
  <si>
    <r>
      <rPr>
        <sz val="10"/>
        <rFont val="Times New Roman"/>
        <family val="1"/>
      </rPr>
      <t xml:space="preserve">Terminal Block, Plug-In, 7 Conductor, Labeled 1-7 </t>
    </r>
  </si>
  <si>
    <r>
      <rPr>
        <sz val="10"/>
        <rFont val="Times New Roman"/>
        <family val="1"/>
      </rPr>
      <t xml:space="preserve">9-99-6602 </t>
    </r>
  </si>
  <si>
    <r>
      <rPr>
        <sz val="10"/>
        <rFont val="Times New Roman"/>
        <family val="1"/>
      </rPr>
      <t xml:space="preserve">Terminal Block, Plug-In, 6 Conductor, Labled 8-13 </t>
    </r>
  </si>
  <si>
    <r>
      <rPr>
        <sz val="10"/>
        <rFont val="Times New Roman"/>
        <family val="1"/>
      </rPr>
      <t xml:space="preserve">9-99-6603 </t>
    </r>
  </si>
  <si>
    <r>
      <rPr>
        <sz val="10"/>
        <rFont val="Times New Roman"/>
        <family val="1"/>
      </rPr>
      <t xml:space="preserve">Terminal Block, Plug-In, 2 Conductor, Labeled 14-15 </t>
    </r>
  </si>
  <si>
    <r>
      <rPr>
        <sz val="10"/>
        <rFont val="Times New Roman"/>
        <family val="1"/>
      </rPr>
      <t xml:space="preserve">9-99-6604 </t>
    </r>
  </si>
  <si>
    <r>
      <rPr>
        <sz val="10"/>
        <rFont val="Times New Roman"/>
        <family val="1"/>
      </rPr>
      <t xml:space="preserve">Terminal Block, Plug-In, 3 Conductor, Labeled 16-18 </t>
    </r>
  </si>
  <si>
    <r>
      <rPr>
        <sz val="10"/>
        <rFont val="Times New Roman"/>
        <family val="1"/>
      </rPr>
      <t xml:space="preserve">9-99-6605 </t>
    </r>
  </si>
  <si>
    <r>
      <rPr>
        <sz val="10"/>
        <rFont val="Times New Roman"/>
        <family val="1"/>
      </rPr>
      <t xml:space="preserve">Terminal Block, Plug-In, 6 Conductor, Labeled 19-24 </t>
    </r>
  </si>
  <si>
    <r>
      <rPr>
        <sz val="10"/>
        <rFont val="Times New Roman"/>
        <family val="1"/>
      </rPr>
      <t xml:space="preserve">9-99-6606 </t>
    </r>
  </si>
  <si>
    <r>
      <rPr>
        <sz val="10"/>
        <rFont val="Times New Roman"/>
        <family val="1"/>
      </rPr>
      <t xml:space="preserve">9-99-7170 </t>
    </r>
  </si>
  <si>
    <r>
      <rPr>
        <sz val="10"/>
        <rFont val="Times New Roman"/>
        <family val="1"/>
      </rPr>
      <t xml:space="preserve">Washer, Flat, 5/16" Plastic (Clear Polycarbonate) </t>
    </r>
  </si>
  <si>
    <r>
      <rPr>
        <sz val="10"/>
        <rFont val="Times New Roman"/>
        <family val="1"/>
      </rPr>
      <t xml:space="preserve">9-99-7235 </t>
    </r>
  </si>
  <si>
    <r>
      <rPr>
        <sz val="10"/>
        <rFont val="Times New Roman"/>
        <family val="1"/>
      </rPr>
      <t xml:space="preserve">Washer, Lock, 5/16 Split Box of 200 </t>
    </r>
  </si>
  <si>
    <r>
      <rPr>
        <sz val="10"/>
        <rFont val="Times New Roman"/>
        <family val="1"/>
      </rPr>
      <t xml:space="preserve">9-99-7249 </t>
    </r>
  </si>
  <si>
    <r>
      <rPr>
        <sz val="10"/>
        <rFont val="Times New Roman"/>
        <family val="1"/>
      </rPr>
      <t xml:space="preserve">Washer, Lock, #10 Medium Box of 200 </t>
    </r>
  </si>
  <si>
    <r>
      <rPr>
        <sz val="10"/>
        <rFont val="Times New Roman"/>
        <family val="1"/>
      </rPr>
      <t xml:space="preserve">9-99-7316 </t>
    </r>
  </si>
  <si>
    <r>
      <rPr>
        <sz val="10"/>
        <rFont val="Times New Roman"/>
        <family val="1"/>
      </rPr>
      <t xml:space="preserve">Weather Pile, 0.270"W X 0.450"H, Black </t>
    </r>
  </si>
  <si>
    <r>
      <rPr>
        <sz val="10"/>
        <rFont val="Times New Roman"/>
        <family val="1"/>
      </rPr>
      <t xml:space="preserve">9-99-7318-DB </t>
    </r>
  </si>
  <si>
    <r>
      <rPr>
        <sz val="10"/>
        <rFont val="Times New Roman"/>
        <family val="1"/>
      </rPr>
      <t xml:space="preserve">Weather Pile, Door Catch 29015545BKGP </t>
    </r>
  </si>
  <si>
    <r>
      <rPr>
        <sz val="10"/>
        <rFont val="Times New Roman"/>
        <family val="1"/>
      </rPr>
      <t xml:space="preserve">9-99-7323 </t>
    </r>
  </si>
  <si>
    <r>
      <rPr>
        <sz val="10"/>
        <rFont val="Times New Roman"/>
        <family val="1"/>
      </rPr>
      <t xml:space="preserve">Washer, Spring </t>
    </r>
  </si>
  <si>
    <r>
      <rPr>
        <sz val="10"/>
        <rFont val="Times New Roman"/>
        <family val="1"/>
      </rPr>
      <t xml:space="preserve">9-99-7347-BL </t>
    </r>
  </si>
  <si>
    <r>
      <rPr>
        <sz val="10"/>
        <rFont val="Times New Roman"/>
        <family val="1"/>
      </rPr>
      <t xml:space="preserve">Holder, Door Sweep Strip (Straight)96" </t>
    </r>
  </si>
  <si>
    <r>
      <rPr>
        <sz val="10"/>
        <rFont val="Times New Roman"/>
        <family val="1"/>
      </rPr>
      <t xml:space="preserve">$110.00 </t>
    </r>
  </si>
  <si>
    <r>
      <rPr>
        <sz val="10"/>
        <rFont val="Times New Roman"/>
        <family val="1"/>
      </rPr>
      <t xml:space="preserve">9-99-7348-BL </t>
    </r>
  </si>
  <si>
    <r>
      <rPr>
        <sz val="10"/>
        <rFont val="Times New Roman"/>
        <family val="1"/>
      </rPr>
      <t xml:space="preserve">Holder, Door Sweep Strip (Angled)96" </t>
    </r>
  </si>
  <si>
    <r>
      <rPr>
        <sz val="10"/>
        <rFont val="Times New Roman"/>
        <family val="1"/>
      </rPr>
      <t xml:space="preserve">9-99-7349 </t>
    </r>
  </si>
  <si>
    <r>
      <rPr>
        <sz val="10"/>
        <rFont val="Times New Roman"/>
        <family val="1"/>
      </rPr>
      <t xml:space="preserve">Weather Pile, Leading Edge (All Glass Doors) - 96" PC </t>
    </r>
  </si>
  <si>
    <r>
      <rPr>
        <sz val="10"/>
        <rFont val="Times New Roman"/>
        <family val="1"/>
      </rPr>
      <t xml:space="preserve">$420.00 </t>
    </r>
  </si>
  <si>
    <r>
      <rPr>
        <sz val="10"/>
        <rFont val="Times New Roman"/>
        <family val="1"/>
      </rPr>
      <t xml:space="preserve">9-99-7358 </t>
    </r>
  </si>
  <si>
    <r>
      <rPr>
        <sz val="10"/>
        <rFont val="Times New Roman"/>
        <family val="1"/>
      </rPr>
      <t xml:space="preserve">Brush, Door Sweep Strip (Short)96" </t>
    </r>
  </si>
  <si>
    <r>
      <rPr>
        <sz val="10"/>
        <rFont val="Times New Roman"/>
        <family val="1"/>
      </rPr>
      <t xml:space="preserve">9-99-7360 </t>
    </r>
  </si>
  <si>
    <r>
      <rPr>
        <sz val="10"/>
        <rFont val="Times New Roman"/>
        <family val="1"/>
      </rPr>
      <t xml:space="preserve">Weather Pile (Fin Seal)-Tall </t>
    </r>
  </si>
  <si>
    <r>
      <rPr>
        <sz val="10"/>
        <rFont val="Times New Roman"/>
        <family val="1"/>
      </rPr>
      <t xml:space="preserve">$231.00 </t>
    </r>
  </si>
  <si>
    <r>
      <rPr>
        <sz val="10"/>
        <rFont val="Times New Roman"/>
        <family val="1"/>
      </rPr>
      <t xml:space="preserve">9-99-7362 </t>
    </r>
  </si>
  <si>
    <r>
      <rPr>
        <sz val="10"/>
        <rFont val="Times New Roman"/>
        <family val="1"/>
      </rPr>
      <t xml:space="preserve">Brush, Air/Smoke Barrier 96" </t>
    </r>
  </si>
  <si>
    <r>
      <rPr>
        <sz val="10"/>
        <rFont val="Times New Roman"/>
        <family val="1"/>
      </rPr>
      <t xml:space="preserve">$251.00 </t>
    </r>
  </si>
  <si>
    <r>
      <rPr>
        <sz val="10"/>
        <rFont val="Times New Roman"/>
        <family val="1"/>
      </rPr>
      <t xml:space="preserve">9-99-7363 </t>
    </r>
  </si>
  <si>
    <r>
      <rPr>
        <sz val="10"/>
        <rFont val="Times New Roman"/>
        <family val="1"/>
      </rPr>
      <t xml:space="preserve">Weather Pile (Fin Seal)-Short W31455NK000B </t>
    </r>
  </si>
  <si>
    <r>
      <rPr>
        <sz val="10"/>
        <rFont val="Times New Roman"/>
        <family val="1"/>
      </rPr>
      <t xml:space="preserve">9-99-7365 </t>
    </r>
  </si>
  <si>
    <r>
      <rPr>
        <sz val="10"/>
        <rFont val="Times New Roman"/>
        <family val="1"/>
      </rPr>
      <t xml:space="preserve">Brush, Door Sweep Strip (Long),8ft </t>
    </r>
  </si>
  <si>
    <r>
      <rPr>
        <sz val="10"/>
        <rFont val="Times New Roman"/>
        <family val="1"/>
      </rPr>
      <t xml:space="preserve">9-99-7370 </t>
    </r>
  </si>
  <si>
    <r>
      <rPr>
        <sz val="10"/>
        <rFont val="Times New Roman"/>
        <family val="1"/>
      </rPr>
      <t xml:space="preserve">Weather Pile (Fin Seal) - Extra Tall </t>
    </r>
  </si>
  <si>
    <r>
      <rPr>
        <sz val="10"/>
        <rFont val="Times New Roman"/>
        <family val="1"/>
      </rPr>
      <t xml:space="preserve">$731.00 </t>
    </r>
  </si>
  <si>
    <r>
      <rPr>
        <sz val="10"/>
        <rFont val="Times New Roman"/>
        <family val="1"/>
      </rPr>
      <t xml:space="preserve">P-10TD900HH1 </t>
    </r>
  </si>
  <si>
    <r>
      <rPr>
        <sz val="10"/>
        <rFont val="Times New Roman"/>
        <family val="1"/>
      </rPr>
      <t xml:space="preserve">BEA 900 Mhz Hand Held Fob (one button) </t>
    </r>
  </si>
  <si>
    <r>
      <rPr>
        <sz val="10"/>
        <rFont val="Times New Roman"/>
        <family val="1"/>
      </rPr>
      <t xml:space="preserve">PK-0001 </t>
    </r>
  </si>
  <si>
    <r>
      <rPr>
        <sz val="10"/>
        <rFont val="Times New Roman"/>
        <family val="1"/>
      </rPr>
      <t xml:space="preserve">Pack, Anchor &amp; Screw, Slide (universal) </t>
    </r>
  </si>
  <si>
    <r>
      <rPr>
        <sz val="10"/>
        <rFont val="Times New Roman"/>
        <family val="1"/>
      </rPr>
      <t xml:space="preserve">REPL-45-PANEL </t>
    </r>
  </si>
  <si>
    <r>
      <rPr>
        <sz val="10"/>
        <rFont val="Times New Roman"/>
        <family val="1"/>
      </rPr>
      <t xml:space="preserve">Replacement Panel, 4500 Series </t>
    </r>
  </si>
  <si>
    <r>
      <rPr>
        <sz val="10"/>
        <rFont val="Times New Roman"/>
        <family val="1"/>
      </rPr>
      <t xml:space="preserve">$2,173.00 </t>
    </r>
  </si>
  <si>
    <r>
      <rPr>
        <sz val="10"/>
        <rFont val="Times New Roman"/>
        <family val="1"/>
      </rPr>
      <t xml:space="preserve">REPL-49-PANEL </t>
    </r>
  </si>
  <si>
    <r>
      <rPr>
        <sz val="10"/>
        <rFont val="Times New Roman"/>
        <family val="1"/>
      </rPr>
      <t xml:space="preserve">Replacement Panel, 4900 Series </t>
    </r>
  </si>
  <si>
    <r>
      <rPr>
        <sz val="10"/>
        <rFont val="Times New Roman"/>
        <family val="1"/>
      </rPr>
      <t xml:space="preserve">REPL-51-PANEL </t>
    </r>
  </si>
  <si>
    <r>
      <rPr>
        <sz val="10"/>
        <rFont val="Times New Roman"/>
        <family val="1"/>
      </rPr>
      <t xml:space="preserve">Replacement Panel, 5100 Series </t>
    </r>
  </si>
  <si>
    <r>
      <rPr>
        <sz val="10"/>
        <rFont val="Times New Roman"/>
        <family val="1"/>
      </rPr>
      <t xml:space="preserve">REPL-52-PANEL </t>
    </r>
  </si>
  <si>
    <r>
      <rPr>
        <sz val="10"/>
        <rFont val="Times New Roman"/>
        <family val="1"/>
      </rPr>
      <t xml:space="preserve">Replacement Panel, 5200 Series </t>
    </r>
  </si>
  <si>
    <r>
      <rPr>
        <sz val="10"/>
        <rFont val="Times New Roman"/>
        <family val="1"/>
      </rPr>
      <t xml:space="preserve">REPL-59-PANEL </t>
    </r>
  </si>
  <si>
    <r>
      <rPr>
        <sz val="10"/>
        <rFont val="Times New Roman"/>
        <family val="1"/>
      </rPr>
      <t xml:space="preserve">Replacement Panel, 5900 Series </t>
    </r>
  </si>
  <si>
    <r>
      <rPr>
        <sz val="10"/>
        <rFont val="Times New Roman"/>
        <family val="1"/>
      </rPr>
      <t xml:space="preserve">REPL-86-PANEL </t>
    </r>
  </si>
  <si>
    <r>
      <rPr>
        <sz val="10"/>
        <rFont val="Times New Roman"/>
        <family val="1"/>
      </rPr>
      <t xml:space="preserve">Replacement Panel, 8600 Series </t>
    </r>
  </si>
  <si>
    <r>
      <rPr>
        <sz val="10"/>
        <rFont val="Times New Roman"/>
        <family val="1"/>
      </rPr>
      <t xml:space="preserve">REPL-87-PANEL </t>
    </r>
  </si>
  <si>
    <r>
      <rPr>
        <sz val="10"/>
        <rFont val="Times New Roman"/>
        <family val="1"/>
      </rPr>
      <t xml:space="preserve">Replacement Panel, 8700 Series </t>
    </r>
  </si>
  <si>
    <r>
      <rPr>
        <sz val="10"/>
        <rFont val="Times New Roman"/>
        <family val="1"/>
      </rPr>
      <t xml:space="preserve">RFB-4-51-0144 </t>
    </r>
  </si>
  <si>
    <r>
      <rPr>
        <sz val="10"/>
        <rFont val="Times New Roman"/>
        <family val="1"/>
      </rPr>
      <t xml:space="preserve">RFB Motordrive/Plate Ass'y. Sys20Refurb Check availabilty </t>
    </r>
  </si>
  <si>
    <r>
      <rPr>
        <sz val="10"/>
        <rFont val="Times New Roman"/>
        <family val="1"/>
      </rPr>
      <t xml:space="preserve">$2,063.20 </t>
    </r>
  </si>
  <si>
    <r>
      <rPr>
        <sz val="10"/>
        <rFont val="Times New Roman"/>
        <family val="1"/>
      </rPr>
      <t xml:space="preserve">RFB-9-61-0101 </t>
    </r>
  </si>
  <si>
    <r>
      <rPr>
        <sz val="10"/>
        <rFont val="Times New Roman"/>
        <family val="1"/>
      </rPr>
      <t xml:space="preserve">RFB Drive Module w/Cntrl 6100 Refurbished Check avaialabilty </t>
    </r>
  </si>
  <si>
    <r>
      <rPr>
        <sz val="10"/>
        <rFont val="Times New Roman"/>
        <family val="1"/>
      </rPr>
      <t xml:space="preserve">$2,475.80 </t>
    </r>
  </si>
  <si>
    <r>
      <rPr>
        <sz val="10"/>
        <rFont val="Times New Roman"/>
        <family val="1"/>
      </rPr>
      <t xml:space="preserve">RFB-9-80-0101 </t>
    </r>
  </si>
  <si>
    <r>
      <rPr>
        <sz val="10"/>
        <rFont val="Times New Roman"/>
        <family val="1"/>
      </rPr>
      <t xml:space="preserve">RFB Drive Module w/Cntrl 8000 Refurbished Check availability </t>
    </r>
  </si>
  <si>
    <r>
      <rPr>
        <sz val="10"/>
        <rFont val="Times New Roman"/>
        <family val="1"/>
      </rPr>
      <t xml:space="preserve">$1,231.00 </t>
    </r>
  </si>
  <si>
    <r>
      <rPr>
        <sz val="8"/>
        <rFont val="Times New Roman"/>
        <family val="1"/>
      </rPr>
      <t xml:space="preserve">Page 20 of  21 </t>
    </r>
  </si>
  <si>
    <r>
      <rPr>
        <sz val="10"/>
        <rFont val="Times New Roman"/>
        <family val="1"/>
      </rPr>
      <t xml:space="preserve">$702.00 </t>
    </r>
  </si>
  <si>
    <r>
      <rPr>
        <sz val="8"/>
        <rFont val="Times New Roman"/>
        <family val="1"/>
      </rPr>
      <t xml:space="preserve">Page 21 of  21 </t>
    </r>
  </si>
  <si>
    <t>102-019808221</t>
  </si>
  <si>
    <t>Transformer, 115V, Sliding, System 20</t>
  </si>
  <si>
    <t>202-003120622</t>
  </si>
  <si>
    <t xml:space="preserve">Washer, 1in OD, </t>
  </si>
  <si>
    <t>625in ID Rubber</t>
  </si>
  <si>
    <t>EACH</t>
  </si>
  <si>
    <t>202-003815707</t>
  </si>
  <si>
    <t>VRR 51 Lock, Electric, Fail Safe</t>
  </si>
  <si>
    <t>2-45-0001</t>
  </si>
  <si>
    <t>Screw Pack, Pivot Bearing Base</t>
  </si>
  <si>
    <t>4-12-0470</t>
  </si>
  <si>
    <t>Sway Guide Ass'y. - L.H. Tele (Parts Orders)</t>
  </si>
  <si>
    <t>4-49-4002-BL</t>
  </si>
  <si>
    <t>Push Bar Machining</t>
  </si>
  <si>
    <t>4-51-0818</t>
  </si>
  <si>
    <t>Control Module, Display Molded Check for Proper SOFTWARE*****</t>
  </si>
  <si>
    <t>4-51-1089</t>
  </si>
  <si>
    <t>Slide Track, Sidelite Door Closer</t>
  </si>
  <si>
    <t>Washer, 1in OD, 625in ID Rubber</t>
  </si>
  <si>
    <t xml:space="preserve">CABLE, CANBUS, 8'2" (2500mm) RIC290 </t>
  </si>
  <si>
    <t xml:space="preserve">Electric Lock, VRR 20 Motorized </t>
  </si>
  <si>
    <t xml:space="preserve">Module, Expansion (FEM0) </t>
  </si>
  <si>
    <t xml:space="preserve">Mounting Set, VRR Lock Microswitch&amp;Hardware </t>
  </si>
  <si>
    <t xml:space="preserve">Manual Unlock Handle, VRR 20 Emergency Exit </t>
  </si>
  <si>
    <t xml:space="preserve">Harness, Encoder 1750mm </t>
  </si>
  <si>
    <t xml:space="preserve">Wire Rope, 1.5mm </t>
  </si>
  <si>
    <t xml:space="preserve">Cable Sheath, 8mm VRR 20 Lock </t>
  </si>
  <si>
    <t xml:space="preserve">Push Arm Extension, 345mm, CL (S8100/S6100 Operator) </t>
  </si>
  <si>
    <t xml:space="preserve">Push Arm Extension, 230mm, CL (S8100/S6100 Operator) </t>
  </si>
  <si>
    <t xml:space="preserve">Push Arm Extension, 230mm, DB (S8100/S6100 Operator) </t>
  </si>
  <si>
    <t xml:space="preserve">Push Arm Extension, 345mm, DB (S8100/S6100 Operator) </t>
  </si>
  <si>
    <t xml:space="preserve">Battery Pack DFA 127 In 6" Casing(header assy.) </t>
  </si>
  <si>
    <t xml:space="preserve">Kit Battery Pack DFA 127 </t>
  </si>
  <si>
    <t xml:space="preserve">Adaptor, Drive Arm, 20mm, CL (S8100/S6100 Operator) </t>
  </si>
  <si>
    <t xml:space="preserve">Adaptor, Drive Arm, 35mm, CL (S8100/S6100 Operator) </t>
  </si>
  <si>
    <t xml:space="preserve">Adaptor, Drive Arm, 50mm, CL (S8100/S6100 Operator) </t>
  </si>
  <si>
    <t xml:space="preserve">Adaptor, Drive Arm, 80mm, CL (S8100/S6100 Operator) </t>
  </si>
  <si>
    <t xml:space="preserve">Arm Assembly, Slide, Clear </t>
  </si>
  <si>
    <t xml:space="preserve">Arm Assembly, Offset Slide, LH, Clear </t>
  </si>
  <si>
    <t xml:space="preserve">Arm Assembly, Offset Slide, RH, Clear </t>
  </si>
  <si>
    <t xml:space="preserve">Adaptor, Drive Arm, 20mm, DB (S8100/S6100 Operator) </t>
  </si>
  <si>
    <t xml:space="preserve">Adaptor, Drive Arm, 35mm, DB (S8100/S6100 Operator) </t>
  </si>
  <si>
    <t xml:space="preserve">Adaptor, Drive Arm, 50mm, DB (S8100/S6100 Operator) </t>
  </si>
  <si>
    <t xml:space="preserve">Adaptor, Drive Arm, 80mm, DB (S8100/S6100 Operator) </t>
  </si>
  <si>
    <t xml:space="preserve">Arm Assembly, Slide, Dark Bronze </t>
  </si>
  <si>
    <t xml:space="preserve">Arm Assembly, Offset Slide, LH, Dark Bronze </t>
  </si>
  <si>
    <t xml:space="preserve">Arm Assembly, Offset Slide, RH, Dark Bronze </t>
  </si>
  <si>
    <t xml:space="preserve">Weather Shield,RIC290 Alu neutral anodized </t>
  </si>
  <si>
    <t xml:space="preserve">RC-Swing MS1200BL Sensor OnDoor Presence, CANbus </t>
  </si>
  <si>
    <t xml:space="preserve">Push Side  Doorstop Kit (HA7-100/HA7-200) **NON-STK** </t>
  </si>
  <si>
    <t xml:space="preserve">Can Cable for WiDi L=180mm </t>
  </si>
  <si>
    <t xml:space="preserve">Bracket, Belt Clasp, 17mm </t>
  </si>
  <si>
    <t xml:space="preserve">Bracket, Belt Base, 21mm </t>
  </si>
  <si>
    <t xml:space="preserve">Bracket, Drive Components Conversion Kit,Stanley,2000 </t>
  </si>
  <si>
    <t xml:space="preserve">Plate, Spacer, Drive Component Conversion Kit, Stanley, 2000 </t>
  </si>
  <si>
    <t xml:space="preserve">Bracket, Belt Clamp, Secondary Conversion Kit, Stanely, 2000 </t>
  </si>
  <si>
    <t xml:space="preserve">Bracket, Belt Clamp, Primary, Conversion Kit, Stanely, 2000 </t>
  </si>
  <si>
    <t xml:space="preserve">Set Screw, 1/2-20 x 1 inch Cup Point </t>
  </si>
  <si>
    <t xml:space="preserve">Square Nut, 3/8-16 x 5/8 inch </t>
  </si>
  <si>
    <t xml:space="preserve">Plate, Mounting,Elct. Comp. Conversion Kit, Stanely, 2000 </t>
  </si>
  <si>
    <t xml:space="preserve">Extension Cable, Rx, M8, Male-Female, Gray </t>
  </si>
  <si>
    <t xml:space="preserve">Extension Cable, Tx, M8, Male-Female, Black </t>
  </si>
  <si>
    <t xml:space="preserve">All Glass Door Seal Channel, Clear </t>
  </si>
  <si>
    <t xml:space="preserve">Bracket, Ball Catch, Panic Modified, RH </t>
  </si>
  <si>
    <t xml:space="preserve">Dust Proof Keeper, CRL </t>
  </si>
  <si>
    <t xml:space="preserve">Wire Assembly, Ground Ring Tongue to Ring Tounge 36" </t>
  </si>
  <si>
    <t>UOM</t>
  </si>
  <si>
    <t>4-56-0002</t>
  </si>
  <si>
    <t>Bottom Guide Ass'y DBO, Wood Doors, RH</t>
  </si>
  <si>
    <t>4-85-0020</t>
  </si>
  <si>
    <t>Slide Arm Ass'y.- RHR / LH (O.H.C. Butt Hinge)</t>
  </si>
  <si>
    <t>5-11-4025-MF-22</t>
  </si>
  <si>
    <t>Stile, Fixed (Medium) S/L 264"</t>
  </si>
  <si>
    <t>5-40-4005-MF</t>
  </si>
  <si>
    <t>Threshold, 1/2" X 4 1/2" Saddle</t>
  </si>
  <si>
    <t>5-51-4007-MF</t>
  </si>
  <si>
    <t>Insert, Telescope Header S/L 14'</t>
  </si>
  <si>
    <t>5-52-4003-CL</t>
  </si>
  <si>
    <t>Rail, 5"</t>
  </si>
  <si>
    <t>5-85-4005-CL</t>
  </si>
  <si>
    <t>Channel, Arm Cover S/L 24'</t>
  </si>
  <si>
    <t>8-92-3033</t>
  </si>
  <si>
    <t>Decal, "Do Not Enter - Stand Clear"</t>
  </si>
  <si>
    <t>9-61-0014</t>
  </si>
  <si>
    <t>Spacer, BEA Eagle Sensor</t>
  </si>
  <si>
    <t>9-80-0019</t>
  </si>
  <si>
    <t>Disk, Encoder</t>
  </si>
  <si>
    <t>9-99-0071-DB</t>
  </si>
  <si>
    <t>Deadlock, Hookbolt (1-1/8" Backset), Dark Bronze Anodized</t>
  </si>
  <si>
    <t>9-99-3202</t>
  </si>
  <si>
    <t>Hex End Key, T-Handle, 5/32"</t>
  </si>
  <si>
    <t>RFB-9-99-1325</t>
  </si>
  <si>
    <t>RFB Control Assy Sys 20 Refurbished Check availability</t>
  </si>
  <si>
    <t xml:space="preserve">EACH </t>
  </si>
  <si>
    <t xml:space="preserve">FT </t>
  </si>
  <si>
    <t xml:space="preserve">$337.00 </t>
  </si>
  <si>
    <t xml:space="preserve">$79.00 </t>
  </si>
  <si>
    <t xml:space="preserve">$651.00 </t>
  </si>
  <si>
    <t xml:space="preserve">$1,228.00 </t>
  </si>
  <si>
    <t xml:space="preserve">$166.00 </t>
  </si>
  <si>
    <t xml:space="preserve">$354.00 </t>
  </si>
  <si>
    <t xml:space="preserve">$99.00 </t>
  </si>
  <si>
    <t xml:space="preserve">$7.00 </t>
  </si>
  <si>
    <t xml:space="preserve">$3.00 </t>
  </si>
  <si>
    <t xml:space="preserve">$35.00 </t>
  </si>
  <si>
    <t xml:space="preserve">$1,424.00 </t>
  </si>
  <si>
    <t xml:space="preserve">$789.00 </t>
  </si>
  <si>
    <t xml:space="preserve">$167.00 </t>
  </si>
  <si>
    <t xml:space="preserve">$176.00 </t>
  </si>
  <si>
    <t xml:space="preserve">$173.00 </t>
  </si>
  <si>
    <t xml:space="preserve">$1,090.00 </t>
  </si>
  <si>
    <t xml:space="preserve">$214.00 </t>
  </si>
  <si>
    <t xml:space="preserve">$1,094.00 </t>
  </si>
  <si>
    <t xml:space="preserve">$410.00 </t>
  </si>
  <si>
    <t xml:space="preserve">$1,819.00 </t>
  </si>
  <si>
    <t xml:space="preserve">$58.00 </t>
  </si>
  <si>
    <t xml:space="preserve">$71.00 </t>
  </si>
  <si>
    <t xml:space="preserve">$96.00 </t>
  </si>
  <si>
    <t xml:space="preserve">$100.00 </t>
  </si>
  <si>
    <t xml:space="preserve">$590.00 </t>
  </si>
  <si>
    <t xml:space="preserve">$126.00 </t>
  </si>
  <si>
    <t xml:space="preserve">$196.00 </t>
  </si>
  <si>
    <t xml:space="preserve">$17.00 </t>
  </si>
  <si>
    <t xml:space="preserve">$311.00 </t>
  </si>
  <si>
    <t xml:space="preserve">$46.00 </t>
  </si>
  <si>
    <t xml:space="preserve">$169.00 </t>
  </si>
  <si>
    <t xml:space="preserve">$18.00 </t>
  </si>
  <si>
    <t xml:space="preserve">$67.00 </t>
  </si>
  <si>
    <t xml:space="preserve">$5.00 </t>
  </si>
  <si>
    <t xml:space="preserve">$1.00 </t>
  </si>
  <si>
    <t xml:space="preserve">End Cap, Cover, 4.25 Header Automatic Series </t>
  </si>
  <si>
    <t xml:space="preserve">$127.00 </t>
  </si>
  <si>
    <t xml:space="preserve">Module, Extended FEM1 </t>
  </si>
  <si>
    <t xml:space="preserve">$1,561.00 </t>
  </si>
  <si>
    <t xml:space="preserve">Sensor, Saftey, IXIO-ST, BEA   **DROP SHIP** </t>
  </si>
  <si>
    <t xml:space="preserve">$346.00 </t>
  </si>
  <si>
    <t xml:space="preserve">RIC290 Sensor, Ceiling Mount | Version **Drop Ship** </t>
  </si>
  <si>
    <t xml:space="preserve">$803.00 </t>
  </si>
  <si>
    <t xml:space="preserve">Bracket, Header Mounting, LH 4.25 Low Pro Header </t>
  </si>
  <si>
    <t xml:space="preserve">$113.00 </t>
  </si>
  <si>
    <t xml:space="preserve">Bracket, Header Mounting, RH 4.25 Low Pro Header </t>
  </si>
  <si>
    <t xml:space="preserve">Bracket, Cover Support 4.25 Low Pro Header </t>
  </si>
  <si>
    <t xml:space="preserve">$154.00 </t>
  </si>
  <si>
    <t xml:space="preserve">Block, TBG, Heel Guide </t>
  </si>
  <si>
    <t xml:space="preserve">$289.00 </t>
  </si>
  <si>
    <t xml:space="preserve">Bracket, Sidelite Strike Flushbolt </t>
  </si>
  <si>
    <t xml:space="preserve">$51.00 </t>
  </si>
  <si>
    <t xml:space="preserve">Connector, CAN End Plug </t>
  </si>
  <si>
    <t xml:space="preserve">$42.00 </t>
  </si>
  <si>
    <t xml:space="preserve">Bracket, Belt Clamp, 5800 </t>
  </si>
  <si>
    <t xml:space="preserve">$61.00 </t>
  </si>
  <si>
    <t xml:space="preserve">Flushbolt, Two Way, MS880 Adams Rite 1880 </t>
  </si>
  <si>
    <t xml:space="preserve">$960.00 </t>
  </si>
  <si>
    <t xml:space="preserve">Bracket, Electric Lock, VRR 20 </t>
  </si>
  <si>
    <t xml:space="preserve">BEA Jamb Mounted Touchless Activation, 10MS41J </t>
  </si>
  <si>
    <t xml:space="preserve">$723.00 </t>
  </si>
  <si>
    <t xml:space="preserve">Bracket, VRR Cables </t>
  </si>
  <si>
    <t xml:space="preserve">$125.00 </t>
  </si>
  <si>
    <t xml:space="preserve">Crimp, .0625Wire, .375long </t>
  </si>
  <si>
    <t xml:space="preserve">$2.00 </t>
  </si>
  <si>
    <t xml:space="preserve">Bracket, UHEP Jamb, Front HDR </t>
  </si>
  <si>
    <t xml:space="preserve">$108.00 </t>
  </si>
  <si>
    <t xml:space="preserve">Bracket, UHEP Jamb, Back HDR </t>
  </si>
  <si>
    <t xml:space="preserve">$116.00 </t>
  </si>
  <si>
    <t xml:space="preserve">Bracket,Jamb Threshold Mount </t>
  </si>
  <si>
    <t xml:space="preserve">$19.00 </t>
  </si>
  <si>
    <t xml:space="preserve">Spacer, 1.25 x 1 x .25, Al </t>
  </si>
  <si>
    <t xml:space="preserve">$4.00 </t>
  </si>
  <si>
    <t xml:space="preserve">Bumper Pad,Adhesive Back Cut-to-Length 2" </t>
  </si>
  <si>
    <t xml:space="preserve">Screw, 1/4-14 X 1/2",Phillips, Pan, SMS, Type B, Zinc </t>
  </si>
  <si>
    <t xml:space="preserve">Kit, Vestibule Pkg 900 Push Plates, RF </t>
  </si>
  <si>
    <t xml:space="preserve">$1,492.00 </t>
  </si>
  <si>
    <t xml:space="preserve">4.5" BEA SQ SS Push Plate Package - 900 Mhz Wireless "Push To Open" EACH </t>
  </si>
  <si>
    <t xml:space="preserve">$844.00 </t>
  </si>
  <si>
    <t xml:space="preserve">Strip, Straight, Short, Brush and Holder, 4in </t>
  </si>
  <si>
    <t xml:space="preserve">$11.00 </t>
  </si>
  <si>
    <t xml:space="preserve">Dongle, i-record WiDi included </t>
  </si>
  <si>
    <t xml:space="preserve">Mounting Tape, 3M VHB, | .5" Wide </t>
  </si>
  <si>
    <t xml:space="preserve">$6.00 </t>
  </si>
  <si>
    <t xml:space="preserve">Bracket, Lock Strike, Standard </t>
  </si>
  <si>
    <t xml:space="preserve">Bracket, Lock Strike, Telescope </t>
  </si>
  <si>
    <t xml:space="preserve">$62.00 </t>
  </si>
  <si>
    <t xml:space="preserve">BEA SS Single Gang Battery Powered MS51 "Wave To Open" Text &amp; Han EACH </t>
  </si>
  <si>
    <t xml:space="preserve">$1,218.00 </t>
  </si>
  <si>
    <t xml:space="preserve">Motordrive-Plate Assembly System 20, with Brake </t>
  </si>
  <si>
    <t xml:space="preserve">$2,901.00 </t>
  </si>
  <si>
    <t xml:space="preserve">Kit, Conversion,Stanley 2000 Series, Locking      (SN) </t>
  </si>
  <si>
    <t xml:space="preserve">$6,575.00 </t>
  </si>
  <si>
    <t xml:space="preserve">PIN GUIDE ASSEMBLY 5200 FULL BREAKOUT SERIES </t>
  </si>
  <si>
    <t xml:space="preserve">$104.00 </t>
  </si>
  <si>
    <t xml:space="preserve">Kit, Conversion, Stanley, 2000 Series, Standard          (SN) </t>
  </si>
  <si>
    <t xml:space="preserve">$5,642.00 </t>
  </si>
  <si>
    <t xml:space="preserve">Control Module, Display with Long Cable </t>
  </si>
  <si>
    <t xml:space="preserve">$829.00 </t>
  </si>
  <si>
    <t xml:space="preserve">Bottom Guide, NBO, Floor Mounted </t>
  </si>
  <si>
    <t xml:space="preserve">$22.00 </t>
  </si>
  <si>
    <t xml:space="preserve">Bottom Guide Ass'y, TBG Max Open, RH </t>
  </si>
  <si>
    <t xml:space="preserve">$303.00 </t>
  </si>
  <si>
    <t xml:space="preserve">Bottom Guide Ass'y, TBG Max Open, LH </t>
  </si>
  <si>
    <t xml:space="preserve">Assy, Electric Lock, VRR 20, Motorized </t>
  </si>
  <si>
    <t xml:space="preserve">$1,031.00 </t>
  </si>
  <si>
    <t xml:space="preserve">Bracket,Flushbolt-Magnet&amp; Switch Assembly </t>
  </si>
  <si>
    <t xml:space="preserve">Kit, UHEP Jamb, Back HDR </t>
  </si>
  <si>
    <t xml:space="preserve">Kit, UHEP Jamb, Front HDR </t>
  </si>
  <si>
    <t xml:space="preserve">$114.00 </t>
  </si>
  <si>
    <t xml:space="preserve">Kit, Jamb, Threshold Mount </t>
  </si>
  <si>
    <t xml:space="preserve">$25.00 </t>
  </si>
  <si>
    <t xml:space="preserve">Kit, ElectroMechanical Locking Device w/Override (5800) </t>
  </si>
  <si>
    <t xml:space="preserve">$1,997.00 </t>
  </si>
  <si>
    <t xml:space="preserve">Seal Assembly,FBO All Glass Over 87" </t>
  </si>
  <si>
    <t xml:space="preserve">$400.00 </t>
  </si>
  <si>
    <t xml:space="preserve">Seal Assembly,FBO All Glass Under 87" </t>
  </si>
  <si>
    <t xml:space="preserve">VRR 51 Lock, Electric, Fail Secure </t>
  </si>
  <si>
    <t xml:space="preserve">$894.00 </t>
  </si>
  <si>
    <t xml:space="preserve">VRR 51 Lock Kit, Bi-part, Fail Safe </t>
  </si>
  <si>
    <t xml:space="preserve">$2,026.00 </t>
  </si>
  <si>
    <t xml:space="preserve">VRR 51 Lock Kit, Bi-part, Fail Secure </t>
  </si>
  <si>
    <t xml:space="preserve">VRR 51 Lock Kit, Bi-Part, Fail Safe, Telescope </t>
  </si>
  <si>
    <t xml:space="preserve">VRR 51 Lock Kit, Bi-part Fail Secure, Telescope </t>
  </si>
  <si>
    <t xml:space="preserve">VRR 51 Lock, Electric, Fail Secure, Monitored </t>
  </si>
  <si>
    <t xml:space="preserve">Kit, Security Monitor Switch </t>
  </si>
  <si>
    <t xml:space="preserve">VRR 51 Lock, Electric, Fail Safe, Monitored </t>
  </si>
  <si>
    <t xml:space="preserve">Transom Sag Rod Hardware Kit (Threaded Rod Sold Separately) </t>
  </si>
  <si>
    <t xml:space="preserve">$270.00 </t>
  </si>
  <si>
    <t xml:space="preserve">SA Floor Clip Kit </t>
  </si>
  <si>
    <t xml:space="preserve">$37.00 </t>
  </si>
  <si>
    <t xml:space="preserve">Cover (5800), 4.25" 24' Length </t>
  </si>
  <si>
    <t xml:space="preserve">Strike, Positive Latch SS/CR </t>
  </si>
  <si>
    <t xml:space="preserve">$9.00 </t>
  </si>
  <si>
    <t xml:space="preserve">Pin, Positive Latch (0.2 X 1.2 Long, 12-24 Threads </t>
  </si>
  <si>
    <t xml:space="preserve">BEA Bollard Mounting Post, Silver *DROPSHIP* </t>
  </si>
  <si>
    <t xml:space="preserve">$817.00 </t>
  </si>
  <si>
    <t xml:space="preserve">BEA Bollard Mounting Post, Black *DROPSHIP* </t>
  </si>
  <si>
    <t xml:space="preserve">BEA Bollard Mounting Post, Dark Bronze *DROP SHIP* </t>
  </si>
  <si>
    <t xml:space="preserve">Touchless Activation MS11 "SS" Single"Wave to Open (OBSOLETE) </t>
  </si>
  <si>
    <t xml:space="preserve">$728.00 </t>
  </si>
  <si>
    <t xml:space="preserve">Touchless Activation,MS11,"SS" Double"Wave to Open" OBSOLETE </t>
  </si>
  <si>
    <t xml:space="preserve">$768.00 </t>
  </si>
  <si>
    <t xml:space="preserve">BEA Black Single &amp; Double Gang MS31 Text &amp; Hand Logo </t>
  </si>
  <si>
    <t xml:space="preserve">$717.00 </t>
  </si>
  <si>
    <t xml:space="preserve">BEA Gray Single &amp; Double Gang MS31 Text &amp; Hand Logo </t>
  </si>
  <si>
    <t xml:space="preserve">Surface Mount Box,BEA for 4.5x4.5 Push Plates </t>
  </si>
  <si>
    <t xml:space="preserve">BEA Push Plate, Jamb SS,HC Push to Open </t>
  </si>
  <si>
    <t xml:space="preserve">$128.00 </t>
  </si>
  <si>
    <t xml:space="preserve">Bearing Block, Pivot, Heavy Duty </t>
  </si>
  <si>
    <t xml:space="preserve">$36.00 </t>
  </si>
  <si>
    <t xml:space="preserve">End Cap, Header, 8000, BDED Cut-out, Simple Swing </t>
  </si>
  <si>
    <t xml:space="preserve">Bracket, Header to Jamb, BDED Simple Swing, Left Hand </t>
  </si>
  <si>
    <t xml:space="preserve">Bracket, Header to Jamb, BDED Simple Swing, Right Hand </t>
  </si>
  <si>
    <t xml:space="preserve">BEA 10BR3X 3-Relay Logic | module </t>
  </si>
  <si>
    <t xml:space="preserve">$304.00 </t>
  </si>
  <si>
    <t xml:space="preserve">LZR FLATSCAN SWB,BEA,kit,black OnDoor Presence Sensors,Mon. </t>
  </si>
  <si>
    <t xml:space="preserve">$2,578.00 </t>
  </si>
  <si>
    <t xml:space="preserve">4.5"x4.5" BEA Black SQ Push Plate Flush Mounting Box </t>
  </si>
  <si>
    <t xml:space="preserve">$98.00 </t>
  </si>
  <si>
    <t xml:space="preserve">CM-330 Battery Powered Hands- free Surewave Switch </t>
  </si>
  <si>
    <t xml:space="preserve">$831.00 </t>
  </si>
  <si>
    <t xml:space="preserve">CM-RX90 Wireless Reciever </t>
  </si>
  <si>
    <t xml:space="preserve">$262.00 </t>
  </si>
  <si>
    <t xml:space="preserve">Mounting Block, HD Pivot, Shim medium stile </t>
  </si>
  <si>
    <t xml:space="preserve">BEA 10IRA, Ixio Deluxe Rain Cover </t>
  </si>
  <si>
    <t xml:space="preserve">$192.00 </t>
  </si>
  <si>
    <t xml:space="preserve">Kit, Activation, Restroom Kit, BEA, Wireless **DROP SHIP** </t>
  </si>
  <si>
    <t xml:space="preserve">$711.00 </t>
  </si>
  <si>
    <t xml:space="preserve">BEA SS Single Gang MS41 "Wave To Open" Text &amp; Hand Logo </t>
  </si>
  <si>
    <t xml:space="preserve">$735.00 </t>
  </si>
  <si>
    <t xml:space="preserve">$770.00 </t>
  </si>
  <si>
    <t xml:space="preserve">Bracket, Display Mount, Internal </t>
  </si>
  <si>
    <t xml:space="preserve">Simpleswing Spindle Cover </t>
  </si>
  <si>
    <t xml:space="preserve">BEA Surface Mount Box 1.5 x 4.75" 10BOXJAMBSM </t>
  </si>
  <si>
    <t xml:space="preserve">$57.00 </t>
  </si>
  <si>
    <t xml:space="preserve">Kit, 8600 Sensors, Single Door *DROP SHIP* 10LZRMICROSCAN1690 </t>
  </si>
  <si>
    <t xml:space="preserve">$3,637.00 </t>
  </si>
  <si>
    <t xml:space="preserve">Kit8600SensorsDbleDoorDROPSHIP 2-10EAGLES 10LZRMICROSCAN26EACH </t>
  </si>
  <si>
    <t xml:space="preserve">$5,196.00 </t>
  </si>
  <si>
    <t xml:space="preserve">Kit, 8600 Sensor,Double-Egress 10LZRMICROSCAN2DE690 DROP SHIP EACH </t>
  </si>
  <si>
    <t xml:space="preserve">$7,881.00 </t>
  </si>
  <si>
    <t xml:space="preserve">Pivot, Bottom, Assembly, HD Surface Applied w/o Threshold </t>
  </si>
  <si>
    <t xml:space="preserve">$500.00 </t>
  </si>
  <si>
    <t xml:space="preserve">Kit, Standard Arm, CL (S8100/S6100 Operator) </t>
  </si>
  <si>
    <t xml:space="preserve">$707.00 </t>
  </si>
  <si>
    <t xml:space="preserve">Kit, Standard Arm, DB (S8100/S6100 Operator) </t>
  </si>
  <si>
    <t xml:space="preserve">Wrench, 17mm, Sheetmetal </t>
  </si>
  <si>
    <t xml:space="preserve">0562 Dome Plug </t>
  </si>
  <si>
    <t xml:space="preserve">Nylon Plastic Snap, 3-Point Locking </t>
  </si>
  <si>
    <t xml:space="preserve">$10.00 </t>
  </si>
  <si>
    <t xml:space="preserve">Screw Pack, Threshold </t>
  </si>
  <si>
    <t xml:space="preserve">$8.00 </t>
  </si>
  <si>
    <t xml:space="preserve">Screw Pack, Pull Handle </t>
  </si>
  <si>
    <t xml:space="preserve">Screw Pack, Single &amp; Bipart </t>
  </si>
  <si>
    <t xml:space="preserve">$49.00 </t>
  </si>
  <si>
    <t xml:space="preserve">Screw Pack, Cart Bars / Push Bars </t>
  </si>
  <si>
    <t xml:space="preserve">Screw Pack, Transom </t>
  </si>
  <si>
    <t xml:space="preserve">Screw Pack, DFA Single </t>
  </si>
  <si>
    <t xml:space="preserve">Screw Pack, SS/Square DFA Dual </t>
  </si>
  <si>
    <t xml:space="preserve">Pull Door Stop (HA7100-HA7200) **NON-STK** </t>
  </si>
  <si>
    <t xml:space="preserve">Glass Retention, 1/4", Sqr Clear Anodized </t>
  </si>
  <si>
    <t xml:space="preserve">$14.00 </t>
  </si>
  <si>
    <t xml:space="preserve">Glass Retention, 1/4", Sqr Dark Bronze Anodized </t>
  </si>
  <si>
    <t xml:space="preserve">$16.00 </t>
  </si>
  <si>
    <t xml:space="preserve">Glass Retention, 1/4", Bev Clear Anodized </t>
  </si>
  <si>
    <t xml:space="preserve">$12.00 </t>
  </si>
  <si>
    <t xml:space="preserve">Glass Retention, 1/4", Bev Dark Bronze Anodized </t>
  </si>
  <si>
    <t xml:space="preserve">Glass Retention, 3/8", Sqr Clear Anodized </t>
  </si>
  <si>
    <t xml:space="preserve">Glass Retention, 3/8", Sqr Dark Bronze Anodized </t>
  </si>
  <si>
    <t xml:space="preserve">Glass Retention, 1/2", Sqr (9/16", 5/8") Clear Anodized </t>
  </si>
  <si>
    <t xml:space="preserve">$20.00 </t>
  </si>
  <si>
    <t xml:space="preserve">Glass Retention, 1/2", Sqr (9/16", 5/8") Dark Bronze Ano </t>
  </si>
  <si>
    <t xml:space="preserve">Glass Retention, 3/4", Sqr Clear Anodized </t>
  </si>
  <si>
    <t xml:space="preserve">Glass Retention, 3/4", Sqr Dark Bronze Anodized </t>
  </si>
  <si>
    <t xml:space="preserve">Glass Retention, 1", Sqr Clear Anodized </t>
  </si>
  <si>
    <t xml:space="preserve">$13.00 </t>
  </si>
  <si>
    <t xml:space="preserve">Glass Retention, 1", Sqr Dark Bronze Anodized </t>
  </si>
  <si>
    <t xml:space="preserve">Nut, Door Adjustment </t>
  </si>
  <si>
    <t xml:space="preserve">$26.00 </t>
  </si>
  <si>
    <t xml:space="preserve">Angle Ass'y., Sidelite Pivot (Top) - L.H. </t>
  </si>
  <si>
    <t xml:space="preserve">$73.00 </t>
  </si>
  <si>
    <t xml:space="preserve">Angle Ass'y., Sidelite Pivot (Top) - R.H. </t>
  </si>
  <si>
    <t xml:space="preserve">Angle Ass'y., Sidelite Pivot (Bottom) - L.H. </t>
  </si>
  <si>
    <t xml:space="preserve">$75.00 </t>
  </si>
  <si>
    <t xml:space="preserve">Angle Ass'y., Sidelite Pivot (Bottom) - R.H. </t>
  </si>
  <si>
    <t xml:space="preserve">Angle Ass'y., Sidelite Pivot (Top) - L.H. Medium Stile </t>
  </si>
  <si>
    <t xml:space="preserve">$77.00 </t>
  </si>
  <si>
    <t xml:space="preserve">Angle Ass'y., Sidelite Pivot (Top) - R.H. Medium Stile </t>
  </si>
  <si>
    <t xml:space="preserve">Angle Ass'y., Sidelite Pivot (Bottom) - L.H. Medium Stile </t>
  </si>
  <si>
    <t xml:space="preserve">Angle Ass'y., Sidelite Pivot (Bottom) - R.H. Medium Stile </t>
  </si>
  <si>
    <t xml:space="preserve">Pin Guide Ass'y.- RBO Units (Reverse Breakout) </t>
  </si>
  <si>
    <t xml:space="preserve">Pin Guide Ass'y. (Parts Orders) </t>
  </si>
  <si>
    <t xml:space="preserve">$162.00 </t>
  </si>
  <si>
    <t xml:space="preserve">Sway Guide Ass'y. - L.H. (Parts Orders) </t>
  </si>
  <si>
    <t xml:space="preserve">$408.00 </t>
  </si>
  <si>
    <t xml:space="preserve">Sway Guide Ass'y. - R.H. (Parts Orders) </t>
  </si>
  <si>
    <t xml:space="preserve">Pin, Sidelite Pivot (Bottom) </t>
  </si>
  <si>
    <t xml:space="preserve">Plate, Lock Strike </t>
  </si>
  <si>
    <t xml:space="preserve">Stud, Bottom Guide Roller </t>
  </si>
  <si>
    <t xml:space="preserve">$34.00 </t>
  </si>
  <si>
    <t xml:space="preserve">Plate, Backer </t>
  </si>
  <si>
    <t xml:space="preserve">Angle, Sidelite Pivot (Bottom) </t>
  </si>
  <si>
    <t xml:space="preserve">$21.00 </t>
  </si>
  <si>
    <t xml:space="preserve">Angle, Sidelite Pivot (Top) </t>
  </si>
  <si>
    <t xml:space="preserve">Bracket, Alarm Contact Switch </t>
  </si>
  <si>
    <t xml:space="preserve">Interlock (Mach) </t>
  </si>
  <si>
    <t xml:space="preserve">Block, Shear (Machined) - SB1 </t>
  </si>
  <si>
    <t xml:space="preserve">Block, Shear (Machined) - SB2 </t>
  </si>
  <si>
    <t xml:space="preserve">Block, Shear (Machined) - SB3 </t>
  </si>
  <si>
    <t xml:space="preserve">Bracket, Top Pivot (PP/SA ACCESS PANEL) </t>
  </si>
  <si>
    <t xml:space="preserve">$52.00 </t>
  </si>
  <si>
    <t xml:space="preserve">$405.00 </t>
  </si>
  <si>
    <t xml:space="preserve">Sway Guide Ass'y. - R.H. Tele (Parts Orders) </t>
  </si>
  <si>
    <t xml:space="preserve">Transfer Pivot Ass'y. Trackless ICU </t>
  </si>
  <si>
    <t xml:space="preserve">$239.00 </t>
  </si>
  <si>
    <t xml:space="preserve">Bottom Guide Ass'y. - LH Trackless ICU </t>
  </si>
  <si>
    <t xml:space="preserve">$358.00 </t>
  </si>
  <si>
    <t xml:space="preserve">Bottom Guide Ass'y. - RH Trackless ICU </t>
  </si>
  <si>
    <t xml:space="preserve">Pin, Sidelite Pivot (Bottom) Trackless ICU/CCU </t>
  </si>
  <si>
    <t xml:space="preserve">Stop Link, Sidelite (SLW &lt; 40") </t>
  </si>
  <si>
    <t xml:space="preserve">$50.00 </t>
  </si>
  <si>
    <t xml:space="preserve">Stop Link, Sidelite (FOR SLW &gt; 40") </t>
  </si>
  <si>
    <t xml:space="preserve">Stop Track, Sidelite (SLW &lt; 40") </t>
  </si>
  <si>
    <t xml:space="preserve">$65.00 </t>
  </si>
  <si>
    <t xml:space="preserve">Stop Track, Sidelite (SLW &gt; 40") </t>
  </si>
  <si>
    <t xml:space="preserve">$81.00 </t>
  </si>
  <si>
    <t xml:space="preserve">Block, Stop </t>
  </si>
  <si>
    <t xml:space="preserve">Angle, Sidelite Pivot (Bottom) Trackless ICU </t>
  </si>
  <si>
    <t xml:space="preserve">Bracket, B.Guide-LH-T/less ICU </t>
  </si>
  <si>
    <t xml:space="preserve">$43.00 </t>
  </si>
  <si>
    <t xml:space="preserve">Bracket, B. Guide-RH T/less ICU </t>
  </si>
  <si>
    <t xml:space="preserve">Stud, Transfer Pivot ICU Trackless </t>
  </si>
  <si>
    <t xml:space="preserve">Block, Bottom Door Pivot Trackless ICU </t>
  </si>
  <si>
    <t xml:space="preserve">$135.00 </t>
  </si>
  <si>
    <t xml:space="preserve">Stud, Slide Arm </t>
  </si>
  <si>
    <t xml:space="preserve">Slide Block </t>
  </si>
  <si>
    <t xml:space="preserve">$70.00 </t>
  </si>
  <si>
    <t xml:space="preserve">Bottom Pivot Assembly, HD 1/2" x 4 1/2" Threshold </t>
  </si>
  <si>
    <t xml:space="preserve">$504.00 </t>
  </si>
  <si>
    <t xml:space="preserve">Bottom Pivot, Assembly, HD 1/2" x 7" Threshold </t>
  </si>
  <si>
    <t xml:space="preserve">$516.00 </t>
  </si>
  <si>
    <t xml:space="preserve">Pull Handle Ass'y. </t>
  </si>
  <si>
    <t xml:space="preserve">Plate,Backer, Door Interlock Hurricane Door </t>
  </si>
  <si>
    <t xml:space="preserve">Spacer, Arm DO NOT REORDER </t>
  </si>
  <si>
    <t xml:space="preserve">$122.00 </t>
  </si>
  <si>
    <t xml:space="preserve">Terminal Block Ass'y. </t>
  </si>
  <si>
    <t xml:space="preserve">$29.00 </t>
  </si>
  <si>
    <t xml:space="preserve">Bottom Pivot Ass'y. </t>
  </si>
  <si>
    <t xml:space="preserve">Guide Roller Ass'y. </t>
  </si>
  <si>
    <t xml:space="preserve">$203.00 </t>
  </si>
  <si>
    <t xml:space="preserve">Hinge Pivot Ass'y.-Config "A" Parts Orders Only </t>
  </si>
  <si>
    <t xml:space="preserve">$342.00 </t>
  </si>
  <si>
    <t xml:space="preserve">Hinge Pivot Ass'y.-Config. "B" Parts Orders Only </t>
  </si>
  <si>
    <t xml:space="preserve">Electric Lock Ass'y., In-Panel Fold Lock </t>
  </si>
  <si>
    <t xml:space="preserve">$546.00 </t>
  </si>
  <si>
    <t xml:space="preserve">Harness, Elec. lock Sequencer </t>
  </si>
  <si>
    <t xml:space="preserve">Kit, Sensor Package, BEA 1 S4500 Folding Door </t>
  </si>
  <si>
    <t xml:space="preserve">$2,550.00 </t>
  </si>
  <si>
    <t xml:space="preserve">Kit, Sensor Package, Optex 1 S4500 Folding Door </t>
  </si>
  <si>
    <t xml:space="preserve">$2,627.00 </t>
  </si>
  <si>
    <t xml:space="preserve">Kit, In-Panel Electric Lock S4500 Folding Door </t>
  </si>
  <si>
    <t xml:space="preserve">$1,169.00 </t>
  </si>
  <si>
    <t xml:space="preserve">Kit,Panel Lock|Breakout 4500 Autolock Folding Door </t>
  </si>
  <si>
    <t xml:space="preserve">$5,620.00 </t>
  </si>
  <si>
    <t xml:space="preserve">Bracket, Header-To-Jamb </t>
  </si>
  <si>
    <t xml:space="preserve">End Cap, Header </t>
  </si>
  <si>
    <t xml:space="preserve">$59.00 </t>
  </si>
  <si>
    <t xml:space="preserve">Bracket, Cover Attachment </t>
  </si>
  <si>
    <t xml:space="preserve">$24.00 </t>
  </si>
  <si>
    <t xml:space="preserve">Plate, Backer (Pivot Stile) </t>
  </si>
  <si>
    <t xml:space="preserve">Cap, Pivot Stile </t>
  </si>
  <si>
    <t xml:space="preserve">$32.00 </t>
  </si>
  <si>
    <t xml:space="preserve">Spacer, Electric Lock </t>
  </si>
  <si>
    <t xml:space="preserve">Base, Pivot Bearing </t>
  </si>
  <si>
    <t xml:space="preserve">Spacer, Top Pivot Arm </t>
  </si>
  <si>
    <t xml:space="preserve">$54.00 </t>
  </si>
  <si>
    <t xml:space="preserve">Seal, Hinge Stile (8ft/Stick) </t>
  </si>
  <si>
    <t xml:space="preserve">PIECE </t>
  </si>
  <si>
    <t xml:space="preserve">$151.00 </t>
  </si>
  <si>
    <t xml:space="preserve">Bumper, Door Open Stop </t>
  </si>
  <si>
    <t xml:space="preserve">Bracket, Header Mounting </t>
  </si>
  <si>
    <t xml:space="preserve">Arm, Drive </t>
  </si>
  <si>
    <t xml:space="preserve">$338.00 </t>
  </si>
  <si>
    <t xml:space="preserve">End Cap, Push Bar </t>
  </si>
  <si>
    <t xml:space="preserve">Weldment, Torque Bar 202-003816280 </t>
  </si>
  <si>
    <t xml:space="preserve">$312.00 </t>
  </si>
  <si>
    <t xml:space="preserve">Carrier Ass'y, Lower Belt </t>
  </si>
  <si>
    <t xml:space="preserve">$385.00 </t>
  </si>
  <si>
    <t xml:space="preserve">Carrier Ass'y, Upper Belt </t>
  </si>
  <si>
    <t xml:space="preserve">$375.00 </t>
  </si>
  <si>
    <t xml:space="preserve">Idler Pulley Ass'y. </t>
  </si>
  <si>
    <t xml:space="preserve">$204.00 </t>
  </si>
  <si>
    <t xml:space="preserve">Bracket Ass'y., Upper Sidelite Pivot - L.H. (Parts Orders) </t>
  </si>
  <si>
    <t xml:space="preserve">Bracket Ass'y., Upper Sidelite Pivot - R.H. (Parts Orders) </t>
  </si>
  <si>
    <t xml:space="preserve">Bracket Ass'y., Sidelite Strike </t>
  </si>
  <si>
    <t xml:space="preserve">$68.00 </t>
  </si>
  <si>
    <t xml:space="preserve">Plate Ass'y., Terminal Block </t>
  </si>
  <si>
    <t xml:space="preserve">$38.00 </t>
  </si>
  <si>
    <t xml:space="preserve">Torque Bar Ass'y. - SX Panels </t>
  </si>
  <si>
    <t xml:space="preserve">$230.00 </t>
  </si>
  <si>
    <t xml:space="preserve">Carrier Ass'y., Slave </t>
  </si>
  <si>
    <t xml:space="preserve">$352.00 </t>
  </si>
  <si>
    <t xml:space="preserve">Door Catch Ass'y. - L.H. </t>
  </si>
  <si>
    <t xml:space="preserve">$78.00 </t>
  </si>
  <si>
    <t xml:space="preserve">Door Catch Ass'y. - R.H. </t>
  </si>
  <si>
    <t xml:space="preserve">Interlock Ass'y. - L.H. Parts orders only </t>
  </si>
  <si>
    <t xml:space="preserve">Interlock Ass'y. - R.H. Parts orders only </t>
  </si>
  <si>
    <t xml:space="preserve">Plate Sub-Ass'y., Carrier Roller </t>
  </si>
  <si>
    <t xml:space="preserve">Carrier Ass'y., Telescope Primary Door, Slave </t>
  </si>
  <si>
    <t xml:space="preserve">$421.00 </t>
  </si>
  <si>
    <t xml:space="preserve">Carrier Ass'y., Telescope Primary Door, Belt </t>
  </si>
  <si>
    <t xml:space="preserve">$486.00 </t>
  </si>
  <si>
    <t xml:space="preserve">Door Stop Ass'y. </t>
  </si>
  <si>
    <t xml:space="preserve">Slave Pulley Ass'y. "B" (Leading End) </t>
  </si>
  <si>
    <t xml:space="preserve">$286.00 </t>
  </si>
  <si>
    <t xml:space="preserve">Slave Pulley Ass'y. "A" (Leading End) </t>
  </si>
  <si>
    <t xml:space="preserve">Slave Pulley Ass'y. "B" (Pivot End) </t>
  </si>
  <si>
    <t xml:space="preserve">Slave Pulley Ass'y. "A" (Pivot End) </t>
  </si>
  <si>
    <t xml:space="preserve">Toe Roller Ass'y. </t>
  </si>
  <si>
    <t xml:space="preserve">Bottom Guide Ass'y. (Hurricane Rated Sliders) </t>
  </si>
  <si>
    <t xml:space="preserve">$387.00 </t>
  </si>
  <si>
    <t xml:space="preserve">Bottom Guide Ass'y., Hurricane Rated Slider, w/CL Hardware </t>
  </si>
  <si>
    <t xml:space="preserve">$395.00 </t>
  </si>
  <si>
    <t xml:space="preserve">Bottom Guide Ass'y., Hurricane Rated Slider, w/DB Hardware </t>
  </si>
  <si>
    <t xml:space="preserve">Roller Catch Ass'y. </t>
  </si>
  <si>
    <t xml:space="preserve">Roller Catch &amp; Panic Switch Magnet Ass'y. </t>
  </si>
  <si>
    <t xml:space="preserve">$94.00 </t>
  </si>
  <si>
    <t xml:space="preserve">Seal, Sway Rail End Cap </t>
  </si>
  <si>
    <t xml:space="preserve">$15.00 </t>
  </si>
  <si>
    <t xml:space="preserve">Control Module, Dual Rocker Switch </t>
  </si>
  <si>
    <t xml:space="preserve">$950.00 </t>
  </si>
  <si>
    <t xml:space="preserve">Control Module, Rocker/Key Switch </t>
  </si>
  <si>
    <t xml:space="preserve">Housing Ass'y., Power Supply Sub-Ass'y Part </t>
  </si>
  <si>
    <t xml:space="preserve">Power Supply Ass'y (5100 Ser.) 110 v, System 20 </t>
  </si>
  <si>
    <t xml:space="preserve">$595.00 </t>
  </si>
  <si>
    <t xml:space="preserve">Motordrive / Plate Ass'y. (System 20) </t>
  </si>
  <si>
    <t xml:space="preserve">$2,693.00 </t>
  </si>
  <si>
    <t xml:space="preserve">Pin Guide Threshold Ass'y.- LH </t>
  </si>
  <si>
    <t xml:space="preserve">$293.00 </t>
  </si>
  <si>
    <t xml:space="preserve">Pin Guide Threshold Ass'y.- RH </t>
  </si>
  <si>
    <t xml:space="preserve">Seal, Door Bottom (Clean Room) BLACK ANO-FROM 9-99-5426 W/0 </t>
  </si>
  <si>
    <t xml:space="preserve">$189.00 </t>
  </si>
  <si>
    <t xml:space="preserve">Slide Track Ass'y., Sidelite (Parts Orders) </t>
  </si>
  <si>
    <t xml:space="preserve">Harness, Elect. Lock Extension 2 Ft. </t>
  </si>
  <si>
    <t xml:space="preserve">$88.00 </t>
  </si>
  <si>
    <t xml:space="preserve">Harness, Elect. Lock Extension 3 Ft. </t>
  </si>
  <si>
    <t xml:space="preserve">Harness, Elect. Lock Extension 4 Ft. </t>
  </si>
  <si>
    <t xml:space="preserve">Wire Harness, 2nd. Motor, Dual Motor Unit </t>
  </si>
  <si>
    <t xml:space="preserve">Wire Harness, Power Supply, Dual Motor Unit </t>
  </si>
  <si>
    <t xml:space="preserve">Kit "A", Pulley, Secondary Door, Telescope Slider </t>
  </si>
  <si>
    <t xml:space="preserve">$730.00 </t>
  </si>
  <si>
    <t xml:space="preserve">Kit "B", Pulley, Secondary Door, Telescope Slider </t>
  </si>
  <si>
    <t xml:space="preserve">Kit, Battery Backup, Lead Acid (System 19 &amp; 20 Products) </t>
  </si>
  <si>
    <t xml:space="preserve">$824.00 </t>
  </si>
  <si>
    <t xml:space="preserve">Kit, Enclosure (Molded) - Display Control Panel </t>
  </si>
  <si>
    <t xml:space="preserve">$937.00 </t>
  </si>
  <si>
    <t xml:space="preserve">Kit, Beam Set, Safety Hold (Cedes with Molded Connectors) </t>
  </si>
  <si>
    <t xml:space="preserve">$609.00 </t>
  </si>
  <si>
    <t xml:space="preserve">Kit, Schlage IC Cylinder (Housing, Green Core &amp; Keys) </t>
  </si>
  <si>
    <t xml:space="preserve">$398.00 </t>
  </si>
  <si>
    <t xml:space="preserve">Terminal Bar Ass'y., Alarm Contact </t>
  </si>
  <si>
    <t xml:space="preserve">Kit, Alarm Contacts, SO Panel Breakout </t>
  </si>
  <si>
    <t xml:space="preserve">Kit, Alarm Contacts, O Panel Breakout, Under 48" PW, Parts </t>
  </si>
  <si>
    <t xml:space="preserve">Kit, Alarm Contacts, Door Open / Door Closed </t>
  </si>
  <si>
    <t xml:space="preserve">Kit, System 20 Drive Module (110V) </t>
  </si>
  <si>
    <t xml:space="preserve">$7,046.00 </t>
  </si>
  <si>
    <t xml:space="preserve">Bracket, Belt Base </t>
  </si>
  <si>
    <t xml:space="preserve">Bracket, Belt Clasp </t>
  </si>
  <si>
    <t xml:space="preserve">**DNU** Bracket, Torque Tube Support </t>
  </si>
  <si>
    <t xml:space="preserve">$47.00 </t>
  </si>
  <si>
    <t xml:space="preserve">Bracket, Conduit Anchor </t>
  </si>
  <si>
    <t xml:space="preserve">Bracket, Idler Pulley Rev. A </t>
  </si>
  <si>
    <t xml:space="preserve">Bracket, Sidelite Strike </t>
  </si>
  <si>
    <t xml:space="preserve">$33.00 </t>
  </si>
  <si>
    <t xml:space="preserve">Bracket, Mounting (Flush Panic Device Housing) </t>
  </si>
  <si>
    <t xml:space="preserve">Bracket, Jamb/Mullion Mount </t>
  </si>
  <si>
    <t xml:space="preserve">$40.00 </t>
  </si>
  <si>
    <t xml:space="preserve">Plate, Header Mounting Brkt. (Wide Pocket Side Jambs) </t>
  </si>
  <si>
    <t xml:space="preserve">Plate, Lock Strike (Wide Pocket Side Jambs) </t>
  </si>
  <si>
    <t xml:space="preserve">Spacer, Carrier Roller </t>
  </si>
  <si>
    <t xml:space="preserve">Axle, Carrier Roller Rev. A </t>
  </si>
  <si>
    <t xml:space="preserve">Plate, Nut (Slave Carrier Belt Clamp - Telescope) </t>
  </si>
  <si>
    <t xml:space="preserve">Plate, Nut (Slave Pulley - Telescope) </t>
  </si>
  <si>
    <t xml:space="preserve">Spacer, Slave Pulley (Timing Belt - Telescope) </t>
  </si>
  <si>
    <t xml:space="preserve">$63.00 </t>
  </si>
  <si>
    <t xml:space="preserve">Plate, Belt Retainer (Tele.) Rev. A </t>
  </si>
  <si>
    <t xml:space="preserve">Bracket, Timing Belt Base (Telescope) </t>
  </si>
  <si>
    <t xml:space="preserve">Bracket, Timing Belt Clamp (Telescope) </t>
  </si>
  <si>
    <t xml:space="preserve">Bracket, Timing Belt Clasp (Telescope) </t>
  </si>
  <si>
    <t xml:space="preserve">Clamp, Timing Belt (Telescope) </t>
  </si>
  <si>
    <t xml:space="preserve">$74.00 </t>
  </si>
  <si>
    <t xml:space="preserve">Plate, Nut (10-32) </t>
  </si>
  <si>
    <t xml:space="preserve">Housing, Door Catch Ass'y. (part of sub-assy') </t>
  </si>
  <si>
    <t xml:space="preserve">Interlock, Door Catch-LH Rev D (part of sub-assy') </t>
  </si>
  <si>
    <t xml:space="preserve">Interlock, Door Catch-RH Rev.B (part of sub-assy') </t>
  </si>
  <si>
    <t xml:space="preserve">Bracket, Interlock Ass'y. Rev. A (part of sub-assy') </t>
  </si>
  <si>
    <t xml:space="preserve">$31.00 </t>
  </si>
  <si>
    <t xml:space="preserve">Plate, Interlock Ass'y. Rev. A </t>
  </si>
  <si>
    <t xml:space="preserve">Bracket, Upper Sidelite Pivot Rev. A </t>
  </si>
  <si>
    <t xml:space="preserve">$80.00 </t>
  </si>
  <si>
    <t xml:space="preserve">End Cap, Door Catch </t>
  </si>
  <si>
    <t xml:space="preserve">Bracket, Header Mounting - LH </t>
  </si>
  <si>
    <t xml:space="preserve">$41.00 </t>
  </si>
  <si>
    <t xml:space="preserve">Bracket, Header Mounting - LH With Mounting Hardware </t>
  </si>
  <si>
    <t xml:space="preserve">Bracket, Header Mounting - RH </t>
  </si>
  <si>
    <t xml:space="preserve">Bracket, Header Mounting - RH With Mounting Hardware </t>
  </si>
  <si>
    <t xml:space="preserve">Lockbolt, F86 Recessed Exit Device </t>
  </si>
  <si>
    <t xml:space="preserve">End Cap, Sway Rail </t>
  </si>
  <si>
    <t xml:space="preserve">Plate, Door Interlock </t>
  </si>
  <si>
    <t xml:space="preserve">$129.00 </t>
  </si>
  <si>
    <t xml:space="preserve">Bracket, Cover Support </t>
  </si>
  <si>
    <t xml:space="preserve">Bracket, Sidelite Strike w/Alarm Contact Prep </t>
  </si>
  <si>
    <t xml:space="preserve">$30.00 </t>
  </si>
  <si>
    <t xml:space="preserve">Insert, Bottom Sway Rail </t>
  </si>
  <si>
    <t xml:space="preserve">End Cap, Cover (Telescope) DO NOT RE-ORDER </t>
  </si>
  <si>
    <t xml:space="preserve">Block, Sidelite Pivot (Bottom) </t>
  </si>
  <si>
    <t xml:space="preserve">Bar, Alignment (Pin Guide Threshold) </t>
  </si>
  <si>
    <t xml:space="preserve">Cart Bar Machining </t>
  </si>
  <si>
    <t xml:space="preserve">Block, Shear (Machined) - SB5 </t>
  </si>
  <si>
    <t xml:space="preserve">Block, Upper Sidelite Pivot </t>
  </si>
  <si>
    <t xml:space="preserve">Rail, Top (3") Machining </t>
  </si>
  <si>
    <t xml:space="preserve">$66.00 </t>
  </si>
  <si>
    <t xml:space="preserve">Rail, Bottom (3 1/2") Machining </t>
  </si>
  <si>
    <t xml:space="preserve">Block, Flushbolt Support </t>
  </si>
  <si>
    <t xml:space="preserve">Block, Hex Bolt Guide </t>
  </si>
  <si>
    <t xml:space="preserve">$48.00 </t>
  </si>
  <si>
    <t xml:space="preserve">Bracket, Ball Catch And Panic Switch Magnet </t>
  </si>
  <si>
    <t xml:space="preserve">Bracket, Belt Mounted Magnet </t>
  </si>
  <si>
    <t xml:space="preserve">Interlock, Door Hurricane Interlock </t>
  </si>
  <si>
    <t xml:space="preserve">Bushing, Sidelite Pivot (Bottom) </t>
  </si>
  <si>
    <t xml:space="preserve">Plate, Pin Guide Support </t>
  </si>
  <si>
    <t xml:space="preserve">Strike Plate, Lockbolt (Bipart Units) </t>
  </si>
  <si>
    <t xml:space="preserve">Hex Bolt, Threshold (1/4-20 Tap) </t>
  </si>
  <si>
    <t xml:space="preserve">Strike Plate, Lockbolt (Single Units) </t>
  </si>
  <si>
    <t xml:space="preserve">$84.00 </t>
  </si>
  <si>
    <t xml:space="preserve">Cover, Door Catch </t>
  </si>
  <si>
    <t xml:space="preserve">Block, Slide Arm </t>
  </si>
  <si>
    <t xml:space="preserve">Strip, Polyurethane (Door Bottom Seal) 3/4" x 48" </t>
  </si>
  <si>
    <t xml:space="preserve">Cable, Canbus, 12' Ext. RIC290 </t>
  </si>
  <si>
    <t xml:space="preserve">Pivot Arm Ass'y., All Glass Sliders </t>
  </si>
  <si>
    <t xml:space="preserve">$913.00 </t>
  </si>
  <si>
    <t xml:space="preserve">Toe Roller Ass'y. (All-Glass Sliders) </t>
  </si>
  <si>
    <t xml:space="preserve">Bracket, Sway Guide - LH (All Glass Slider) </t>
  </si>
  <si>
    <t xml:space="preserve">Bracket, Sway Guide - RH (All Glass Slider) </t>
  </si>
  <si>
    <t xml:space="preserve">Bracket, Interlock Ass'y. (All Glass Slider) </t>
  </si>
  <si>
    <t xml:space="preserve">End Cap, Rail (3"), LH, Black </t>
  </si>
  <si>
    <t xml:space="preserve">End Cap, Rail (3"), RH, Black </t>
  </si>
  <si>
    <t xml:space="preserve">End Cap, Rail (3-5/8"), LH, Black </t>
  </si>
  <si>
    <t xml:space="preserve">End Cap, Rail (3-5/8"), RH, Black </t>
  </si>
  <si>
    <t xml:space="preserve">End Cap, Rail (4"), LH, Black </t>
  </si>
  <si>
    <t xml:space="preserve">End Cap, Rail (4"), RH, Black </t>
  </si>
  <si>
    <t xml:space="preserve">End Cap, Rail (5"), LH, Black </t>
  </si>
  <si>
    <t xml:space="preserve">End Cap, Rail (5"), RH, Black </t>
  </si>
  <si>
    <t xml:space="preserve">End Cap, Rail (5-5/8"), LH Black </t>
  </si>
  <si>
    <t xml:space="preserve">$56.00 </t>
  </si>
  <si>
    <t xml:space="preserve">End Cap, Rail (5-5/8"), RH Black </t>
  </si>
  <si>
    <t xml:space="preserve">End Cap, Rail (6"), LH, Black </t>
  </si>
  <si>
    <t xml:space="preserve">End Cap, Rail (6"), RH, Black </t>
  </si>
  <si>
    <t xml:space="preserve">Glass Retention, Impact Clear Anodized </t>
  </si>
  <si>
    <t xml:space="preserve">Glass Retention, Impact Dark Bronze Anodized </t>
  </si>
  <si>
    <t xml:space="preserve">Bottom Guide Ass'y DBO, Wood Doors, LH </t>
  </si>
  <si>
    <t xml:space="preserve">Carrier Ass'y., Telescope ICU </t>
  </si>
  <si>
    <t xml:space="preserve">Transfer Pivot Ass'y. - LH Trackless Telescope Units </t>
  </si>
  <si>
    <t xml:space="preserve">$509.00 </t>
  </si>
  <si>
    <t xml:space="preserve">Transfer Pivot Ass'y. - RH Trackless Telescope Units </t>
  </si>
  <si>
    <t xml:space="preserve">Lever Handle Ass'y. - ICU Positive Latch Set = 2 Handles </t>
  </si>
  <si>
    <t xml:space="preserve">$263.00 </t>
  </si>
  <si>
    <t xml:space="preserve">$275.00 </t>
  </si>
  <si>
    <t xml:space="preserve">Interlock Ass'y. - L.H. ICU Positive Latch </t>
  </si>
  <si>
    <t xml:space="preserve">$225.00 </t>
  </si>
  <si>
    <t xml:space="preserve">Interlock Ass'y. - R.H. ICU Positive Latch </t>
  </si>
  <si>
    <t xml:space="preserve">Activator Ass'y. - ICU Positive Latch </t>
  </si>
  <si>
    <t xml:space="preserve">$141.00 </t>
  </si>
  <si>
    <t xml:space="preserve">Actuator Ass'y. - ICU Positive Latch </t>
  </si>
  <si>
    <t xml:space="preserve">Bracket, ICU Header Mtg. - LH </t>
  </si>
  <si>
    <t xml:space="preserve">$23.00 </t>
  </si>
  <si>
    <t xml:space="preserve">Bracket, ICU Header Mtg. - RH </t>
  </si>
  <si>
    <t xml:space="preserve">Strike, Positive Latch**NOTE** Send with 2-81-0019-2558screws </t>
  </si>
  <si>
    <t xml:space="preserve">End Cap, Door Catch (Positive Latch) </t>
  </si>
  <si>
    <t xml:space="preserve">Bolt, Positive Latch </t>
  </si>
  <si>
    <t xml:space="preserve">Bracket, Face Plate </t>
  </si>
  <si>
    <t xml:space="preserve">Strike, Positive Latch (Bipart Units) </t>
  </si>
  <si>
    <t xml:space="preserve">Block, Door Timing (Trackless Telescope ICU) </t>
  </si>
  <si>
    <t xml:space="preserve">End Cap, Anti-Breakout Tube </t>
  </si>
  <si>
    <t xml:space="preserve">Bracket, Sidelite Pivot (Trackless ICUs) </t>
  </si>
  <si>
    <t xml:space="preserve">Ball Catch Ass'y. </t>
  </si>
  <si>
    <t xml:space="preserve">Roller Ass'y., Bottom Guide </t>
  </si>
  <si>
    <t xml:space="preserve">Pin, Bottom Guide </t>
  </si>
  <si>
    <t xml:space="preserve">Bracket, Bottom Guide (All Glass) </t>
  </si>
  <si>
    <t xml:space="preserve">$28.00 </t>
  </si>
  <si>
    <t xml:space="preserve">Cover &amp; Backplate Ass'y., Sgl., Non-Std. D.O.W., Black </t>
  </si>
  <si>
    <t xml:space="preserve">$1,521.00 </t>
  </si>
  <si>
    <t xml:space="preserve">Cover &amp; Backplate Ass'y., Single, Non-Std. D.O.W., Clear </t>
  </si>
  <si>
    <t xml:space="preserve">$1,220.00 </t>
  </si>
  <si>
    <t xml:space="preserve">Cover &amp; Backplate Ass'y., Sgl., Non-Std. D.O.W.,Dk. Brz. </t>
  </si>
  <si>
    <t xml:space="preserve">$1,249.00 </t>
  </si>
  <si>
    <t xml:space="preserve">Cover &amp; Backplate Ass'y., Dual, Non-Std. D.O.W., Black </t>
  </si>
  <si>
    <t xml:space="preserve">$2,604.00 </t>
  </si>
  <si>
    <t xml:space="preserve">Cover &amp; Backplate Ass'y., Dual, Non-Std. D.O.W., Clear </t>
  </si>
  <si>
    <t xml:space="preserve">$2,310.00 </t>
  </si>
  <si>
    <t xml:space="preserve">Cover &amp; Backplate Ass'y., Dual, Non-Std. D.O.W.,Dk. Brz. </t>
  </si>
  <si>
    <t xml:space="preserve">$2,331.00 </t>
  </si>
  <si>
    <t xml:space="preserve">Relay Ass'y., Panic Breakout </t>
  </si>
  <si>
    <t xml:space="preserve">$255.00 </t>
  </si>
  <si>
    <t xml:space="preserve">Control Module, Display, | w/cable w.o plug, DFA SS/SPG </t>
  </si>
  <si>
    <t xml:space="preserve">$645.00 </t>
  </si>
  <si>
    <t xml:space="preserve">Kit, S8000 Control Plug-In Terminal Blocks </t>
  </si>
  <si>
    <t xml:space="preserve">Kit, Rocker Switch Control Module </t>
  </si>
  <si>
    <t xml:space="preserve">Kit, Header Accessory Package, S8000 Operator </t>
  </si>
  <si>
    <t xml:space="preserve">$183.00 </t>
  </si>
  <si>
    <t xml:space="preserve">Kit, Double Egress Arm Adaptor </t>
  </si>
  <si>
    <t xml:space="preserve">$450.00 </t>
  </si>
  <si>
    <t xml:space="preserve">Kit, Keyswitch, ON/OFF/OPEN, Dual Configuration </t>
  </si>
  <si>
    <t xml:space="preserve">$662.00 </t>
  </si>
  <si>
    <t xml:space="preserve">Kit, Harness Extension, FPC902 </t>
  </si>
  <si>
    <t xml:space="preserve">Cover Machining, Single, Black, Non-Std. D.O.W. </t>
  </si>
  <si>
    <t xml:space="preserve">$1,105.00 </t>
  </si>
  <si>
    <t xml:space="preserve">Cover Machining, Single, Clear, Non-Std. D.O.W. </t>
  </si>
  <si>
    <t xml:space="preserve">$811.00 </t>
  </si>
  <si>
    <t xml:space="preserve">Cover Machining, Single, Dk. Brz., Non-Std. D.O.W. </t>
  </si>
  <si>
    <t xml:space="preserve">$833.00 </t>
  </si>
  <si>
    <t xml:space="preserve">Cover Machining, Dual, Black, Non-Std. D.O.W. </t>
  </si>
  <si>
    <t xml:space="preserve">$1,792.00 </t>
  </si>
  <si>
    <t xml:space="preserve">Cover Machining, Dual, Clear, Non-Std. D.O.W. </t>
  </si>
  <si>
    <t xml:space="preserve">$1,473.00 </t>
  </si>
  <si>
    <t xml:space="preserve">Cover Machining, Dual, Dk. Brz., Non-Std. D.O.W. </t>
  </si>
  <si>
    <t xml:space="preserve">$1,520.00 </t>
  </si>
  <si>
    <t xml:space="preserve">Plate, Adaptor (LCN 4040 Door Closer in S8100/S8200 Header) </t>
  </si>
  <si>
    <t xml:space="preserve">**DNU - see notes**Enclosure, Display Control Panel (Non-Metallic) Machi EACH </t>
  </si>
  <si>
    <t xml:space="preserve">$72.00 </t>
  </si>
  <si>
    <t xml:space="preserve">Arm, Drive (S8500 O.H.C.) </t>
  </si>
  <si>
    <t xml:space="preserve">$614.00 </t>
  </si>
  <si>
    <t xml:space="preserve">$739.00 </t>
  </si>
  <si>
    <t xml:space="preserve">Slide Arm Ass'y.- LHR / RH (O.H.C. Butt Hinge) </t>
  </si>
  <si>
    <t xml:space="preserve">Bracket Ass'y., Door Closed Stop </t>
  </si>
  <si>
    <t xml:space="preserve">$137.00 </t>
  </si>
  <si>
    <t xml:space="preserve">Drive Module w/Control S8500 (SN) </t>
  </si>
  <si>
    <t xml:space="preserve">$4,818.00 </t>
  </si>
  <si>
    <t xml:space="preserve">Drive Module w/Control S8500 w/Brake                   (SN) </t>
  </si>
  <si>
    <t xml:space="preserve">$5,020.00 </t>
  </si>
  <si>
    <t xml:space="preserve">Kit, Fixed Stop (S8500/8600 O.H.C.) </t>
  </si>
  <si>
    <t xml:space="preserve">$178.00 </t>
  </si>
  <si>
    <t xml:space="preserve">Kit, Breakout/Panic Stop (S8500/8600 O.H.C.) </t>
  </si>
  <si>
    <t xml:space="preserve">$1,202.00 </t>
  </si>
  <si>
    <t xml:space="preserve">Kit, Header Accessories (S8500/8600 O.H.C.) </t>
  </si>
  <si>
    <t xml:space="preserve">$491.00 </t>
  </si>
  <si>
    <t xml:space="preserve">Kit, On/Off/Open Rocker Switch </t>
  </si>
  <si>
    <t xml:space="preserve">$266.00 </t>
  </si>
  <si>
    <t xml:space="preserve">Drive Arm, OHC Operator (Modified)from 9-80-0107 </t>
  </si>
  <si>
    <t xml:space="preserve">$394.00 </t>
  </si>
  <si>
    <t xml:space="preserve">Door Arm, OHC Operator </t>
  </si>
  <si>
    <t xml:space="preserve">$221.00 </t>
  </si>
  <si>
    <t xml:space="preserve">Extension, Slide Arm (Butt Hung) </t>
  </si>
  <si>
    <t xml:space="preserve">End Cap, Header, OHC </t>
  </si>
  <si>
    <t xml:space="preserve">$117.00 </t>
  </si>
  <si>
    <t xml:space="preserve">End Cap, Header (Blank) </t>
  </si>
  <si>
    <t xml:space="preserve">Adapter, OHC Closer - Track Arm - S8700 Manual Door Pkg. </t>
  </si>
  <si>
    <t xml:space="preserve">$201.00 </t>
  </si>
  <si>
    <t xml:space="preserve">Block, Door Closed Stop </t>
  </si>
  <si>
    <t xml:space="preserve">Spacer, Operator Body </t>
  </si>
  <si>
    <t xml:space="preserve">Cover, Slide Arm Ass'y. (LHR / RH) </t>
  </si>
  <si>
    <t xml:space="preserve">Cover, Slide Arm Ass'y. (RHR / LH) </t>
  </si>
  <si>
    <t xml:space="preserve">Cover, Slide Arm Ass'y. (Dual Units) </t>
  </si>
  <si>
    <t xml:space="preserve">$194.00 </t>
  </si>
  <si>
    <t xml:space="preserve">$208.00 </t>
  </si>
  <si>
    <t xml:space="preserve">Fingerguard (8 Ft. S/L) </t>
  </si>
  <si>
    <t xml:space="preserve">Fingerguard (10 Ft. S/L) </t>
  </si>
  <si>
    <t xml:space="preserve">$227.00 </t>
  </si>
  <si>
    <t xml:space="preserve">Block, Panic Switch Mounting </t>
  </si>
  <si>
    <t xml:space="preserve">Kit, Push Bar </t>
  </si>
  <si>
    <t xml:space="preserve">Mini-Station Control, Push Button </t>
  </si>
  <si>
    <t xml:space="preserve">$217.00 </t>
  </si>
  <si>
    <t xml:space="preserve">Pin Guide Threshold </t>
  </si>
  <si>
    <t xml:space="preserve">Threshold, 1/4" X 7" Saddle </t>
  </si>
  <si>
    <t xml:space="preserve">Stile, Tandem (Narrow) (21'1" S/L) </t>
  </si>
  <si>
    <t xml:space="preserve">Stile, Tandem (Narrow) (24 Ft. S/L) </t>
  </si>
  <si>
    <t xml:space="preserve">Stile, Tandem (Narrow) S/L 170" </t>
  </si>
  <si>
    <t xml:space="preserve">Stile, Fixed (Narrow) (21'1" S/L) </t>
  </si>
  <si>
    <t xml:space="preserve">Stile, Fixed (Narrow) (24 Ft. S/L) </t>
  </si>
  <si>
    <t xml:space="preserve">$39.00 </t>
  </si>
  <si>
    <t xml:space="preserve">Fixed Stile (Narrow) S/L 170" </t>
  </si>
  <si>
    <t xml:space="preserve">Stile, Tandem (Medium) 22' </t>
  </si>
  <si>
    <t xml:space="preserve">Stile, Tandem (Medium) S/L 168" </t>
  </si>
  <si>
    <t xml:space="preserve">Stile, Tandem (Medium) S/L 264" </t>
  </si>
  <si>
    <t xml:space="preserve">Stile, Fixed (Medium) 22' </t>
  </si>
  <si>
    <t xml:space="preserve">$45.00 </t>
  </si>
  <si>
    <t xml:space="preserve">Stile, Fixed (Medium) S/L 168" </t>
  </si>
  <si>
    <t xml:space="preserve">Filler, Stile 21'1" </t>
  </si>
  <si>
    <t xml:space="preserve">Filler, Stile S/L 21'1" </t>
  </si>
  <si>
    <t xml:space="preserve">Adaptor, Transom </t>
  </si>
  <si>
    <t xml:space="preserve">Muntin Bar, 1 1/2" </t>
  </si>
  <si>
    <t xml:space="preserve">Muntin Bar, 1 1/2 S/L 12' </t>
  </si>
  <si>
    <t xml:space="preserve">Rail, 2 1/2" </t>
  </si>
  <si>
    <t xml:space="preserve">Rail, 2 1/2" S/L 12' </t>
  </si>
  <si>
    <t xml:space="preserve">Rail, 3 1/2" 24' </t>
  </si>
  <si>
    <t xml:space="preserve">Rail, 3 1/2" </t>
  </si>
  <si>
    <t xml:space="preserve">Rail, 3 1/2" S/L 12' </t>
  </si>
  <si>
    <t xml:space="preserve">Rail, 4" </t>
  </si>
  <si>
    <t xml:space="preserve">Rail, 4" S/L 12' </t>
  </si>
  <si>
    <t xml:space="preserve">Rail, 5" </t>
  </si>
  <si>
    <t xml:space="preserve">$44.00 </t>
  </si>
  <si>
    <t xml:space="preserve">Rail, 5" S/L 168" </t>
  </si>
  <si>
    <t xml:space="preserve">Rail, 6" </t>
  </si>
  <si>
    <t xml:space="preserve">Rail, 6" S/L 12' </t>
  </si>
  <si>
    <t xml:space="preserve">Gutter, 1/4" Beveled </t>
  </si>
  <si>
    <t xml:space="preserve">Sash, 1/4" Beveled </t>
  </si>
  <si>
    <t xml:space="preserve">Gutter, 1/4" Square, Clear Ano 24' </t>
  </si>
  <si>
    <t xml:space="preserve">Gutter,1/4" Square,DarkBronzeAno 24' </t>
  </si>
  <si>
    <t xml:space="preserve">Gutter, 1/4" Square S/L 24' </t>
  </si>
  <si>
    <t xml:space="preserve">Sash, 1/4" Square, Clear Anoize 24' </t>
  </si>
  <si>
    <t xml:space="preserve">Sash, 1/4" Square,DarkBronze Ano 24' </t>
  </si>
  <si>
    <t xml:space="preserve">Sash, 1/4" Square S/L 24' </t>
  </si>
  <si>
    <t xml:space="preserve">Gutter, 1", Clear Anodized 24' </t>
  </si>
  <si>
    <t xml:space="preserve">Gutter,1", Dark Bronze Anodize 24' </t>
  </si>
  <si>
    <t xml:space="preserve">Gutter, 1" S/L 24' </t>
  </si>
  <si>
    <t xml:space="preserve">Sash, 1", Clear Anodized 24' </t>
  </si>
  <si>
    <t xml:space="preserve">Sash,1", Dark Bronze Anodize 24' </t>
  </si>
  <si>
    <t xml:space="preserve">Sash, 1" S/L 24' </t>
  </si>
  <si>
    <t xml:space="preserve">Gutter, Hurricane, Clear Anodized </t>
  </si>
  <si>
    <t xml:space="preserve">Gutter, Hurricane, Dark Bronze Anodized </t>
  </si>
  <si>
    <t xml:space="preserve">Gutter, Hurricane S/L 24' </t>
  </si>
  <si>
    <t xml:space="preserve">Aluminum Tube, 1" X 2" </t>
  </si>
  <si>
    <t xml:space="preserve">ALUMINUM TUBE, 1" X 2", D. BRONZE </t>
  </si>
  <si>
    <t xml:space="preserve">Aluminum Tube, 1" X 2", MF </t>
  </si>
  <si>
    <t xml:space="preserve">Aluminum, Channel, 1 1/4" x 3/4" x 1/8" Wall </t>
  </si>
  <si>
    <t xml:space="preserve">Header, Folding Doors 23'6" </t>
  </si>
  <si>
    <t xml:space="preserve">$187.00 </t>
  </si>
  <si>
    <t xml:space="preserve">Header, Slide/Fold Doors 12'0" </t>
  </si>
  <si>
    <t xml:space="preserve">$111.00 </t>
  </si>
  <si>
    <t xml:space="preserve">Cover, Folding Door Header 23'6" </t>
  </si>
  <si>
    <t xml:space="preserve">Cover, Folding Door Header 23"6" </t>
  </si>
  <si>
    <t xml:space="preserve">Cover, Slide/Fold Door Header 12'0" </t>
  </si>
  <si>
    <t xml:space="preserve">Door Catch, Top 22' </t>
  </si>
  <si>
    <t xml:space="preserve">Door Catch, Top 12'0" </t>
  </si>
  <si>
    <t xml:space="preserve">Door Catch, Bottom 22' </t>
  </si>
  <si>
    <t xml:space="preserve">Door Catch, Bottom 12'0" </t>
  </si>
  <si>
    <t xml:space="preserve">Filler, Slide/Fold Side Jamb 21' </t>
  </si>
  <si>
    <t xml:space="preserve">Filler, Slide Fold Side Jamb 21' </t>
  </si>
  <si>
    <t xml:space="preserve">Filler, Slide/Fold Side Jamb 16'0" </t>
  </si>
  <si>
    <t xml:space="preserve">Filler, Slide/Fold Side Jamb (Wide Pocket) 21' </t>
  </si>
  <si>
    <t xml:space="preserve">Filler, Slide/Fold Side Jamb, Wide Pocket    16'0" </t>
  </si>
  <si>
    <t xml:space="preserve">Stile, Hinge 21'1" </t>
  </si>
  <si>
    <t xml:space="preserve">Stile, Hinge 14'2" </t>
  </si>
  <si>
    <t xml:space="preserve">Stile, Pivot 21' </t>
  </si>
  <si>
    <t xml:space="preserve">Stile, Pivot 14'2" </t>
  </si>
  <si>
    <t xml:space="preserve">Header, 4900 Swing/Fold ICU </t>
  </si>
  <si>
    <t xml:space="preserve">Header Track, 4900 ICU </t>
  </si>
  <si>
    <t xml:space="preserve">Header, Series 5100 24' </t>
  </si>
  <si>
    <t xml:space="preserve">$160.00 </t>
  </si>
  <si>
    <t xml:space="preserve">Header, Series 5100 22' </t>
  </si>
  <si>
    <t xml:space="preserve">Header - MF S/L 168" </t>
  </si>
  <si>
    <t xml:space="preserve">Header S/L 288" </t>
  </si>
  <si>
    <t xml:space="preserve">Cover, Series 5100 24' </t>
  </si>
  <si>
    <t xml:space="preserve">Cover, Series 5100 22' </t>
  </si>
  <si>
    <t xml:space="preserve">Cover, Series 5100 S/L 168" </t>
  </si>
  <si>
    <t xml:space="preserve">$55.00 </t>
  </si>
  <si>
    <t xml:space="preserve">Filler, Header Soffit </t>
  </si>
  <si>
    <t xml:space="preserve">Filler, Header Soffit S/L 24' </t>
  </si>
  <si>
    <t xml:space="preserve">Roller Track, Series 5100 </t>
  </si>
  <si>
    <t xml:space="preserve">Door Catch, 5100 </t>
  </si>
  <si>
    <t xml:space="preserve">Door Catch, 5100 S/L 168" </t>
  </si>
  <si>
    <t xml:space="preserve">Insert, Telescope Header </t>
  </si>
  <si>
    <t xml:space="preserve">Rail - 3" </t>
  </si>
  <si>
    <t xml:space="preserve">Rail, 3" S/L 12' </t>
  </si>
  <si>
    <t xml:space="preserve">Rail - 9" 24' </t>
  </si>
  <si>
    <t xml:space="preserve">Rail - 9" (12 ft) </t>
  </si>
  <si>
    <t xml:space="preserve">$69.00 </t>
  </si>
  <si>
    <t xml:space="preserve">Rail, 9" (24') </t>
  </si>
  <si>
    <t xml:space="preserve">$64.00 </t>
  </si>
  <si>
    <t xml:space="preserve">Rail - 10" 24' </t>
  </si>
  <si>
    <t xml:space="preserve">$143.00 </t>
  </si>
  <si>
    <t xml:space="preserve">Rail, 10" S/L 12' </t>
  </si>
  <si>
    <t xml:space="preserve">Housing, Recessed Panic Device </t>
  </si>
  <si>
    <t xml:space="preserve">Housing, Recessed Panic Device S/L 12' </t>
  </si>
  <si>
    <t xml:space="preserve">Pin Guide Threshold, Tele. </t>
  </si>
  <si>
    <t xml:space="preserve">Insert, Pin Guide </t>
  </si>
  <si>
    <t xml:space="preserve">Sway Rail </t>
  </si>
  <si>
    <t xml:space="preserve">Sway Rail S/L 168" </t>
  </si>
  <si>
    <t xml:space="preserve">Insert, Header (PP/SA Sliders) </t>
  </si>
  <si>
    <t xml:space="preserve">Cover - PP/SA Sliders </t>
  </si>
  <si>
    <t xml:space="preserve">Threshold, 1/2" x 7" Saddle 24' </t>
  </si>
  <si>
    <t xml:space="preserve">Side Jamb, 1" Pocket </t>
  </si>
  <si>
    <t xml:space="preserve">Side Jamb, 1" Pocket 192", 16' </t>
  </si>
  <si>
    <t xml:space="preserve">Mullion, 1" Pocket </t>
  </si>
  <si>
    <t xml:space="preserve">Mullion, 1" Pocket (14 ft) </t>
  </si>
  <si>
    <t xml:space="preserve">Mullion, 1" Pocket (16ft) </t>
  </si>
  <si>
    <t xml:space="preserve">Filler, Side Jamb, 1" Pocket </t>
  </si>
  <si>
    <t xml:space="preserve">Filler, Side Jamb 1' Pocket S/L 24' </t>
  </si>
  <si>
    <t xml:space="preserve">Push Bar / Cart Bar 24' </t>
  </si>
  <si>
    <t xml:space="preserve">Push Bar / Cart Bar 1/4"x 2"x 12'6" </t>
  </si>
  <si>
    <t xml:space="preserve">Threshold, 1/2"x 7" Saddle (Smooth Surface)    20 FT S/L </t>
  </si>
  <si>
    <t xml:space="preserve">Threshold, 1/2" x 7" Saddle Slip Resistant Do Not Reorder </t>
  </si>
  <si>
    <t xml:space="preserve">$218.00 </t>
  </si>
  <si>
    <t xml:space="preserve">Side Jamb, 1 3/4" X 6 3/4" </t>
  </si>
  <si>
    <t xml:space="preserve">Side Jamb, 1 3/4" x 6 3/4" 20'0" </t>
  </si>
  <si>
    <t xml:space="preserve">Side Jamb, 1 3/4" X 6 3/4" S/L 12' </t>
  </si>
  <si>
    <t xml:space="preserve">$76.00 </t>
  </si>
  <si>
    <t xml:space="preserve">Rail, 3" </t>
  </si>
  <si>
    <t xml:space="preserve">Rail, 3" S/L 144" </t>
  </si>
  <si>
    <t xml:space="preserve">Rail, 4" S/L 144" </t>
  </si>
  <si>
    <t xml:space="preserve">$101.00 </t>
  </si>
  <si>
    <t xml:space="preserve">$112.00 </t>
  </si>
  <si>
    <t xml:space="preserve">$115.00 </t>
  </si>
  <si>
    <t xml:space="preserve">Strip, Glass Clamp </t>
  </si>
  <si>
    <t xml:space="preserve">Header, 5900 ICU </t>
  </si>
  <si>
    <t xml:space="preserve">$124.00 </t>
  </si>
  <si>
    <t xml:space="preserve">Header, 5900 ICU 15'0" </t>
  </si>
  <si>
    <t xml:space="preserve">Header, 5900 ICU S/L 12' </t>
  </si>
  <si>
    <t xml:space="preserve">$105.00 </t>
  </si>
  <si>
    <t xml:space="preserve">Insert, Telescopic ICU Header </t>
  </si>
  <si>
    <t xml:space="preserve">Insert, Telescopic ICU Header 15'0" </t>
  </si>
  <si>
    <t xml:space="preserve">Cover, 5900 ICU </t>
  </si>
  <si>
    <t xml:space="preserve">Cover, 5900 ICU 15'0" </t>
  </si>
  <si>
    <t xml:space="preserve">Cover, 5900 ICU S/L 12' </t>
  </si>
  <si>
    <t xml:space="preserve">Header, 5800 (4.25") </t>
  </si>
  <si>
    <t xml:space="preserve">$144.00 </t>
  </si>
  <si>
    <t xml:space="preserve">Side Jamb, 1 3/4" X 4 1/2" </t>
  </si>
  <si>
    <t xml:space="preserve">Side Jamb, 1 3/4" x 4 1/2" 22' </t>
  </si>
  <si>
    <t xml:space="preserve">Side Jamb, 1 3/4" x 4 1/2 S/L 16' </t>
  </si>
  <si>
    <t xml:space="preserve">Side Jamb. 1 3/4" x 4 1/2" S/L 288" </t>
  </si>
  <si>
    <t xml:space="preserve">Tube, Rectangular, 1 3/4" X 4 1/2" </t>
  </si>
  <si>
    <t xml:space="preserve">Side Jamb, 1" X 4 1/2" 24' </t>
  </si>
  <si>
    <t xml:space="preserve">Tube, 1 3/4 x 2 </t>
  </si>
  <si>
    <t xml:space="preserve">Filler, Side Jamb </t>
  </si>
  <si>
    <t xml:space="preserve">Filler, Side Jamb S/L 16' </t>
  </si>
  <si>
    <t xml:space="preserve">Mullion, Vertical 24' </t>
  </si>
  <si>
    <t xml:space="preserve">Mullion, Vertical S/L 16' </t>
  </si>
  <si>
    <t xml:space="preserve">Sidelite Stop </t>
  </si>
  <si>
    <t xml:space="preserve">SIDELITE STOP </t>
  </si>
  <si>
    <t xml:space="preserve">Aluminum, Channel 1"x 1"x 1/8"x 20' </t>
  </si>
  <si>
    <t xml:space="preserve">Plate, Operator Mounting 24' </t>
  </si>
  <si>
    <t xml:space="preserve">Cover, DFA Operator, Black Ano ; S/L 24' </t>
  </si>
  <si>
    <t xml:space="preserve">Cover, DFA Operator 24' </t>
  </si>
  <si>
    <t xml:space="preserve">Cover, DFA Operator S/L 161" </t>
  </si>
  <si>
    <t xml:space="preserve">Header, OHC S/L 24' </t>
  </si>
  <si>
    <t xml:space="preserve">Header, OHC S/L 12' </t>
  </si>
  <si>
    <t xml:space="preserve">Cover, OHC S/L 24' </t>
  </si>
  <si>
    <t xml:space="preserve">Cover, OHC S/L 12' </t>
  </si>
  <si>
    <t xml:space="preserve">Channel, Arm Cover S/L 24' </t>
  </si>
  <si>
    <t xml:space="preserve">Insert, Glass Stop 12' Stick Length </t>
  </si>
  <si>
    <t xml:space="preserve">Vinyl, Sidelite Seal </t>
  </si>
  <si>
    <t xml:space="preserve">Block, Glass Setting </t>
  </si>
  <si>
    <t xml:space="preserve">Vinyl, Smokeless ICU </t>
  </si>
  <si>
    <t xml:space="preserve">Glazing Bulb, Coextrusion </t>
  </si>
  <si>
    <t xml:space="preserve">$577.00 </t>
  </si>
  <si>
    <t xml:space="preserve">Channel, Weather Pile (7'-3") </t>
  </si>
  <si>
    <t xml:space="preserve">Block, Glass Jacking </t>
  </si>
  <si>
    <t xml:space="preserve">Enclosure, Molded - Display Control Panel </t>
  </si>
  <si>
    <t xml:space="preserve">Seal, Door Edge (5200 All Glass Slider) - 16' PC </t>
  </si>
  <si>
    <t xml:space="preserve">Vinyl, Smoke/Air Seal 16' stock length </t>
  </si>
  <si>
    <t xml:space="preserve">Vinyl, Transom </t>
  </si>
  <si>
    <t xml:space="preserve">End Cap, Cover </t>
  </si>
  <si>
    <t xml:space="preserve">Insert, Shaft Cutout </t>
  </si>
  <si>
    <t xml:space="preserve">Insert, Cover (Plain) </t>
  </si>
  <si>
    <t xml:space="preserve">Insert, Cover (Switch) </t>
  </si>
  <si>
    <t xml:space="preserve">Screw, 10-32 X 1/2", Phillips, Flat, MS, Zinc </t>
  </si>
  <si>
    <t xml:space="preserve">Screw, 1/4-20 x 1", Flat, Socket CS, Plain Box of 75 </t>
  </si>
  <si>
    <t xml:space="preserve">BOX </t>
  </si>
  <si>
    <t xml:space="preserve">Screw, 1/4-20 X 5/8", Allen Flange, Button, Oxide </t>
  </si>
  <si>
    <t xml:space="preserve">Screw, 10-32 x 1/4", Hex Socket CS, Grade 5, Box of 150 </t>
  </si>
  <si>
    <t xml:space="preserve">Screw, 10-32 X 1/2", Hex Socket CS, Grade 5 Box of 200 </t>
  </si>
  <si>
    <t xml:space="preserve">Screw, 1/4-20 x 3/8", Socket, Flanged BH,CS,Blk.Oxide Box100 </t>
  </si>
  <si>
    <t xml:space="preserve">Screw,1/4-20 X 5/8", Hex, Washer Head,MS,Grade8,Plain Box of 50 </t>
  </si>
  <si>
    <t xml:space="preserve">Screw, 1/4-20 X 3/4", Hex, Washer Head,MS,Grade8,Plain Box of 75 </t>
  </si>
  <si>
    <t xml:space="preserve">Screw, 5/16-18 X 1 1/2", Hex, CS, Grade 8, Zin, Box of 50 </t>
  </si>
  <si>
    <t xml:space="preserve">Screw, 10-32 x 3/8", Socket Lo Head, CS, Plain </t>
  </si>
  <si>
    <t xml:space="preserve">Screw, 1/4-20 X 3/4", Hex, MS W/Nylok Patch, Grade 5 Or 8 </t>
  </si>
  <si>
    <t xml:space="preserve">Screw, 8-18 x 1/2",Phillips,Pan Type"AB",SMS,Blk.Ox.Box of 200 </t>
  </si>
  <si>
    <t xml:space="preserve">Screw, 10-16 X 1/2", Phillips, Pan, SMS, Type B, Zinc </t>
  </si>
  <si>
    <t xml:space="preserve">Screw, 6-32 x 3/", Phillips, | Flat, Type "F", Zinc </t>
  </si>
  <si>
    <t xml:space="preserve">Screw, 1/4-20 X 2 1/2", Phillips, Flat, SMS, Type "F", Zinc </t>
  </si>
  <si>
    <t xml:space="preserve">Screw, 10-24 X 1/2", Phillips, Flat, Type 23, Zinc Box of 100 </t>
  </si>
  <si>
    <t xml:space="preserve">Screw, 10-24 X 3/4", Phillips, Flat,Type 23,Zinc Box of 100 </t>
  </si>
  <si>
    <t xml:space="preserve">Decal, "In Emergency, Push to Open" </t>
  </si>
  <si>
    <t xml:space="preserve">Decal Set, Bipart Sliders </t>
  </si>
  <si>
    <t xml:space="preserve">Decal Set, Single Sliders </t>
  </si>
  <si>
    <t xml:space="preserve">Decal, AAADM Safety - Sliders </t>
  </si>
  <si>
    <t xml:space="preserve">Label, Trackless ICU Operation </t>
  </si>
  <si>
    <t xml:space="preserve">Decal, Automatic Sliding Door (w/record logo) </t>
  </si>
  <si>
    <t xml:space="preserve">Decal, "STAND CLEAR" </t>
  </si>
  <si>
    <t xml:space="preserve">Decal, record Logo (Bubble) </t>
  </si>
  <si>
    <t xml:space="preserve">Decal, "This Door Must Remain Unlocked During Business Hrs." </t>
  </si>
  <si>
    <t xml:space="preserve">Decal, ICU Positive Latch Emergency Release </t>
  </si>
  <si>
    <t xml:space="preserve">Decal, AAADM Safety - Swing Door Operators </t>
  </si>
  <si>
    <t xml:space="preserve">Decal Set - Low Energy Electromechanical Operators </t>
  </si>
  <si>
    <t xml:space="preserve">Decal,"Caution Automatic Door" w/"Activate Switch to Operate" </t>
  </si>
  <si>
    <t xml:space="preserve">Decal, "Automatic Door Keep Moving" w/Arrow </t>
  </si>
  <si>
    <t xml:space="preserve">Decal Set, Full Power Operator </t>
  </si>
  <si>
    <t xml:space="preserve">Decal Set, Low Energy Operator </t>
  </si>
  <si>
    <t xml:space="preserve">Decal, Caution Automatic Door (2-Sided) </t>
  </si>
  <si>
    <t xml:space="preserve">Decal, "Automatic Door Keep Moving" w/ Arrow, (2-Sided) </t>
  </si>
  <si>
    <t xml:space="preserve">Decal, "Caution Automatic Door Two Way Traffic", (2-Sided) </t>
  </si>
  <si>
    <t xml:space="preserve">Decal, "Caution Automatic Door Activate Sw.Operate",(2-Sided) </t>
  </si>
  <si>
    <t xml:space="preserve">Decal, 1 Side, "Caution Auto. Door" w/"Two Way Traffic" </t>
  </si>
  <si>
    <t xml:space="preserve">Decal,"Automatic Door w/Arrow &amp; Do Not Enter, (2-Sided) </t>
  </si>
  <si>
    <t xml:space="preserve">Decal,"Do Not Enter/ Automatic Door w/Arrow", (2-Sided) </t>
  </si>
  <si>
    <t xml:space="preserve">Decal, AAADM Safety - Folders </t>
  </si>
  <si>
    <t xml:space="preserve">Decal Set, Folding Doors </t>
  </si>
  <si>
    <t xml:space="preserve">Belt, Timing (Series 5100) 102-108338 </t>
  </si>
  <si>
    <t xml:space="preserve">Belt, Main Drive, 4500, 30M Roll </t>
  </si>
  <si>
    <t xml:space="preserve">ROLL </t>
  </si>
  <si>
    <t xml:space="preserve">$911.00 </t>
  </si>
  <si>
    <t xml:space="preserve">Belt, S4500 Motordrive Ass'y. </t>
  </si>
  <si>
    <t xml:space="preserve">Trackk Cap (Nylatron) | 40-1103 </t>
  </si>
  <si>
    <t xml:space="preserve">Lock Indicator-used on upside down lock application-5100's </t>
  </si>
  <si>
    <t xml:space="preserve">Lock Indicator-used on upside down lock application- 5100's </t>
  </si>
  <si>
    <t xml:space="preserve">Lock Indicator (Right Side Up) 8600 &amp; 4500 Line </t>
  </si>
  <si>
    <t xml:space="preserve">Lock Indicator (right side up) 8600 &amp; 4500 Lines </t>
  </si>
  <si>
    <t xml:space="preserve">$53.00 </t>
  </si>
  <si>
    <t xml:space="preserve">Cylinder, Keyed, 1" Mortise, | KA4 (All Glass Door) </t>
  </si>
  <si>
    <t xml:space="preserve">Cylinder, Keyed, 1" Mortise, | KA4 (All Glass Door Lock) </t>
  </si>
  <si>
    <t xml:space="preserve">Belt Clamp - Right </t>
  </si>
  <si>
    <t xml:space="preserve">Tie Rod, Belt Clamp (Short) </t>
  </si>
  <si>
    <t xml:space="preserve">Belt Clamp - Left </t>
  </si>
  <si>
    <t xml:space="preserve">Tie Rod, Belt Clamp (Long) </t>
  </si>
  <si>
    <t xml:space="preserve">Drive Pedestal, Slave </t>
  </si>
  <si>
    <t xml:space="preserve">$2,576.00 </t>
  </si>
  <si>
    <t xml:space="preserve">Drive Pedestal, Master </t>
  </si>
  <si>
    <t xml:space="preserve">$2,810.00 </t>
  </si>
  <si>
    <t xml:space="preserve">Inner Arm Ass'y. </t>
  </si>
  <si>
    <t xml:space="preserve">$788.00 </t>
  </si>
  <si>
    <t xml:space="preserve">Electric Lock, Anti-Breakout </t>
  </si>
  <si>
    <t xml:space="preserve">$1,545.00 </t>
  </si>
  <si>
    <t xml:space="preserve">Kit, Door Open Stop </t>
  </si>
  <si>
    <t xml:space="preserve">$95.00 </t>
  </si>
  <si>
    <t xml:space="preserve">Sequencer,VRR Control Module Dual Lock,System 20 </t>
  </si>
  <si>
    <t xml:space="preserve">$1,006.00 </t>
  </si>
  <si>
    <t xml:space="preserve">Motordrive Ass'y., ATE FTA 20 </t>
  </si>
  <si>
    <t xml:space="preserve">$2,702.00 </t>
  </si>
  <si>
    <t xml:space="preserve">Damper, Roller Track </t>
  </si>
  <si>
    <t xml:space="preserve">$2,116.00 </t>
  </si>
  <si>
    <t xml:space="preserve">Pulley, Idler </t>
  </si>
  <si>
    <t xml:space="preserve">Battery Pack, NiCad (System 19 Only) </t>
  </si>
  <si>
    <t xml:space="preserve">$513.00 </t>
  </si>
  <si>
    <t xml:space="preserve">Cord, Power (9'10" Length) ***SJT JACKET **** </t>
  </si>
  <si>
    <t xml:space="preserve">Washer, Pin Guide (Hurricane- Rated Sliders) </t>
  </si>
  <si>
    <t xml:space="preserve">PCB - Supplementary (Lead Acid Battery) </t>
  </si>
  <si>
    <t xml:space="preserve">$248.00 </t>
  </si>
  <si>
    <t xml:space="preserve">Battery, Lead Acid 102-019808036 </t>
  </si>
  <si>
    <t xml:space="preserve">$563.00 </t>
  </si>
  <si>
    <t xml:space="preserve">Film, Static Cling Vinyl (S5200 All Glass Doors) </t>
  </si>
  <si>
    <t xml:space="preserve">$323.00 </t>
  </si>
  <si>
    <t xml:space="preserve">Pin, Clevis (3/8" x 1 1/4") Box of 12 </t>
  </si>
  <si>
    <t xml:space="preserve">Adaptor, AC, FPC (Battery Charger) </t>
  </si>
  <si>
    <t xml:space="preserve">Rod, Threaded - 3/8-16 </t>
  </si>
  <si>
    <t xml:space="preserve">4.75" BEA SQ SS Vestibule Push Plate "Push To Open" text &amp; Handicap L EACH </t>
  </si>
  <si>
    <t xml:space="preserve">$336.00 </t>
  </si>
  <si>
    <t xml:space="preserve">Switch, Press Wall, 1 1/2" x 4 3/4", Baby Carriage Logo </t>
  </si>
  <si>
    <t xml:space="preserve">6" BEA Round Black MS31 Text &amp; Hand Logo </t>
  </si>
  <si>
    <t xml:space="preserve">$714.00 </t>
  </si>
  <si>
    <t xml:space="preserve">Sensor, Motion (BEA Eagle) </t>
  </si>
  <si>
    <t xml:space="preserve">$97.00 </t>
  </si>
  <si>
    <t xml:space="preserve">Sensor, On Door Presence Superscan11T **DROP SHIP** </t>
  </si>
  <si>
    <t xml:space="preserve">$986.00 </t>
  </si>
  <si>
    <t xml:space="preserve">Sensor,Presence,BEA,Swing/Fold BodyguardT w/monitoring </t>
  </si>
  <si>
    <t xml:space="preserve">$881.00 </t>
  </si>
  <si>
    <t xml:space="preserve">Sensor, Motion/Presence, BEA IXIO-DT1 </t>
  </si>
  <si>
    <t xml:space="preserve">$505.00 </t>
  </si>
  <si>
    <t xml:space="preserve">Sensor,On Door Presence,Optex Pro-Swing Elite, *DROP SHIP* </t>
  </si>
  <si>
    <t xml:space="preserve">$2,732.00 </t>
  </si>
  <si>
    <t xml:space="preserve">Kit,Beam Set,Panic Breakout Shut Off, Optex </t>
  </si>
  <si>
    <t xml:space="preserve">$1,082.00 </t>
  </si>
  <si>
    <t xml:space="preserve">Sensor, Motion (Optex Reaction Two) </t>
  </si>
  <si>
    <t xml:space="preserve">$606.00 </t>
  </si>
  <si>
    <t xml:space="preserve">Holder, Surface Mount (Optex) </t>
  </si>
  <si>
    <t xml:space="preserve">Module, Control (Optex OS-12C) </t>
  </si>
  <si>
    <t xml:space="preserve">$585.00 </t>
  </si>
  <si>
    <t xml:space="preserve">Safety Beam Heads w/Cable (Optex - Blue/Gray Wire - 1) </t>
  </si>
  <si>
    <t xml:space="preserve">Spacer, Optex Reaction Sensor </t>
  </si>
  <si>
    <t xml:space="preserve">Sensor, Optex - X ZoneT Motion/Presence, Slide Door </t>
  </si>
  <si>
    <t xml:space="preserve">Sensor, Presence, Premier T + cntrl,Optex,Swing/Fold </t>
  </si>
  <si>
    <t xml:space="preserve">$990.00 </t>
  </si>
  <si>
    <t xml:space="preserve">Sensor, RIC 290 AC US CANBus Motion/Presence, Sliding Door </t>
  </si>
  <si>
    <t xml:space="preserve">$752.00 </t>
  </si>
  <si>
    <t xml:space="preserve">Sensor,OnDoor Presence Single LZR Microscan**DROPSHIP ITEM** </t>
  </si>
  <si>
    <t xml:space="preserve">$3,031.00 </t>
  </si>
  <si>
    <t xml:space="preserve">Sensor, On Door Presence LZR Microscan, Dual,Drop ship </t>
  </si>
  <si>
    <t xml:space="preserve">$4,850.00 </t>
  </si>
  <si>
    <t xml:space="preserve">Sensor, Touchless Activation **Drop Ship Item** </t>
  </si>
  <si>
    <t xml:space="preserve">$889.00 </t>
  </si>
  <si>
    <t xml:space="preserve">Switch, Touchless Activation 19 </t>
  </si>
  <si>
    <t xml:space="preserve">$776.00 </t>
  </si>
  <si>
    <t xml:space="preserve">Push Plate, 4.5x4.5 Square SS,HC, "Push to Open" </t>
  </si>
  <si>
    <t xml:space="preserve">$188.00 </t>
  </si>
  <si>
    <t xml:space="preserve">Kit, Wire Ass'y. - Header Molded Connector Safety Beams </t>
  </si>
  <si>
    <t xml:space="preserve">Kit, Beam Head/Wire Ass'y. Molded Connector Safety Beams </t>
  </si>
  <si>
    <t xml:space="preserve">$273.00 </t>
  </si>
  <si>
    <t xml:space="preserve">36" BEA High-Low SS Push Plate w/ Integrated 900Mhz Wireless "Push ToEACH </t>
  </si>
  <si>
    <t xml:space="preserve">$1,409.00 </t>
  </si>
  <si>
    <t xml:space="preserve">6" BEA Round Black MS31 "Wave To Open" Text &amp; hand Logo </t>
  </si>
  <si>
    <t xml:space="preserve">$713.00 </t>
  </si>
  <si>
    <t xml:space="preserve">Stainless Steel 4.75" Square Push To Open Drop Ship Item </t>
  </si>
  <si>
    <t xml:space="preserve">Stainless Steel 4.75" Square Handicap Logo *DROP SHIP* </t>
  </si>
  <si>
    <t xml:space="preserve">900 MHz Receiver Module </t>
  </si>
  <si>
    <t xml:space="preserve">$226.00 </t>
  </si>
  <si>
    <t xml:space="preserve">900 MHz Push Button Transmitter </t>
  </si>
  <si>
    <t xml:space="preserve">Weather Ring 4.75" X 4.75" </t>
  </si>
  <si>
    <t xml:space="preserve">Ring, Retaining (External) </t>
  </si>
  <si>
    <t xml:space="preserve">Bumper, Pin Guide </t>
  </si>
  <si>
    <t xml:space="preserve">$4,310.00 </t>
  </si>
  <si>
    <t xml:space="preserve">Magnet, Flexible </t>
  </si>
  <si>
    <t xml:space="preserve">Breakout Stop / Switch 81322-900 </t>
  </si>
  <si>
    <t xml:space="preserve">$771.00 </t>
  </si>
  <si>
    <t xml:space="preserve">Magnet (for Magnetic Switch) </t>
  </si>
  <si>
    <t xml:space="preserve">Panic Switch, Magnetic (N/O) </t>
  </si>
  <si>
    <t xml:space="preserve">Switch, Recessed Contact, 3/8 </t>
  </si>
  <si>
    <t xml:space="preserve">Switch, Recessed Contact, 1/4 </t>
  </si>
  <si>
    <t xml:space="preserve">Switch, Press Wall, 4-1/2" X 4-1/2", HC Logo </t>
  </si>
  <si>
    <t xml:space="preserve">Push Plate, Simpleswing BEA 10PBS45-690 </t>
  </si>
  <si>
    <t xml:space="preserve">$182.00 </t>
  </si>
  <si>
    <t xml:space="preserve">Receiver, Remote Activation </t>
  </si>
  <si>
    <t xml:space="preserve">Kit, PWS/Transmitter/Receiver (MS Sedco)*DROP SHIP ITEM </t>
  </si>
  <si>
    <t xml:space="preserve">$1,172.00 </t>
  </si>
  <si>
    <t xml:space="preserve">Filter, Powerline, 120/250VAC, 3A  70185912 </t>
  </si>
  <si>
    <t xml:space="preserve">$253.00 </t>
  </si>
  <si>
    <t xml:space="preserve">$175.00 </t>
  </si>
  <si>
    <t xml:space="preserve">Harness, Power Supply (Series 8000 Operator) </t>
  </si>
  <si>
    <t xml:space="preserve">Door Position Switch </t>
  </si>
  <si>
    <t xml:space="preserve">Disk, Encoder (Metal) </t>
  </si>
  <si>
    <t xml:space="preserve">Harness, Encoder (RJ-11 Conn.) </t>
  </si>
  <si>
    <t xml:space="preserve">Enclosure, Encoder (RJ-11 Encoder Connector) </t>
  </si>
  <si>
    <t xml:space="preserve">Cover, Encoder - Snap-on (RJ-11 Encoder Connector) </t>
  </si>
  <si>
    <t xml:space="preserve">Drive Module w/ Control S8000 (SN) </t>
  </si>
  <si>
    <t xml:space="preserve">$4,212.00 </t>
  </si>
  <si>
    <t xml:space="preserve">Power Supply (DFA) </t>
  </si>
  <si>
    <t xml:space="preserve">$923.00 </t>
  </si>
  <si>
    <t xml:space="preserve">Kit, Hard Stop </t>
  </si>
  <si>
    <t xml:space="preserve">Kit, Rocker Switch Ass'y. w/Cable </t>
  </si>
  <si>
    <t xml:space="preserve">$257.00 </t>
  </si>
  <si>
    <t xml:space="preserve">Adaptor, Offset Slide Arm, CL </t>
  </si>
  <si>
    <t xml:space="preserve">$321.00 </t>
  </si>
  <si>
    <t xml:space="preserve">PCB Assembly, Encoder (Blue Connector) </t>
  </si>
  <si>
    <t xml:space="preserve">Motor PCB, with Breakout </t>
  </si>
  <si>
    <t xml:space="preserve">$272.00 </t>
  </si>
  <si>
    <t xml:space="preserve">PCB Ass'y., Encoder (RJ-11 Encoder Connector) </t>
  </si>
  <si>
    <t xml:space="preserve">Drive Module w/Control S8000 w/Brake                   (SN) </t>
  </si>
  <si>
    <t xml:space="preserve">$5,495.00 </t>
  </si>
  <si>
    <t xml:space="preserve">Stainless Cover, 8100, sloped 36" DOW ***DNU*** </t>
  </si>
  <si>
    <t xml:space="preserve">$1,910.00 </t>
  </si>
  <si>
    <t xml:space="preserve">Stainless Cover, 8100, Sloped 60" DOW ***DNU** </t>
  </si>
  <si>
    <t xml:space="preserve">$2,705.00 </t>
  </si>
  <si>
    <t xml:space="preserve">Stainless Cover. 8100, Sloped 72" DOW **DROPSHIP ITEM** </t>
  </si>
  <si>
    <t xml:space="preserve">SS Sloped Cover, 8100, Custom Size **DNU </t>
  </si>
  <si>
    <t xml:space="preserve">Stainless Cover,8100,Flush 36" ***DROPSHIP ONLY*** NO CUTOUT </t>
  </si>
  <si>
    <t xml:space="preserve">Stainless Cover, 81, Flush 42" ***DROPSHIP ONLY*** NO CUTOUT </t>
  </si>
  <si>
    <t xml:space="preserve">Stainless Cover,81, Flush 48" ***DROPSHIP ONLY*** NO CUTOUT </t>
  </si>
  <si>
    <t xml:space="preserve">Stainless Cover, 81, Flush 54" ***DROPSHIP ONLY*** NO CUTOUT </t>
  </si>
  <si>
    <t xml:space="preserve">Stainless Cover, 81, Flush 60" ***DROPSHIP ONLY*** NO CUTOUT </t>
  </si>
  <si>
    <t xml:space="preserve">Stainless Cover, 81, Flush 72" ***DROPSHIP ONLY*** NO CUTOUT </t>
  </si>
  <si>
    <t xml:space="preserve">$2,750.00 </t>
  </si>
  <si>
    <t xml:space="preserve">Stainless Cover, 81, Flush 96" ***DROPSHIP ONLY*** NO CUTOUT </t>
  </si>
  <si>
    <t xml:space="preserve">SS Sloped Cover, 8100, Custom Size - No Cutout *DROP SHIP* </t>
  </si>
  <si>
    <t xml:space="preserve">SS Cover,8100, Flush W/notch **DROPSHIP ONLY** Rev C </t>
  </si>
  <si>
    <t xml:space="preserve">SS Cover,8100,Flush W/notch **DROPSHIP ONLY**  Rev C </t>
  </si>
  <si>
    <t xml:space="preserve">SS Cover,8100,Flush W/Notch **DROPSHIP ONLY** Rev C </t>
  </si>
  <si>
    <t xml:space="preserve">SS Cover,8100, Flush w/notch *DROPSHIP ONLY*  Rev C </t>
  </si>
  <si>
    <t xml:space="preserve">SS Cover,8100, Flush w/notch **DROPSHIP ONLY** Rev C </t>
  </si>
  <si>
    <t xml:space="preserve">SS Sloped Cover, 8100 w/ Notch Custom Size *DROP SHIP* </t>
  </si>
  <si>
    <t xml:space="preserve">Clean Switch, Optex, Black </t>
  </si>
  <si>
    <t xml:space="preserve">$750.00 </t>
  </si>
  <si>
    <t xml:space="preserve">Cable, 8 Conductor 20 AWG Harness Lock 4500 </t>
  </si>
  <si>
    <t xml:space="preserve">$1,262.00 </t>
  </si>
  <si>
    <t xml:space="preserve">Cable, 22 AWG, 2 Pair Twisted (Black-Red, White-Green) </t>
  </si>
  <si>
    <t xml:space="preserve">Pivot, Bottom Center, OHC </t>
  </si>
  <si>
    <t xml:space="preserve">Guide Rail, 36" H X 36" L (W/Single Bar) </t>
  </si>
  <si>
    <t xml:space="preserve">PAIR </t>
  </si>
  <si>
    <t xml:space="preserve">$1,411.00 </t>
  </si>
  <si>
    <t xml:space="preserve">Guide Rail, 36" H x 36" L (w/ single bar) </t>
  </si>
  <si>
    <t xml:space="preserve">$1,477.00 </t>
  </si>
  <si>
    <t xml:space="preserve">Key, Operating (for Schlage I/C Core w/Green Face) </t>
  </si>
  <si>
    <t xml:space="preserve">Faceplate, Blank (Keyed F/B) </t>
  </si>
  <si>
    <t xml:space="preserve">Guide, Manual Flushbolt </t>
  </si>
  <si>
    <t xml:space="preserve">Cylinder, Keyed (KA-50) Clear Anodized </t>
  </si>
  <si>
    <t xml:space="preserve">Cylinder, Keyed (KA-50) Dark Bronze Anodized </t>
  </si>
  <si>
    <t xml:space="preserve">Flushbolt, Cylinder Operated (31/32" Backset) </t>
  </si>
  <si>
    <t xml:space="preserve">$232.00 </t>
  </si>
  <si>
    <t xml:space="preserve">Thumbturn, Clear Anodized </t>
  </si>
  <si>
    <t xml:space="preserve">Thumbturn, Dark Bronze Anodize </t>
  </si>
  <si>
    <t xml:space="preserve">Deadlock, Hookbolt (1-1/8" Backset), Clear Anodized </t>
  </si>
  <si>
    <t xml:space="preserve">Cylinder, Dummy </t>
  </si>
  <si>
    <t xml:space="preserve">Flushbolt, Manual, Clear Anodized </t>
  </si>
  <si>
    <t xml:space="preserve">Flushbolt, Manual, Dark Bronze Anodized </t>
  </si>
  <si>
    <t xml:space="preserve">Bolt, Threshold </t>
  </si>
  <si>
    <t xml:space="preserve">$82.00 </t>
  </si>
  <si>
    <t xml:space="preserve">Header Bolt Set (31/32" B/Set) </t>
  </si>
  <si>
    <t xml:space="preserve">$152.00 </t>
  </si>
  <si>
    <t xml:space="preserve">Fastener, Dual Lock Reclosable (Velcro-Type) </t>
  </si>
  <si>
    <t xml:space="preserve">Exit Device, F86 Recess Mount </t>
  </si>
  <si>
    <t xml:space="preserve">$1,315.00 </t>
  </si>
  <si>
    <t xml:space="preserve">Push Bar, F86 Exit Device 5' Stock Length </t>
  </si>
  <si>
    <t xml:space="preserve">$1,316.00 </t>
  </si>
  <si>
    <t xml:space="preserve">Exit Device, G86 C.V.R. </t>
  </si>
  <si>
    <t xml:space="preserve">$1,107.00 </t>
  </si>
  <si>
    <t xml:space="preserve">Lock, Bottom Rail (All Glass) </t>
  </si>
  <si>
    <t xml:space="preserve">$316.00 </t>
  </si>
  <si>
    <t xml:space="preserve">Plunger, Spring Loaded Device </t>
  </si>
  <si>
    <t xml:space="preserve">Bearing, Spherical </t>
  </si>
  <si>
    <t xml:space="preserve">$320.00 </t>
  </si>
  <si>
    <t xml:space="preserve">Bearing, Flanged (Oilite) </t>
  </si>
  <si>
    <t xml:space="preserve">Bearing, Oilite </t>
  </si>
  <si>
    <t xml:space="preserve">Clip, Sidelite Stop </t>
  </si>
  <si>
    <t xml:space="preserve">Clip, Cord </t>
  </si>
  <si>
    <t xml:space="preserve">Shorting Bridge - 5mm Terminal Blocks </t>
  </si>
  <si>
    <t xml:space="preserve">Shorting Block - 0.1" C/L Posts </t>
  </si>
  <si>
    <t xml:space="preserve">Control Panel - Display no cable no plug </t>
  </si>
  <si>
    <t xml:space="preserve">$748.00 </t>
  </si>
  <si>
    <t xml:space="preserve">Control Ass'y - System 20 Check for Proper SOFTWARE **** </t>
  </si>
  <si>
    <t xml:space="preserve">$2,870.00 </t>
  </si>
  <si>
    <t xml:space="preserve">Module, ZLP-ELS Safety Beam PCB-System 20 </t>
  </si>
  <si>
    <t xml:space="preserve">$459.00 </t>
  </si>
  <si>
    <t xml:space="preserve">Screw, M8-1.25 x 16, Hex, CS, Zinc, Class 8.8 </t>
  </si>
  <si>
    <t xml:space="preserve">Screw, 5/16-18 x 20, Hex, CS, Zinc, Class 8.8 </t>
  </si>
  <si>
    <t xml:space="preserve">Fuse Holder </t>
  </si>
  <si>
    <t xml:space="preserve">Fuse, 2A 250VAC Slow Blow </t>
  </si>
  <si>
    <t xml:space="preserve">Fuse, 2.5A 250VAC Slow Blow </t>
  </si>
  <si>
    <t xml:space="preserve">Rubber Strip, 1/8"x1/2" Self-; adhesive backing </t>
  </si>
  <si>
    <t xml:space="preserve">Hinge, Geared Continuous - 83" 1/8" Swing Side Reveal </t>
  </si>
  <si>
    <t xml:space="preserve">$725.00 </t>
  </si>
  <si>
    <t xml:space="preserve">$749.00 </t>
  </si>
  <si>
    <t xml:space="preserve">Hinge, Geared Continuous - 95" 1/8" Swing Side Reveal </t>
  </si>
  <si>
    <t xml:space="preserve">$914.00 </t>
  </si>
  <si>
    <t xml:space="preserve">$957.00 </t>
  </si>
  <si>
    <t xml:space="preserve">Door Pulls (Back/Back) </t>
  </si>
  <si>
    <t xml:space="preserve">$1,630.00 </t>
  </si>
  <si>
    <t xml:space="preserve">$1,665.00 </t>
  </si>
  <si>
    <t xml:space="preserve">Door Pull </t>
  </si>
  <si>
    <t xml:space="preserve">$379.00 </t>
  </si>
  <si>
    <t xml:space="preserve">$416.00 </t>
  </si>
  <si>
    <t xml:space="preserve">Door Pull, Offset (Back/Back) Stocked &amp; Purchased as a Pair </t>
  </si>
  <si>
    <t xml:space="preserve">Door Pull, Offset </t>
  </si>
  <si>
    <t xml:space="preserve">$460.00 </t>
  </si>
  <si>
    <t xml:space="preserve">$660.00 </t>
  </si>
  <si>
    <t xml:space="preserve">Door Closer, Manual (Surface Applied) </t>
  </si>
  <si>
    <t xml:space="preserve">$593.00 </t>
  </si>
  <si>
    <t xml:space="preserve">Door Closer, Manual, OHC </t>
  </si>
  <si>
    <t xml:space="preserve">$883.00 </t>
  </si>
  <si>
    <t xml:space="preserve">Threshold &amp; Bottom Pivot (Heavy Duty Recessed in Floor) </t>
  </si>
  <si>
    <t xml:space="preserve">$482.00 </t>
  </si>
  <si>
    <t xml:space="preserve">Door Closer, Concealed-In-Door </t>
  </si>
  <si>
    <t xml:space="preserve">Door Pull, Recessed (Metal) 1 part = 2 pieces + 2 screws </t>
  </si>
  <si>
    <t xml:space="preserve">$165.00 </t>
  </si>
  <si>
    <t xml:space="preserve">Key, BDE-A Switch </t>
  </si>
  <si>
    <t xml:space="preserve">NUT, HEX, 10-32, STEEL, ZINC Box of 200 </t>
  </si>
  <si>
    <t xml:space="preserve">Nut,Square,1/4-20,Steel,Zinc Box of 100 </t>
  </si>
  <si>
    <t xml:space="preserve">Pin, Slotted Spring (3/16" x 2 1/2" Long, 18-8 SS) </t>
  </si>
  <si>
    <t xml:space="preserve">Plug, Hole (Locking) Plastic, Black, 1/2"Dia. </t>
  </si>
  <si>
    <t xml:space="preserve">Ring, Retaining </t>
  </si>
  <si>
    <t xml:space="preserve">Ring, Retaining Torque Bar Assy' </t>
  </si>
  <si>
    <t xml:space="preserve">Ring, Push-On Self-Locking </t>
  </si>
  <si>
    <t xml:space="preserve">Spring, Compression (ICU Positive Latch) </t>
  </si>
  <si>
    <t xml:space="preserve">Rod, Threaded, 1/4-20 </t>
  </si>
  <si>
    <t xml:space="preserve">Stud, PEM, 10-32 x 7/16", Steel, Zinc Box of 50 </t>
  </si>
  <si>
    <t xml:space="preserve">Terminal Strip, Insulated, 12 Conductor </t>
  </si>
  <si>
    <t xml:space="preserve">Terminal Block, Plug-In, 4 Conductor, Labeled 25-28 </t>
  </si>
  <si>
    <t xml:space="preserve">$27.00 </t>
  </si>
  <si>
    <t xml:space="preserve">Terminal Block, Plug-In, 6 Conductor, Labeled 13-19 </t>
  </si>
  <si>
    <t xml:space="preserve">Terminal Block, Plug-In, 12 Conductor, Labeled 1-12 </t>
  </si>
  <si>
    <t xml:space="preserve">Terminal Block, Plug-In, 7 Conductor, Labeled 1-7 </t>
  </si>
  <si>
    <t xml:space="preserve">Terminal Block, Plug-In, 6 Conductor, Labled 8-13 </t>
  </si>
  <si>
    <t xml:space="preserve">Terminal Block, Plug-In, 2 Conductor, Labeled 14-15 </t>
  </si>
  <si>
    <t xml:space="preserve">Terminal Block, Plug-In, 3 Conductor, Labeled 16-18 </t>
  </si>
  <si>
    <t xml:space="preserve">Terminal Block, Plug-In, 6 Conductor, Labeled 19-24 </t>
  </si>
  <si>
    <t xml:space="preserve">Washer, Flat, 5/16" Plastic (Clear Polycarbonate) </t>
  </si>
  <si>
    <t xml:space="preserve">Washer, Lock, 5/16 Split Box of 200 </t>
  </si>
  <si>
    <t xml:space="preserve">Washer, Lock, #10 Medium Box of 200 </t>
  </si>
  <si>
    <t xml:space="preserve">Weather Pile, 0.270"W X 0.450"H, Black </t>
  </si>
  <si>
    <t xml:space="preserve">Weather Pile, Door Catch 29015545BKGP </t>
  </si>
  <si>
    <t xml:space="preserve">Washer, Spring </t>
  </si>
  <si>
    <t xml:space="preserve">Holder, Door Sweep Strip (Straight)96" </t>
  </si>
  <si>
    <t xml:space="preserve">$110.00 </t>
  </si>
  <si>
    <t xml:space="preserve">Holder, Door Sweep Strip (Angled)96" </t>
  </si>
  <si>
    <t xml:space="preserve">Weather Pile, Leading Edge (All Glass Doors) - 96" PC </t>
  </si>
  <si>
    <t xml:space="preserve">$420.00 </t>
  </si>
  <si>
    <t xml:space="preserve">Brush, Door Sweep Strip (Short)96" </t>
  </si>
  <si>
    <t xml:space="preserve">Weather Pile (Fin Seal)-Tall </t>
  </si>
  <si>
    <t xml:space="preserve">$231.00 </t>
  </si>
  <si>
    <t xml:space="preserve">Brush, Air/Smoke Barrier 96" </t>
  </si>
  <si>
    <t xml:space="preserve">$251.00 </t>
  </si>
  <si>
    <t xml:space="preserve">Weather Pile (Fin Seal)-Short W31455NK000B </t>
  </si>
  <si>
    <t xml:space="preserve">Brush, Door Sweep Strip (Long),8ft </t>
  </si>
  <si>
    <t xml:space="preserve">Weather Pile (Fin Seal) - Extra Tall </t>
  </si>
  <si>
    <t xml:space="preserve">$731.00 </t>
  </si>
  <si>
    <t xml:space="preserve">BEA 900 Mhz Hand Held Fob (one button) </t>
  </si>
  <si>
    <t xml:space="preserve">Pack, Anchor &amp; Screw, Slide (universal) </t>
  </si>
  <si>
    <t xml:space="preserve">Replacement Panel, 4500 Series </t>
  </si>
  <si>
    <t xml:space="preserve">$2,173.00 </t>
  </si>
  <si>
    <t xml:space="preserve">Replacement Panel, 4900 Series </t>
  </si>
  <si>
    <t xml:space="preserve">Replacement Panel, 5100 Series </t>
  </si>
  <si>
    <t xml:space="preserve">Replacement Panel, 5200 Series </t>
  </si>
  <si>
    <t xml:space="preserve">Replacement Panel, 5900 Series </t>
  </si>
  <si>
    <t xml:space="preserve">Replacement Panel, 8600 Series </t>
  </si>
  <si>
    <t xml:space="preserve">Replacement Panel, 8700 Series </t>
  </si>
  <si>
    <t xml:space="preserve">RFB Motordrive/Plate Ass'y. Sys20Refurb Check availabilty </t>
  </si>
  <si>
    <t xml:space="preserve">$2,063.20 </t>
  </si>
  <si>
    <t xml:space="preserve">RFB Drive Module w/Cntrl 6100 Refurbished Check avaialabilty </t>
  </si>
  <si>
    <t xml:space="preserve">$2,475.80 </t>
  </si>
  <si>
    <t xml:space="preserve">RFB Drive Module w/Cntrl 8000 Refurbished Check availability </t>
  </si>
  <si>
    <t xml:space="preserve">$1,231.00 </t>
  </si>
  <si>
    <t xml:space="preserve">$702.00 </t>
  </si>
  <si>
    <t>Part</t>
  </si>
  <si>
    <t>Description</t>
  </si>
  <si>
    <t>List Price</t>
  </si>
  <si>
    <t>Our Cost</t>
  </si>
  <si>
    <t>Addison</t>
  </si>
  <si>
    <t>DC</t>
  </si>
  <si>
    <t>Best Cost</t>
  </si>
  <si>
    <t>Best Vendor</t>
  </si>
  <si>
    <t>Website Vendor</t>
  </si>
  <si>
    <t>102-020808406</t>
  </si>
  <si>
    <t>102-020808415</t>
  </si>
  <si>
    <t>102-020808482</t>
  </si>
  <si>
    <t>102-020808513</t>
  </si>
  <si>
    <t>102-020808757</t>
  </si>
  <si>
    <t>102-020808805</t>
  </si>
  <si>
    <t>102-032136</t>
  </si>
  <si>
    <t>102-032167</t>
  </si>
  <si>
    <t>102-126049</t>
  </si>
  <si>
    <t>102-126051</t>
  </si>
  <si>
    <t>102-126521</t>
  </si>
  <si>
    <t>102-126527</t>
  </si>
  <si>
    <t>102-127812723</t>
  </si>
  <si>
    <t>102-127812724</t>
  </si>
  <si>
    <t>102-127816013</t>
  </si>
  <si>
    <t>102-127816014</t>
  </si>
  <si>
    <t>102-127816016</t>
  </si>
  <si>
    <t>102-127816017</t>
  </si>
  <si>
    <t>102-127816028</t>
  </si>
  <si>
    <t>102-127816078</t>
  </si>
  <si>
    <t>102-127816079</t>
  </si>
  <si>
    <t>102-127816085</t>
  </si>
  <si>
    <t>102-127816086</t>
  </si>
  <si>
    <t>102-127816087</t>
  </si>
  <si>
    <t>102-127816089</t>
  </si>
  <si>
    <t>102-127816110</t>
  </si>
  <si>
    <t>102-127816111</t>
  </si>
  <si>
    <t>102-127816112</t>
  </si>
  <si>
    <t>102-290808880</t>
  </si>
  <si>
    <t>102-401392</t>
  </si>
  <si>
    <t>1025017</t>
  </si>
  <si>
    <t>102-902813766</t>
  </si>
  <si>
    <t>202-003118818</t>
  </si>
  <si>
    <t>202-003118819</t>
  </si>
  <si>
    <t>202-003118824</t>
  </si>
  <si>
    <t>202-003118839</t>
  </si>
  <si>
    <t>202-003118840</t>
  </si>
  <si>
    <t>202-003118841</t>
  </si>
  <si>
    <t>202-003118845</t>
  </si>
  <si>
    <t>202-003118853</t>
  </si>
  <si>
    <t>202-003118855</t>
  </si>
  <si>
    <t>202-003118872</t>
  </si>
  <si>
    <t>202-003118873</t>
  </si>
  <si>
    <t>202-003119011</t>
  </si>
  <si>
    <t>202-003119020</t>
  </si>
  <si>
    <t>202-003119267</t>
  </si>
  <si>
    <t>202-003120592</t>
  </si>
  <si>
    <t>202-003121062</t>
  </si>
  <si>
    <t>202-003121225</t>
  </si>
  <si>
    <t>202-003121449</t>
  </si>
  <si>
    <t>202-003121688</t>
  </si>
  <si>
    <t>202-003121695</t>
  </si>
  <si>
    <t>202-003121696</t>
  </si>
  <si>
    <t>202-003121697</t>
  </si>
  <si>
    <t>202-003121716</t>
  </si>
  <si>
    <t>202-003121744</t>
  </si>
  <si>
    <t>202-003121745</t>
  </si>
  <si>
    <t>202-003121952</t>
  </si>
  <si>
    <t>202-003122171</t>
  </si>
  <si>
    <t>202-003122274</t>
  </si>
  <si>
    <t>202-003122353</t>
  </si>
  <si>
    <t>202-003122382</t>
  </si>
  <si>
    <t>202-003122446</t>
  </si>
  <si>
    <t>202-003123555</t>
  </si>
  <si>
    <t>202-003123556</t>
  </si>
  <si>
    <t>202-003123564</t>
  </si>
  <si>
    <t>202-003123633</t>
  </si>
  <si>
    <t>202-003123738</t>
  </si>
  <si>
    <t>202-003124272</t>
  </si>
  <si>
    <t>202-003124834</t>
  </si>
  <si>
    <t>202-003124835</t>
  </si>
  <si>
    <t>202-003125230-4</t>
  </si>
  <si>
    <t>202-003125233</t>
  </si>
  <si>
    <t>202-003125413</t>
  </si>
  <si>
    <t>202-003125484</t>
  </si>
  <si>
    <t>202-003125517</t>
  </si>
  <si>
    <t>202-003128082</t>
  </si>
  <si>
    <t>202-003812205</t>
  </si>
  <si>
    <t>202-003812218</t>
  </si>
  <si>
    <t>202-003812265</t>
  </si>
  <si>
    <t>202-003812714</t>
  </si>
  <si>
    <t>202-003813049</t>
  </si>
  <si>
    <t>202-003813999</t>
  </si>
  <si>
    <t>202-003814184</t>
  </si>
  <si>
    <t>202-003814185</t>
  </si>
  <si>
    <t>202-003814202</t>
  </si>
  <si>
    <t>202-003814817</t>
  </si>
  <si>
    <t>202-003814848</t>
  </si>
  <si>
    <t>202-003814849</t>
  </si>
  <si>
    <t>202-003814850</t>
  </si>
  <si>
    <t>202-003815622</t>
  </si>
  <si>
    <t>202-003815662</t>
  </si>
  <si>
    <t>202-003815700</t>
  </si>
  <si>
    <t>202-003815706</t>
  </si>
  <si>
    <t>202-003815735</t>
  </si>
  <si>
    <t>202-003815736</t>
  </si>
  <si>
    <t>202-003815737</t>
  </si>
  <si>
    <t>202-003815738</t>
  </si>
  <si>
    <t>202-003815747</t>
  </si>
  <si>
    <t>202-003815775</t>
  </si>
  <si>
    <t>202-003815978</t>
  </si>
  <si>
    <t>202-003816316</t>
  </si>
  <si>
    <t>202-003816638</t>
  </si>
  <si>
    <t>202-004119287CL</t>
  </si>
  <si>
    <t>202-004124191</t>
  </si>
  <si>
    <t>202-004126970</t>
  </si>
  <si>
    <t>202-005118899</t>
  </si>
  <si>
    <t>202-005118900</t>
  </si>
  <si>
    <t>202-005118901</t>
  </si>
  <si>
    <t>202-005118905</t>
  </si>
  <si>
    <t>202-005118906</t>
  </si>
  <si>
    <t>202-005118907</t>
  </si>
  <si>
    <t>202-005118908</t>
  </si>
  <si>
    <t>202-005118910</t>
  </si>
  <si>
    <t>202-005118914</t>
  </si>
  <si>
    <t>202-005120781</t>
  </si>
  <si>
    <t>202-005121570</t>
  </si>
  <si>
    <t>202-005121578</t>
  </si>
  <si>
    <t>202-005121579</t>
  </si>
  <si>
    <t>202-005122379</t>
  </si>
  <si>
    <t>202-005123256</t>
  </si>
  <si>
    <t>202-005124243</t>
  </si>
  <si>
    <t>202-005124412</t>
  </si>
  <si>
    <t>202-005124413</t>
  </si>
  <si>
    <t>202-005124604</t>
  </si>
  <si>
    <t>202-005124934</t>
  </si>
  <si>
    <t>202-005125285</t>
  </si>
  <si>
    <t>202-005125437</t>
  </si>
  <si>
    <t>202-005125438</t>
  </si>
  <si>
    <t>202-005126121</t>
  </si>
  <si>
    <t>202-005127521</t>
  </si>
  <si>
    <t>202-00518912</t>
  </si>
  <si>
    <t>202-005812190</t>
  </si>
  <si>
    <t>202-005812191</t>
  </si>
  <si>
    <t>202-005812192</t>
  </si>
  <si>
    <t>202-005812669</t>
  </si>
  <si>
    <t>202-005816400</t>
  </si>
  <si>
    <t>202-005816402</t>
  </si>
  <si>
    <t>202-102117704</t>
  </si>
  <si>
    <t>202-127962</t>
  </si>
  <si>
    <t>202-128102</t>
  </si>
  <si>
    <t>2-45-0002</t>
  </si>
  <si>
    <t>2-45-0003-CL</t>
  </si>
  <si>
    <t>2-45-0003-DB</t>
  </si>
  <si>
    <t>2-51-0001</t>
  </si>
  <si>
    <t>2-51-0001-BL</t>
  </si>
  <si>
    <t>2-51-0001-CL</t>
  </si>
  <si>
    <t>2-51-0003</t>
  </si>
  <si>
    <t>2-81-0001</t>
  </si>
  <si>
    <t>2-82-0002</t>
  </si>
  <si>
    <t>330001207</t>
  </si>
  <si>
    <t>4-06-0010-CL</t>
  </si>
  <si>
    <t>4-06-0010-DB</t>
  </si>
  <si>
    <t>4-06-0011-CL</t>
  </si>
  <si>
    <t>4-06-0011-DB</t>
  </si>
  <si>
    <t>4-06-0012-CL</t>
  </si>
  <si>
    <t>4-06-0012-DB</t>
  </si>
  <si>
    <t>4-06-0013-CL</t>
  </si>
  <si>
    <t>4-06-0013-DB</t>
  </si>
  <si>
    <t>4-06-0014-CL</t>
  </si>
  <si>
    <t>4-06-0014-DB</t>
  </si>
  <si>
    <t>4-06-0015-CL</t>
  </si>
  <si>
    <t>4-06-0015-DB</t>
  </si>
  <si>
    <t>4-10-1010</t>
  </si>
  <si>
    <t>4-11-0432</t>
  </si>
  <si>
    <t>4-11-0433</t>
  </si>
  <si>
    <t>4-11-0434</t>
  </si>
  <si>
    <t>4-11-0435</t>
  </si>
  <si>
    <t>4-11-0436</t>
  </si>
  <si>
    <t>4-11-0437</t>
  </si>
  <si>
    <t>4-11-0438</t>
  </si>
  <si>
    <t>4-11-0439</t>
  </si>
  <si>
    <t>4-11-0459</t>
  </si>
  <si>
    <t>4-11-0469</t>
  </si>
  <si>
    <t>4-11-0470</t>
  </si>
  <si>
    <t>4-11-0471</t>
  </si>
  <si>
    <t>4-11-1031</t>
  </si>
  <si>
    <t>4-11-1052</t>
  </si>
  <si>
    <t>4-11-1078</t>
  </si>
  <si>
    <t>4-11-1082</t>
  </si>
  <si>
    <t>4-11-1085</t>
  </si>
  <si>
    <t>4-11-1086</t>
  </si>
  <si>
    <t>4-11-4093</t>
  </si>
  <si>
    <t>4-11-4095-DB</t>
  </si>
  <si>
    <t>4-11-4096</t>
  </si>
  <si>
    <t>4-11-4097</t>
  </si>
  <si>
    <t>4-11-4098</t>
  </si>
  <si>
    <t>4-11-4303</t>
  </si>
  <si>
    <t>4-12-0471</t>
  </si>
  <si>
    <t>4-19-0025</t>
  </si>
  <si>
    <t>4-19-0026</t>
  </si>
  <si>
    <t>4-19-0027</t>
  </si>
  <si>
    <t>4-19-1007</t>
  </si>
  <si>
    <t>4-19-1015</t>
  </si>
  <si>
    <t>4-19-1016</t>
  </si>
  <si>
    <t>4-19-1017</t>
  </si>
  <si>
    <t>4-19-1018</t>
  </si>
  <si>
    <t>4-19-1019</t>
  </si>
  <si>
    <t>4-19-1020</t>
  </si>
  <si>
    <t>4-19-4062</t>
  </si>
  <si>
    <t>4-19-4063</t>
  </si>
  <si>
    <t>4-19-7001</t>
  </si>
  <si>
    <t>4-19-9001</t>
  </si>
  <si>
    <t>4-20-1090</t>
  </si>
  <si>
    <t>4-24-9003</t>
  </si>
  <si>
    <t>4-40-0028-HD</t>
  </si>
  <si>
    <t>4-40-0029-HD</t>
  </si>
  <si>
    <t>4-40-0310-CL</t>
  </si>
  <si>
    <t>4-40-0310-DB</t>
  </si>
  <si>
    <t>4-40-1002</t>
  </si>
  <si>
    <t>4-40-4099</t>
  </si>
  <si>
    <t>4-45-0013</t>
  </si>
  <si>
    <t>4-45-0015</t>
  </si>
  <si>
    <t>4-45-0016</t>
  </si>
  <si>
    <t>4-45-0022-BL</t>
  </si>
  <si>
    <t>4-45-0023-BL</t>
  </si>
  <si>
    <t>4-45-0100</t>
  </si>
  <si>
    <t>4-45-0501</t>
  </si>
  <si>
    <t>4-45-0801</t>
  </si>
  <si>
    <t>4-45-0803</t>
  </si>
  <si>
    <t>4-45-0808</t>
  </si>
  <si>
    <t>4-45-0809</t>
  </si>
  <si>
    <t>4-45-1001</t>
  </si>
  <si>
    <t>4-45-1002</t>
  </si>
  <si>
    <t>4-45-1003</t>
  </si>
  <si>
    <t>4-45-1004</t>
  </si>
  <si>
    <t>4-45-1006</t>
  </si>
  <si>
    <t>4-45-1009</t>
  </si>
  <si>
    <t>4-45-4011-BL</t>
  </si>
  <si>
    <t>4-45-4012</t>
  </si>
  <si>
    <t>4-45-9001</t>
  </si>
  <si>
    <t>4-45-9003</t>
  </si>
  <si>
    <t>4-49-1001</t>
  </si>
  <si>
    <t>4-49-1002</t>
  </si>
  <si>
    <t>4-49-4001-MF</t>
  </si>
  <si>
    <t>4-51-0001</t>
  </si>
  <si>
    <t>4-51-0003</t>
  </si>
  <si>
    <t>4-51-0004</t>
  </si>
  <si>
    <t>4-51-0006</t>
  </si>
  <si>
    <t>4-51-0007</t>
  </si>
  <si>
    <t>4-51-0008</t>
  </si>
  <si>
    <t>4-51-0009</t>
  </si>
  <si>
    <t>4-51-0010</t>
  </si>
  <si>
    <t>4-51-0011</t>
  </si>
  <si>
    <t>4-51-0012</t>
  </si>
  <si>
    <t>4-51-0013</t>
  </si>
  <si>
    <t>4-51-0014</t>
  </si>
  <si>
    <t>4-51-0015</t>
  </si>
  <si>
    <t>4-51-0016</t>
  </si>
  <si>
    <t>4-51-0017</t>
  </si>
  <si>
    <t>4-51-0018</t>
  </si>
  <si>
    <t>4-51-0019</t>
  </si>
  <si>
    <t>4-51-0020</t>
  </si>
  <si>
    <t>4-51-0022</t>
  </si>
  <si>
    <t>4-51-0023</t>
  </si>
  <si>
    <t>4-51-0024</t>
  </si>
  <si>
    <t>4-51-0025</t>
  </si>
  <si>
    <t>4-51-0028</t>
  </si>
  <si>
    <t>4-51-0093</t>
  </si>
  <si>
    <t>4-51-0093-CL</t>
  </si>
  <si>
    <t>4-51-0093-DB</t>
  </si>
  <si>
    <t>4-51-0095</t>
  </si>
  <si>
    <t>4-51-0096</t>
  </si>
  <si>
    <t>4-51-0099</t>
  </si>
  <si>
    <t>4-51-0105</t>
  </si>
  <si>
    <t>4-51-0106</t>
  </si>
  <si>
    <t>4-51-0141</t>
  </si>
  <si>
    <t>4-51-0142</t>
  </si>
  <si>
    <t>4-51-0144</t>
  </si>
  <si>
    <t>4-51-0150</t>
  </si>
  <si>
    <t>4-51-0151</t>
  </si>
  <si>
    <t>4-51-0165-BL</t>
  </si>
  <si>
    <t>4-51-0166</t>
  </si>
  <si>
    <t>4-51-0500</t>
  </si>
  <si>
    <t>4-51-0501</t>
  </si>
  <si>
    <t>4-51-0502</t>
  </si>
  <si>
    <t>4-51-0503</t>
  </si>
  <si>
    <t>4-51-0504</t>
  </si>
  <si>
    <t>4-51-0810</t>
  </si>
  <si>
    <t>4-51-0811</t>
  </si>
  <si>
    <t>4-51-0812</t>
  </si>
  <si>
    <t>4-51-0817</t>
  </si>
  <si>
    <t>4-51-0819</t>
  </si>
  <si>
    <t>4-51-0820-CL</t>
  </si>
  <si>
    <t>4-51-0821</t>
  </si>
  <si>
    <t>4-51-0822</t>
  </si>
  <si>
    <t>4-51-0823-P</t>
  </si>
  <si>
    <t>4-51-0824</t>
  </si>
  <si>
    <t>4-51-0826</t>
  </si>
  <si>
    <t>4-51-1001</t>
  </si>
  <si>
    <t>4-51-1002</t>
  </si>
  <si>
    <t>4-51-1003</t>
  </si>
  <si>
    <t>4-51-1004</t>
  </si>
  <si>
    <t>4-51-1005</t>
  </si>
  <si>
    <t>4-51-1009</t>
  </si>
  <si>
    <t>4-51-1010</t>
  </si>
  <si>
    <t>4-51-1011</t>
  </si>
  <si>
    <t>4-51-1012</t>
  </si>
  <si>
    <t>4-51-1015</t>
  </si>
  <si>
    <t>4-51-1016</t>
  </si>
  <si>
    <t>4-51-1017</t>
  </si>
  <si>
    <t>4-51-1021</t>
  </si>
  <si>
    <t>4-51-1023</t>
  </si>
  <si>
    <t>4-51-1024</t>
  </si>
  <si>
    <t>4-51-1025</t>
  </si>
  <si>
    <t>4-51-1026</t>
  </si>
  <si>
    <t>4-51-1029</t>
  </si>
  <si>
    <t>4-51-1030</t>
  </si>
  <si>
    <t>4-51-1031</t>
  </si>
  <si>
    <t>4-51-1032</t>
  </si>
  <si>
    <t>4-51-1037</t>
  </si>
  <si>
    <t>4-51-1038</t>
  </si>
  <si>
    <t>4-51-1039</t>
  </si>
  <si>
    <t>4-51-1040</t>
  </si>
  <si>
    <t>4-51-1041</t>
  </si>
  <si>
    <t>4-51-1042</t>
  </si>
  <si>
    <t>4-51-1047</t>
  </si>
  <si>
    <t>4-51-1049</t>
  </si>
  <si>
    <t>4-51-1054</t>
  </si>
  <si>
    <t>4-51-1055</t>
  </si>
  <si>
    <t>4-51-1055-WMH</t>
  </si>
  <si>
    <t>4-51-1056</t>
  </si>
  <si>
    <t>4-51-1056-WMH</t>
  </si>
  <si>
    <t>4-51-1061</t>
  </si>
  <si>
    <t>4-51-1062-BL</t>
  </si>
  <si>
    <t>4-51-1064</t>
  </si>
  <si>
    <t>4-51-1067</t>
  </si>
  <si>
    <t>4-51-1070</t>
  </si>
  <si>
    <t>4-51-1087</t>
  </si>
  <si>
    <t>4-51-4003-MF</t>
  </si>
  <si>
    <t>4-51-4006-BL</t>
  </si>
  <si>
    <t>4-51-4008</t>
  </si>
  <si>
    <t>4-51-4009</t>
  </si>
  <si>
    <t>4-51-4149-BL</t>
  </si>
  <si>
    <t>4-51-4149-CL</t>
  </si>
  <si>
    <t>4-51-4151</t>
  </si>
  <si>
    <t>4-51-4152</t>
  </si>
  <si>
    <t>4-51-4160-CL</t>
  </si>
  <si>
    <t>4-51-4190-CL</t>
  </si>
  <si>
    <t>4-51-4265</t>
  </si>
  <si>
    <t>4-51-4266</t>
  </si>
  <si>
    <t>4-51-4269</t>
  </si>
  <si>
    <t>4-51-4290</t>
  </si>
  <si>
    <t>4-51-7002</t>
  </si>
  <si>
    <t>4-51-7003</t>
  </si>
  <si>
    <t>4-51-7005</t>
  </si>
  <si>
    <t>4-51-7006</t>
  </si>
  <si>
    <t>4-51-7008</t>
  </si>
  <si>
    <t>4-51-7010</t>
  </si>
  <si>
    <t>4-51-9004</t>
  </si>
  <si>
    <t>4-51-9005</t>
  </si>
  <si>
    <t>4-51-9010</t>
  </si>
  <si>
    <t>4-51-9012</t>
  </si>
  <si>
    <t>4-52-0001</t>
  </si>
  <si>
    <t>4-52-0010</t>
  </si>
  <si>
    <t>4-52-0011</t>
  </si>
  <si>
    <t>4-52-0012</t>
  </si>
  <si>
    <t>4-52-0013</t>
  </si>
  <si>
    <t>4-52-1002</t>
  </si>
  <si>
    <t>4-52-1003</t>
  </si>
  <si>
    <t>4-52-1004</t>
  </si>
  <si>
    <t>4-52-4020-BL</t>
  </si>
  <si>
    <t>4-52-4021-BL</t>
  </si>
  <si>
    <t>4-52-4022-BL</t>
  </si>
  <si>
    <t>4-52-4023-BL</t>
  </si>
  <si>
    <t>4-52-4024-BL</t>
  </si>
  <si>
    <t>4-52-4025-BL</t>
  </si>
  <si>
    <t>4-52-4026-BL</t>
  </si>
  <si>
    <t>4-52-4027-BL</t>
  </si>
  <si>
    <t>4-52-4028-BL</t>
  </si>
  <si>
    <t>4-52-4029-BL</t>
  </si>
  <si>
    <t>4-52-4030-BL</t>
  </si>
  <si>
    <t>4-52-4031-BL</t>
  </si>
  <si>
    <t>4-54-0010-CL</t>
  </si>
  <si>
    <t>4-54-0010-DB</t>
  </si>
  <si>
    <t>4-56-0001</t>
  </si>
  <si>
    <t>4-59-0012</t>
  </si>
  <si>
    <t>4-59-0019</t>
  </si>
  <si>
    <t>4-59-0020</t>
  </si>
  <si>
    <t>4-59-0021-CL</t>
  </si>
  <si>
    <t>4-59-0021-DB</t>
  </si>
  <si>
    <t>4-59-0022</t>
  </si>
  <si>
    <t>4-59-0023</t>
  </si>
  <si>
    <t>4-59-0024</t>
  </si>
  <si>
    <t>4-59-0025</t>
  </si>
  <si>
    <t>4-59-1003</t>
  </si>
  <si>
    <t>4-59-1004</t>
  </si>
  <si>
    <t>4-59-1009</t>
  </si>
  <si>
    <t>4-59-1020</t>
  </si>
  <si>
    <t>4-59-1021</t>
  </si>
  <si>
    <t>4-59-4001</t>
  </si>
  <si>
    <t>4-59-7002</t>
  </si>
  <si>
    <t>4-59-9001</t>
  </si>
  <si>
    <t>4-59-9002</t>
  </si>
  <si>
    <t>4-60-1091</t>
  </si>
  <si>
    <t>4-70-0582</t>
  </si>
  <si>
    <t>4-70-0702</t>
  </si>
  <si>
    <t>4-70-1069</t>
  </si>
  <si>
    <t>4-70-1527</t>
  </si>
  <si>
    <t>4-80-0013-BL</t>
  </si>
  <si>
    <t>4-80-0013-CL</t>
  </si>
  <si>
    <t>4-80-0013-DB</t>
  </si>
  <si>
    <t>4-80-0018-BL</t>
  </si>
  <si>
    <t>4-80-0018-CL</t>
  </si>
  <si>
    <t>4-80-0018-DB</t>
  </si>
  <si>
    <t>4-80-0101</t>
  </si>
  <si>
    <t>4-80-0108</t>
  </si>
  <si>
    <t>4-80-0801</t>
  </si>
  <si>
    <t>4-80-0802</t>
  </si>
  <si>
    <t>4-80-0803</t>
  </si>
  <si>
    <t>4-80-0804</t>
  </si>
  <si>
    <t>4-80-0809</t>
  </si>
  <si>
    <t>4-80-0811</t>
  </si>
  <si>
    <t>4-80-1003</t>
  </si>
  <si>
    <t>4-80-4016-BL</t>
  </si>
  <si>
    <t>4-80-4016-CL</t>
  </si>
  <si>
    <t>4-80-4016-DB</t>
  </si>
  <si>
    <t>4-80-4018-BL</t>
  </si>
  <si>
    <t>4-80-4018-CL</t>
  </si>
  <si>
    <t>4-80-4018-DB</t>
  </si>
  <si>
    <t>4-80-4020</t>
  </si>
  <si>
    <t>4-80-9001</t>
  </si>
  <si>
    <t>4-85-0019</t>
  </si>
  <si>
    <t>4-85-0021</t>
  </si>
  <si>
    <t>4-85-0022</t>
  </si>
  <si>
    <t>4-85-0101</t>
  </si>
  <si>
    <t>4-85-0102</t>
  </si>
  <si>
    <t>4-85-0803</t>
  </si>
  <si>
    <t>4-85-0804</t>
  </si>
  <si>
    <t>4-85-0805</t>
  </si>
  <si>
    <t>4-85-0806</t>
  </si>
  <si>
    <t>4-85-1002</t>
  </si>
  <si>
    <t>4-85-1006</t>
  </si>
  <si>
    <t>4-85-1007</t>
  </si>
  <si>
    <t>4-85-1008</t>
  </si>
  <si>
    <t>4-85-1010</t>
  </si>
  <si>
    <t>4-85-1011</t>
  </si>
  <si>
    <t>4-85-1015</t>
  </si>
  <si>
    <t>4-85-4020</t>
  </si>
  <si>
    <t>4-85-4021</t>
  </si>
  <si>
    <t>4-85-4022-CL</t>
  </si>
  <si>
    <t>4-85-4022-DB</t>
  </si>
  <si>
    <t>4-85-4023-CL</t>
  </si>
  <si>
    <t>4-85-4023-DB</t>
  </si>
  <si>
    <t>4-85-4024-CL</t>
  </si>
  <si>
    <t>4-85-4024-DB</t>
  </si>
  <si>
    <t>4-85-9001</t>
  </si>
  <si>
    <t>4-85-9002</t>
  </si>
  <si>
    <t>4-85-9003</t>
  </si>
  <si>
    <t>4-86-0801-BL</t>
  </si>
  <si>
    <t>4-99-0800</t>
  </si>
  <si>
    <t>5-11-4008-MF</t>
  </si>
  <si>
    <t>5-11-4017-MF</t>
  </si>
  <si>
    <t>5-11-4021-CL</t>
  </si>
  <si>
    <t>5-11-4021-CL-24</t>
  </si>
  <si>
    <t>5-11-4021-DB</t>
  </si>
  <si>
    <t>5-11-4021-DB-24</t>
  </si>
  <si>
    <t>5-11-4021-MF</t>
  </si>
  <si>
    <t>5-11-4022-CL</t>
  </si>
  <si>
    <t>5-11-4022-CL-24</t>
  </si>
  <si>
    <t>5-11-4022-DB</t>
  </si>
  <si>
    <t>5-11-4022-DB-24</t>
  </si>
  <si>
    <t>5-11-4022-MF</t>
  </si>
  <si>
    <t>5-11-4024-CL</t>
  </si>
  <si>
    <t>5-11-4024-DB</t>
  </si>
  <si>
    <t>5-11-4024-MF</t>
  </si>
  <si>
    <t>5-11-4024-MF-22</t>
  </si>
  <si>
    <t>5-11-4025-CL</t>
  </si>
  <si>
    <t>5-11-4025-DB</t>
  </si>
  <si>
    <t>5-11-4025-MF</t>
  </si>
  <si>
    <t>5-11-4028-CL</t>
  </si>
  <si>
    <t>5-11-4028-DB</t>
  </si>
  <si>
    <t>5-11-4028-MF</t>
  </si>
  <si>
    <t>5-11-4030-CL</t>
  </si>
  <si>
    <t>5-11-4030-DB</t>
  </si>
  <si>
    <t>5-11-4030-MF</t>
  </si>
  <si>
    <t>5-11-4031-CL</t>
  </si>
  <si>
    <t>5-11-4031-DB</t>
  </si>
  <si>
    <t>5-11-4031-MF</t>
  </si>
  <si>
    <t>5-11-4032-CL</t>
  </si>
  <si>
    <t>5-11-4032-DB</t>
  </si>
  <si>
    <t>5-11-4032-MF</t>
  </si>
  <si>
    <t>5-11-4033-CL</t>
  </si>
  <si>
    <t>5-11-4033-DB</t>
  </si>
  <si>
    <t>5-11-4033-MF</t>
  </si>
  <si>
    <t>5-11-4034-CL</t>
  </si>
  <si>
    <t>5-11-4034-DB</t>
  </si>
  <si>
    <t>5-11-4034-MF</t>
  </si>
  <si>
    <t>5-11-4035-CL</t>
  </si>
  <si>
    <t>5-11-4035-DB</t>
  </si>
  <si>
    <t>5-11-4035-MF</t>
  </si>
  <si>
    <t>5-11-4036-CL</t>
  </si>
  <si>
    <t>5-11-4036-DB</t>
  </si>
  <si>
    <t>5-11-4036-MF</t>
  </si>
  <si>
    <t>5-11-4037-CL</t>
  </si>
  <si>
    <t>5-11-4037-DB</t>
  </si>
  <si>
    <t>5-11-4038-CL</t>
  </si>
  <si>
    <t>5-11-4038-DB</t>
  </si>
  <si>
    <t>5-11-4039-CL</t>
  </si>
  <si>
    <t>5-11-4039-DB</t>
  </si>
  <si>
    <t>5-11-4039-MF</t>
  </si>
  <si>
    <t>5-11-4040-CL</t>
  </si>
  <si>
    <t>5-11-4040-DB</t>
  </si>
  <si>
    <t>5-11-4040-MF</t>
  </si>
  <si>
    <t>5-11-4041-CL</t>
  </si>
  <si>
    <t>5-11-4041-DB</t>
  </si>
  <si>
    <t>5-11-4041-MF</t>
  </si>
  <si>
    <t>5-11-4042-CL</t>
  </si>
  <si>
    <t>5-11-4042-DB</t>
  </si>
  <si>
    <t>5-11-4042-MF</t>
  </si>
  <si>
    <t>5-11-4044-CL</t>
  </si>
  <si>
    <t>5-11-4044-DB</t>
  </si>
  <si>
    <t>5-11-4044-MF</t>
  </si>
  <si>
    <t>5-12-4006-CL</t>
  </si>
  <si>
    <t>5-12-4006-DB</t>
  </si>
  <si>
    <t>5-12-4006-MF</t>
  </si>
  <si>
    <t>5-19-4003</t>
  </si>
  <si>
    <t>5-45-4001-CL</t>
  </si>
  <si>
    <t>5-45-4001-DB</t>
  </si>
  <si>
    <t>5-45-4001-MF-12</t>
  </si>
  <si>
    <t>5-45-4002-CL</t>
  </si>
  <si>
    <t>5-45-4002-DB</t>
  </si>
  <si>
    <t>5-45-4002-MF-12</t>
  </si>
  <si>
    <t>5-45-4003-CL</t>
  </si>
  <si>
    <t>5-45-4003-DB</t>
  </si>
  <si>
    <t>5-45-4003-MF-12</t>
  </si>
  <si>
    <t>5-45-4004-CL</t>
  </si>
  <si>
    <t>5-45-4004-DB</t>
  </si>
  <si>
    <t>5-45-4004-MF-12</t>
  </si>
  <si>
    <t>5-45-4006-CL</t>
  </si>
  <si>
    <t>5-45-4006-DB</t>
  </si>
  <si>
    <t>5-45-4006-MF-16</t>
  </si>
  <si>
    <t>5-45-4007-CL</t>
  </si>
  <si>
    <t>5-45-4007-DB</t>
  </si>
  <si>
    <t>5-45-4007-MF-16</t>
  </si>
  <si>
    <t>5-45-4008-CL</t>
  </si>
  <si>
    <t>5-45-4008-DB</t>
  </si>
  <si>
    <t>5-45-4008-MF-14</t>
  </si>
  <si>
    <t>5-45-4009-CL</t>
  </si>
  <si>
    <t>5-45-4009-DB</t>
  </si>
  <si>
    <t>5-45-4009-MF-14</t>
  </si>
  <si>
    <t>5-49-4001-CL</t>
  </si>
  <si>
    <t>5-49-4001-DB</t>
  </si>
  <si>
    <t>5-49-4002-CL</t>
  </si>
  <si>
    <t>5-49-4002-DB</t>
  </si>
  <si>
    <t>5-51-4001-CL</t>
  </si>
  <si>
    <t>5-51-4001-CL-22</t>
  </si>
  <si>
    <t>5-51-4001-DB</t>
  </si>
  <si>
    <t>5-51-4001-DB-22</t>
  </si>
  <si>
    <t>5-51-4001-MF</t>
  </si>
  <si>
    <t>5-51-4001-MF-24</t>
  </si>
  <si>
    <t>5-51-4002-CL</t>
  </si>
  <si>
    <t>5-51-4002-DB</t>
  </si>
  <si>
    <t>5-51-4002-DB-22</t>
  </si>
  <si>
    <t>5-51-4002-MF</t>
  </si>
  <si>
    <t>5-51-4003-CL</t>
  </si>
  <si>
    <t>5-51-4003-DB</t>
  </si>
  <si>
    <t>5-51-4003-MF</t>
  </si>
  <si>
    <t>5-51-4004-CL</t>
  </si>
  <si>
    <t>5-51-4006-CL</t>
  </si>
  <si>
    <t>5-51-4006-DB</t>
  </si>
  <si>
    <t>5-51-4006-MF</t>
  </si>
  <si>
    <t>5-51-4007-CL</t>
  </si>
  <si>
    <t>5-51-4007-DB</t>
  </si>
  <si>
    <t>5-51-4009-CL</t>
  </si>
  <si>
    <t>5-51-4009-DB</t>
  </si>
  <si>
    <t>5-51-4009-MF</t>
  </si>
  <si>
    <t>5-51-4010-CL</t>
  </si>
  <si>
    <t>5-51-4010-DB</t>
  </si>
  <si>
    <t>5-51-4010-MF</t>
  </si>
  <si>
    <t>5-51-4010-MF-24</t>
  </si>
  <si>
    <t>5-51-4011-CL</t>
  </si>
  <si>
    <t>5-51-4011-DB</t>
  </si>
  <si>
    <t>5-51-4011-MF</t>
  </si>
  <si>
    <t>5-51-4012-CL</t>
  </si>
  <si>
    <t>5-51-4012-DB</t>
  </si>
  <si>
    <t>5-51-4012-MF</t>
  </si>
  <si>
    <t>5-51-4013-MF</t>
  </si>
  <si>
    <t>5-51-4015-MF</t>
  </si>
  <si>
    <t>5-51-4016-CL</t>
  </si>
  <si>
    <t>5-51-4016-DB</t>
  </si>
  <si>
    <t>5-51-4016-MF</t>
  </si>
  <si>
    <t>5-51-4017-CL</t>
  </si>
  <si>
    <t>5-51-4017-DB</t>
  </si>
  <si>
    <t>5-51-4018-CL</t>
  </si>
  <si>
    <t>5-51-4018-DB</t>
  </si>
  <si>
    <t>5-51-4021-MF</t>
  </si>
  <si>
    <t>5-51-4022-CL</t>
  </si>
  <si>
    <t>5-51-4022-DB</t>
  </si>
  <si>
    <t>5-51-4022-MF</t>
  </si>
  <si>
    <t>5-51-4023-CL</t>
  </si>
  <si>
    <t>5-51-4023-DB</t>
  </si>
  <si>
    <t>5-51-4023-MF</t>
  </si>
  <si>
    <t>5-51-4023-MF-16</t>
  </si>
  <si>
    <t>5-51-4024-CL</t>
  </si>
  <si>
    <t>5-51-4024-DB</t>
  </si>
  <si>
    <t>5-51-4024-MF</t>
  </si>
  <si>
    <t>5-51-4025-BL</t>
  </si>
  <si>
    <t>5-51-4025-CL</t>
  </si>
  <si>
    <t>5-51-4027-MF</t>
  </si>
  <si>
    <t>5-51-4027-SR</t>
  </si>
  <si>
    <t>5-51-4029-CL</t>
  </si>
  <si>
    <t>5-51-4029-CL-20</t>
  </si>
  <si>
    <t>5-51-4029-DB</t>
  </si>
  <si>
    <t>5-51-4029-MF</t>
  </si>
  <si>
    <t>5-52-4001-CL</t>
  </si>
  <si>
    <t>5-52-4001-DB</t>
  </si>
  <si>
    <t>5-52-4001-MF</t>
  </si>
  <si>
    <t>5-52-4002-CL</t>
  </si>
  <si>
    <t>5-52-4002-DB</t>
  </si>
  <si>
    <t>5-52-4002-MF</t>
  </si>
  <si>
    <t>5-52-4003-DB</t>
  </si>
  <si>
    <t>5-52-4004-CL</t>
  </si>
  <si>
    <t>5-52-4004-DB</t>
  </si>
  <si>
    <t>5-52-4007-CL</t>
  </si>
  <si>
    <t>5-59-4001-CL</t>
  </si>
  <si>
    <t>5-59-4001-CL-15</t>
  </si>
  <si>
    <t>5-59-4001-DB</t>
  </si>
  <si>
    <t>5-59-4001-MF</t>
  </si>
  <si>
    <t>5-59-4002-CL</t>
  </si>
  <si>
    <t>5-59-4002-CL-15</t>
  </si>
  <si>
    <t>5-59-4002-DB</t>
  </si>
  <si>
    <t>5-59-4003-CL</t>
  </si>
  <si>
    <t>5-59-4003-CL-15</t>
  </si>
  <si>
    <t>5-59-4003-DB</t>
  </si>
  <si>
    <t>5-59-4003-MF</t>
  </si>
  <si>
    <t>5-59-4004-CL</t>
  </si>
  <si>
    <t>5-60-1418-CL</t>
  </si>
  <si>
    <t>5-60-1418-DB</t>
  </si>
  <si>
    <t>5-60-1418-DB-22</t>
  </si>
  <si>
    <t>5-60-1418-MF</t>
  </si>
  <si>
    <t>5-60-1418-MF-24</t>
  </si>
  <si>
    <t>5-60-1421-CL</t>
  </si>
  <si>
    <t>5-60-1421-DB OBSOLET</t>
  </si>
  <si>
    <t>5-60-1423-CL</t>
  </si>
  <si>
    <t>5-60-1423-DB</t>
  </si>
  <si>
    <t>5-60-1491-CL - DNU</t>
  </si>
  <si>
    <t>5-60-1491-DB DNU</t>
  </si>
  <si>
    <t>5-60-1532-CL</t>
  </si>
  <si>
    <t>5-60-1532-DB</t>
  </si>
  <si>
    <t>5-60-1532-MF</t>
  </si>
  <si>
    <t>5-60-1739-CL</t>
  </si>
  <si>
    <t>5-60-1739-DB</t>
  </si>
  <si>
    <t>5-60-1739-MF</t>
  </si>
  <si>
    <t>5-60-1832-CL</t>
  </si>
  <si>
    <t>5-60-1832-DB</t>
  </si>
  <si>
    <t>5-60-4269</t>
  </si>
  <si>
    <t>5-80-4001-MF</t>
  </si>
  <si>
    <t>5-80-4004-BL</t>
  </si>
  <si>
    <t>5-80-4004-CL</t>
  </si>
  <si>
    <t>5-80-4004-DB</t>
  </si>
  <si>
    <t>5-80-4004-MF</t>
  </si>
  <si>
    <t>5-85-4003-CL</t>
  </si>
  <si>
    <t>5-85-4003-DB</t>
  </si>
  <si>
    <t>5-85-4003-MF</t>
  </si>
  <si>
    <t>5-85-4004-CL</t>
  </si>
  <si>
    <t>5-85-4004-DB</t>
  </si>
  <si>
    <t>5-85-4004-MF</t>
  </si>
  <si>
    <t>5-85-4005-DB</t>
  </si>
  <si>
    <t>6-11-9002</t>
  </si>
  <si>
    <t>6-11-9005</t>
  </si>
  <si>
    <t>6-11-9007</t>
  </si>
  <si>
    <t>6-11-9009</t>
  </si>
  <si>
    <t>6-11-9011</t>
  </si>
  <si>
    <t>6-51-9004</t>
  </si>
  <si>
    <t>6-51-9006</t>
  </si>
  <si>
    <t>6-51-9007</t>
  </si>
  <si>
    <t>6-52-9001</t>
  </si>
  <si>
    <t>6-59-9001</t>
  </si>
  <si>
    <t>6-60-1734</t>
  </si>
  <si>
    <t>6-80-9001</t>
  </si>
  <si>
    <t>6-80-9002</t>
  </si>
  <si>
    <t>6-80-9003</t>
  </si>
  <si>
    <t>6-80-9004</t>
  </si>
  <si>
    <t>81-0011-0562</t>
  </si>
  <si>
    <t>81-0011-2670</t>
  </si>
  <si>
    <t>81-0014-2664</t>
  </si>
  <si>
    <t>81-0016-2554</t>
  </si>
  <si>
    <t>81-0016-2562</t>
  </si>
  <si>
    <t>81-0017-2658</t>
  </si>
  <si>
    <t>81-0017-3664</t>
  </si>
  <si>
    <t>81-0017-3666</t>
  </si>
  <si>
    <t>81-0018-3726</t>
  </si>
  <si>
    <t>81-0019-2558</t>
  </si>
  <si>
    <t>81-0718-3666</t>
  </si>
  <si>
    <t>81-3114-0412-DB</t>
  </si>
  <si>
    <t>81-3514-0512</t>
  </si>
  <si>
    <t>81-4211-0308</t>
  </si>
  <si>
    <t>81-4211-0684</t>
  </si>
  <si>
    <t>81-4411-0512</t>
  </si>
  <si>
    <t>81-4411-0516</t>
  </si>
  <si>
    <t>8-91-3006</t>
  </si>
  <si>
    <t>8-91-3011</t>
  </si>
  <si>
    <t>8-91-3012</t>
  </si>
  <si>
    <t>8-91-3013</t>
  </si>
  <si>
    <t>8-91-3014</t>
  </si>
  <si>
    <t>8-91-3016</t>
  </si>
  <si>
    <t>8-91-3017</t>
  </si>
  <si>
    <t>8-91-3018</t>
  </si>
  <si>
    <t>8-91-3023</t>
  </si>
  <si>
    <t>8-91-3026</t>
  </si>
  <si>
    <t>8-92-3017</t>
  </si>
  <si>
    <t>8-92-3026</t>
  </si>
  <si>
    <t>8-92-3031</t>
  </si>
  <si>
    <t>8-92-3032</t>
  </si>
  <si>
    <t>8-92-3034</t>
  </si>
  <si>
    <t>8-92-3035</t>
  </si>
  <si>
    <t>8-92-3037</t>
  </si>
  <si>
    <t>8-92-3038</t>
  </si>
  <si>
    <t>8-92-3039</t>
  </si>
  <si>
    <t>8-92-3040</t>
  </si>
  <si>
    <t>8-92-3041</t>
  </si>
  <si>
    <t>8-92-3043</t>
  </si>
  <si>
    <t>8-92-3044</t>
  </si>
  <si>
    <t>8-93-3002</t>
  </si>
  <si>
    <t>8-93-3003</t>
  </si>
  <si>
    <t>9-09-0012</t>
  </si>
  <si>
    <t>9-09-0015</t>
  </si>
  <si>
    <t>9-09-0016</t>
  </si>
  <si>
    <t>9-11-0001</t>
  </si>
  <si>
    <t>9-25-0020-CL</t>
  </si>
  <si>
    <t>9-25-0020-DB</t>
  </si>
  <si>
    <t>9-25-0021-CL</t>
  </si>
  <si>
    <t>9-25-0021-DB</t>
  </si>
  <si>
    <t>9-25-0023-CL</t>
  </si>
  <si>
    <t>9-25-0023-DB</t>
  </si>
  <si>
    <t>9-45-0010</t>
  </si>
  <si>
    <t>9-45-0011</t>
  </si>
  <si>
    <t>9-45-0012</t>
  </si>
  <si>
    <t>9-45-0013</t>
  </si>
  <si>
    <t>9-45-0101</t>
  </si>
  <si>
    <t>9-45-0102</t>
  </si>
  <si>
    <t>9-45-0103</t>
  </si>
  <si>
    <t>9-45-0106</t>
  </si>
  <si>
    <t>9-45-0107</t>
  </si>
  <si>
    <t>9-45-0109</t>
  </si>
  <si>
    <t>9-45-0110</t>
  </si>
  <si>
    <t>9-51-0001</t>
  </si>
  <si>
    <t>9-51-0004</t>
  </si>
  <si>
    <t>9-51-0010</t>
  </si>
  <si>
    <t>9-51-0014</t>
  </si>
  <si>
    <t>9-51-0015</t>
  </si>
  <si>
    <t>9-51-0016</t>
  </si>
  <si>
    <t>9-51-0017</t>
  </si>
  <si>
    <t>9-51-0019</t>
  </si>
  <si>
    <t>9-58-0008</t>
  </si>
  <si>
    <t>9-59-0001</t>
  </si>
  <si>
    <t>9-60-1677</t>
  </si>
  <si>
    <t>9-61-0001</t>
  </si>
  <si>
    <t>9-61-0004</t>
  </si>
  <si>
    <t>9-61-0006</t>
  </si>
  <si>
    <t>9-61-0011</t>
  </si>
  <si>
    <t>9-61-0015</t>
  </si>
  <si>
    <t>9-61-0016</t>
  </si>
  <si>
    <t>9-61-0018</t>
  </si>
  <si>
    <t>9-61-0021</t>
  </si>
  <si>
    <t>9-61-0022</t>
  </si>
  <si>
    <t>9-61-0028</t>
  </si>
  <si>
    <t>9-61-0029</t>
  </si>
  <si>
    <t>9-61-0031</t>
  </si>
  <si>
    <t>9-61-0033</t>
  </si>
  <si>
    <t>9-61-0035</t>
  </si>
  <si>
    <t>9-61-0036</t>
  </si>
  <si>
    <t>9-61-0037</t>
  </si>
  <si>
    <t>9-61-0038</t>
  </si>
  <si>
    <t>9-61-0040</t>
  </si>
  <si>
    <t>9-61-0041</t>
  </si>
  <si>
    <t>9-61-0042</t>
  </si>
  <si>
    <t>9-61-0043</t>
  </si>
  <si>
    <t>9-61-0045</t>
  </si>
  <si>
    <t>9-61-0051</t>
  </si>
  <si>
    <t>9-61-0052</t>
  </si>
  <si>
    <t>9-61-0062</t>
  </si>
  <si>
    <t>9-61-0066</t>
  </si>
  <si>
    <t>9-61-0068</t>
  </si>
  <si>
    <t>9-61-0069</t>
  </si>
  <si>
    <t>9-61-0070</t>
  </si>
  <si>
    <t>9-61-0072</t>
  </si>
  <si>
    <t>9-61-0075</t>
  </si>
  <si>
    <t>9-65-0006</t>
  </si>
  <si>
    <t>9-70-0077</t>
  </si>
  <si>
    <t>9-73-0071</t>
  </si>
  <si>
    <t>9-73-0074</t>
  </si>
  <si>
    <t>9-73-0079</t>
  </si>
  <si>
    <t>9-73-0080</t>
  </si>
  <si>
    <t>9-73-0081</t>
  </si>
  <si>
    <t>9-73-0082</t>
  </si>
  <si>
    <t>9-73-0087</t>
  </si>
  <si>
    <t>9-73-0088</t>
  </si>
  <si>
    <t>9-73-0092</t>
  </si>
  <si>
    <t>9-73-0104</t>
  </si>
  <si>
    <t>9-79-0008</t>
  </si>
  <si>
    <t>9-80-0006</t>
  </si>
  <si>
    <t>9-80-0007</t>
  </si>
  <si>
    <t>9-80-0008</t>
  </si>
  <si>
    <t>9-80-0009</t>
  </si>
  <si>
    <t>9-80-0011</t>
  </si>
  <si>
    <t>9-80-0017</t>
  </si>
  <si>
    <t>9-80-0018</t>
  </si>
  <si>
    <t>9-80-0020</t>
  </si>
  <si>
    <t>9-80-0022</t>
  </si>
  <si>
    <t>9-80-0023</t>
  </si>
  <si>
    <t>9-80-0101</t>
  </si>
  <si>
    <t>9-80-0102</t>
  </si>
  <si>
    <t>9-80-0103</t>
  </si>
  <si>
    <t>9-80-0106</t>
  </si>
  <si>
    <t>9-80-0107</t>
  </si>
  <si>
    <t>9-80-0109</t>
  </si>
  <si>
    <t>9-80-0113</t>
  </si>
  <si>
    <t>9-80-0115</t>
  </si>
  <si>
    <t>9-80-0201</t>
  </si>
  <si>
    <t>9-81-3000-36</t>
  </si>
  <si>
    <t>9-81-3000-60</t>
  </si>
  <si>
    <t>9-81-3000-72</t>
  </si>
  <si>
    <t>9-81-3000-CS</t>
  </si>
  <si>
    <t>9-81-3001-36</t>
  </si>
  <si>
    <t>9-81-3001-42</t>
  </si>
  <si>
    <t>9-81-3001-48</t>
  </si>
  <si>
    <t>9-81-3001-54</t>
  </si>
  <si>
    <t>9-81-3001-60</t>
  </si>
  <si>
    <t>9-81-3001-72</t>
  </si>
  <si>
    <t>9-81-3001-96</t>
  </si>
  <si>
    <t>9-81-3001-CS</t>
  </si>
  <si>
    <t>9-81-3002-36</t>
  </si>
  <si>
    <t>9-81-3002-42</t>
  </si>
  <si>
    <t>9-81-3002-48</t>
  </si>
  <si>
    <t>9-81-3002-54</t>
  </si>
  <si>
    <t>9-81-3002-60</t>
  </si>
  <si>
    <t>9-81-3002-72</t>
  </si>
  <si>
    <t>9-81-3002-96</t>
  </si>
  <si>
    <t>9-81-3002-CS</t>
  </si>
  <si>
    <t>9-81-4120</t>
  </si>
  <si>
    <t>9-87-0112</t>
  </si>
  <si>
    <t>9-87-0115</t>
  </si>
  <si>
    <t>9-90-0000</t>
  </si>
  <si>
    <t>9-90-0002-CL</t>
  </si>
  <si>
    <t>9-90-0002-DB</t>
  </si>
  <si>
    <t>9-99-0042</t>
  </si>
  <si>
    <t>9-99-0051-CL</t>
  </si>
  <si>
    <t>9-99-0053</t>
  </si>
  <si>
    <t>9-99-0064-CL</t>
  </si>
  <si>
    <t>9-99-0064-DB</t>
  </si>
  <si>
    <t>9-99-0067</t>
  </si>
  <si>
    <t>9-99-0069-CL</t>
  </si>
  <si>
    <t>9-99-0069-DB</t>
  </si>
  <si>
    <t>9-99-0071-CL</t>
  </si>
  <si>
    <t>9-99-0072-CL</t>
  </si>
  <si>
    <t>9-99-0072-DB</t>
  </si>
  <si>
    <t>9-99-0073-CL</t>
  </si>
  <si>
    <t>9-99-0073-DB</t>
  </si>
  <si>
    <t>9-99-0074</t>
  </si>
  <si>
    <t>9-99-0076</t>
  </si>
  <si>
    <t>9-99-0083</t>
  </si>
  <si>
    <t>9-99-0087-BL</t>
  </si>
  <si>
    <t>9-99-0088-BL</t>
  </si>
  <si>
    <t>9-99-0094-BL</t>
  </si>
  <si>
    <t>9-99-0097</t>
  </si>
  <si>
    <t>9-99-0113</t>
  </si>
  <si>
    <t>9-99-0150</t>
  </si>
  <si>
    <t>9-99-0232</t>
  </si>
  <si>
    <t>9-99-0233</t>
  </si>
  <si>
    <t>9-99-0238</t>
  </si>
  <si>
    <t>9-99-0351</t>
  </si>
  <si>
    <t>9-99-0462</t>
  </si>
  <si>
    <t>9-99-0783</t>
  </si>
  <si>
    <t>9-99-0784</t>
  </si>
  <si>
    <t>9-99-1321</t>
  </si>
  <si>
    <t>9-99-1325</t>
  </si>
  <si>
    <t>9-99-1326</t>
  </si>
  <si>
    <t>9-99-1823</t>
  </si>
  <si>
    <t>9-99-1824</t>
  </si>
  <si>
    <t>9-99-1902</t>
  </si>
  <si>
    <t>9-99-1939</t>
  </si>
  <si>
    <t>9-99-1940</t>
  </si>
  <si>
    <t>9-99-2593</t>
  </si>
  <si>
    <t>9-99-2801-CL</t>
  </si>
  <si>
    <t>9-99-2801-DB</t>
  </si>
  <si>
    <t>9-99-2802-CL</t>
  </si>
  <si>
    <t>9-99-2802-DB</t>
  </si>
  <si>
    <t>9-99-2809-CL</t>
  </si>
  <si>
    <t>9-99-2809-DB</t>
  </si>
  <si>
    <t>9-99-2813-CL</t>
  </si>
  <si>
    <t>9-99-2813-DB</t>
  </si>
  <si>
    <t>9-99-2826-BL</t>
  </si>
  <si>
    <t>9-99-2827-CL</t>
  </si>
  <si>
    <t>9-99-2827-DB</t>
  </si>
  <si>
    <t>9-99-2828-BL</t>
  </si>
  <si>
    <t>9-99-2828-CL</t>
  </si>
  <si>
    <t>9-99-2829</t>
  </si>
  <si>
    <t>9-99-2832</t>
  </si>
  <si>
    <t>9-99-2834</t>
  </si>
  <si>
    <t>9-99-2836</t>
  </si>
  <si>
    <t>9-99-3036</t>
  </si>
  <si>
    <t>9-99-3459</t>
  </si>
  <si>
    <t>9-99-3507</t>
  </si>
  <si>
    <t>9-99-3901</t>
  </si>
  <si>
    <t>9-99-3980</t>
  </si>
  <si>
    <t>9-99-4622</t>
  </si>
  <si>
    <t>9-99-4625</t>
  </si>
  <si>
    <t>9-99-4628</t>
  </si>
  <si>
    <t>9-99-5690</t>
  </si>
  <si>
    <t>9-99-6151</t>
  </si>
  <si>
    <t>9-99-6194</t>
  </si>
  <si>
    <t>9-99-6510</t>
  </si>
  <si>
    <t>9-99-6597</t>
  </si>
  <si>
    <t>9-99-6598</t>
  </si>
  <si>
    <t>9-99-6600</t>
  </si>
  <si>
    <t>9-99-6601</t>
  </si>
  <si>
    <t>9-99-6602</t>
  </si>
  <si>
    <t>9-99-6603</t>
  </si>
  <si>
    <t>9-99-6604</t>
  </si>
  <si>
    <t>9-99-6605</t>
  </si>
  <si>
    <t>9-99-6606</t>
  </si>
  <si>
    <t>9-99-7170</t>
  </si>
  <si>
    <t>9-99-7235</t>
  </si>
  <si>
    <t>9-99-7249</t>
  </si>
  <si>
    <t>9-99-7316</t>
  </si>
  <si>
    <t>9-99-7318-DB</t>
  </si>
  <si>
    <t>9-99-7323</t>
  </si>
  <si>
    <t>9-99-7347-BL</t>
  </si>
  <si>
    <t>9-99-7348-BL</t>
  </si>
  <si>
    <t>9-99-7349</t>
  </si>
  <si>
    <t>9-99-7358</t>
  </si>
  <si>
    <t>9-99-7360</t>
  </si>
  <si>
    <t>9-99-7362</t>
  </si>
  <si>
    <t>9-99-7363</t>
  </si>
  <si>
    <t>9-99-7365</t>
  </si>
  <si>
    <t>9-99-7370</t>
  </si>
  <si>
    <t>P-10TD900HH1</t>
  </si>
  <si>
    <t>PK-0001</t>
  </si>
  <si>
    <t>REPL-45-PANEL</t>
  </si>
  <si>
    <t>REPL-49-PANEL</t>
  </si>
  <si>
    <t>REPL-51-PANEL</t>
  </si>
  <si>
    <t>REPL-52-PANEL</t>
  </si>
  <si>
    <t>REPL-59-PANEL</t>
  </si>
  <si>
    <t>REPL-86-PANEL</t>
  </si>
  <si>
    <t>REPL-87-PANEL</t>
  </si>
  <si>
    <t>RFB-4-51-0144</t>
  </si>
  <si>
    <t>RFB-9-61-0101</t>
  </si>
  <si>
    <t>RFB-9-80-0101</t>
  </si>
  <si>
    <t>ASHLEY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</si>
</sst>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</font>
    <font>
      <b/>
      <sz val="10"/>
      <color rgb="FFFFFFFF"/>
      <name val="Arial-BoldMT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2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893F-BCED-44CD-B81B-659785336A27}">
  <dimension ref="A1:K962"/>
  <sheetViews>
    <sheetView tabSelected="1" zoomScale="90" zoomScaleNormal="90" workbookViewId="0">
      <pane ySplit="1" topLeftCell="A792" activePane="bottomLeft" state="frozen"/>
      <selection pane="bottomLeft" activeCell="E823" sqref="E823"/>
    </sheetView>
  </sheetViews>
  <sheetFormatPr defaultRowHeight="15"/>
  <cols>
    <col min="1" max="1" width="17.7109375" bestFit="1" customWidth="1"/>
    <col min="2" max="2" width="70.5703125" bestFit="1" customWidth="1"/>
    <col min="3" max="3" width="39.140625" customWidth="1"/>
    <col min="4" max="4" width="11.28515625" bestFit="1" customWidth="1"/>
    <col min="10" max="10" width="11.85546875" bestFit="1" customWidth="1"/>
  </cols>
  <sheetData>
    <row r="1" spans="1:11">
      <c r="A1" t="s">
        <v>3390</v>
      </c>
      <c r="B1" t="s">
        <v>3391</v>
      </c>
      <c r="C1" t="s">
        <v>2221</v>
      </c>
      <c r="D1" t="s">
        <v>3392</v>
      </c>
      <c r="E1" t="s">
        <v>3393</v>
      </c>
      <c r="G1" t="s">
        <v>3394</v>
      </c>
      <c r="H1" t="s">
        <v>3395</v>
      </c>
      <c r="I1" t="s">
        <v>3396</v>
      </c>
      <c r="J1" t="s">
        <v>3397</v>
      </c>
      <c r="K1" t="s">
        <v>3398</v>
      </c>
    </row>
    <row r="2" spans="1:11">
      <c r="A2" t="s">
        <v>2155</v>
      </c>
      <c r="B2" t="s">
        <v>2156</v>
      </c>
      <c r="C2" t="s">
        <v>2248</v>
      </c>
      <c r="D2" t="s">
        <v>2250</v>
      </c>
      <c r="E2">
        <f>+D2*0.65*1.045</f>
        <v>228.90725</v>
      </c>
      <c r="H2">
        <v>193.78</v>
      </c>
      <c r="I2">
        <f>+MIN(E2:H2)</f>
        <v>193.78</v>
      </c>
      <c r="J2" t="str">
        <f>+_xlfn.XLOOKUP(I2,E2:H2,$E$1:$H$1)</f>
        <v>DC</v>
      </c>
    </row>
    <row r="3" spans="1:11">
      <c r="A3" t="s">
        <v>3399</v>
      </c>
      <c r="B3" t="s">
        <v>2174</v>
      </c>
      <c r="C3" t="s">
        <v>2248</v>
      </c>
      <c r="D3" t="s">
        <v>2251</v>
      </c>
      <c r="E3">
        <f t="shared" ref="E3:E66" si="0">+D3*0.65*1.045</f>
        <v>53.66075</v>
      </c>
      <c r="I3">
        <f t="shared" ref="I3:I66" si="1">+MIN(E3:H3)</f>
        <v>53.66075</v>
      </c>
      <c r="J3" t="str">
        <f t="shared" ref="J3:J66" si="2">+_xlfn.SINGLE(_xlfn.XLOOKUP(I3,E3:H3,$E$1:$H$1))</f>
        <v>Our Cost</v>
      </c>
    </row>
    <row r="4" spans="1:11">
      <c r="A4" t="s">
        <v>3400</v>
      </c>
      <c r="B4" t="s">
        <v>2175</v>
      </c>
      <c r="C4" t="s">
        <v>2248</v>
      </c>
      <c r="D4" t="s">
        <v>2252</v>
      </c>
      <c r="E4">
        <f t="shared" si="0"/>
        <v>442.19175000000001</v>
      </c>
      <c r="I4">
        <f t="shared" si="1"/>
        <v>442.19175000000001</v>
      </c>
      <c r="J4" t="str">
        <f t="shared" si="2"/>
        <v>Our Cost</v>
      </c>
    </row>
    <row r="5" spans="1:11">
      <c r="A5" t="s">
        <v>3401</v>
      </c>
      <c r="B5" t="s">
        <v>2176</v>
      </c>
      <c r="C5" t="s">
        <v>2248</v>
      </c>
      <c r="D5" t="s">
        <v>2253</v>
      </c>
      <c r="E5">
        <f t="shared" si="0"/>
        <v>834.11900000000003</v>
      </c>
      <c r="H5">
        <v>1129.76</v>
      </c>
      <c r="I5">
        <f t="shared" si="1"/>
        <v>834.11900000000003</v>
      </c>
      <c r="J5" t="str">
        <f t="shared" si="2"/>
        <v>Our Cost</v>
      </c>
    </row>
    <row r="6" spans="1:11">
      <c r="A6" t="s">
        <v>3402</v>
      </c>
      <c r="B6" t="s">
        <v>2177</v>
      </c>
      <c r="C6" t="s">
        <v>2248</v>
      </c>
      <c r="D6" t="s">
        <v>2254</v>
      </c>
      <c r="E6">
        <f t="shared" si="0"/>
        <v>112.7555</v>
      </c>
      <c r="I6">
        <f t="shared" si="1"/>
        <v>112.7555</v>
      </c>
      <c r="J6" t="str">
        <f t="shared" si="2"/>
        <v>Our Cost</v>
      </c>
    </row>
    <row r="7" spans="1:11">
      <c r="A7" t="s">
        <v>3403</v>
      </c>
      <c r="B7" t="s">
        <v>2178</v>
      </c>
      <c r="C7" t="s">
        <v>2248</v>
      </c>
      <c r="D7" t="s">
        <v>2255</v>
      </c>
      <c r="E7">
        <f t="shared" si="0"/>
        <v>240.45449999999997</v>
      </c>
      <c r="I7">
        <f t="shared" si="1"/>
        <v>240.45449999999997</v>
      </c>
      <c r="J7" t="str">
        <f t="shared" si="2"/>
        <v>Our Cost</v>
      </c>
    </row>
    <row r="8" spans="1:11">
      <c r="A8" t="s">
        <v>3404</v>
      </c>
      <c r="B8" t="s">
        <v>2179</v>
      </c>
      <c r="C8" t="s">
        <v>2248</v>
      </c>
      <c r="D8" t="s">
        <v>2256</v>
      </c>
      <c r="E8">
        <f t="shared" si="0"/>
        <v>67.245750000000001</v>
      </c>
      <c r="I8">
        <f t="shared" si="1"/>
        <v>67.245750000000001</v>
      </c>
      <c r="J8" t="str">
        <f t="shared" si="2"/>
        <v>Our Cost</v>
      </c>
    </row>
    <row r="9" spans="1:11">
      <c r="A9" t="s">
        <v>3405</v>
      </c>
      <c r="B9" t="s">
        <v>2180</v>
      </c>
      <c r="C9" t="s">
        <v>2249</v>
      </c>
      <c r="D9" t="s">
        <v>2257</v>
      </c>
      <c r="E9">
        <f t="shared" si="0"/>
        <v>4.7547499999999996</v>
      </c>
      <c r="I9">
        <f t="shared" si="1"/>
        <v>4.7547499999999996</v>
      </c>
      <c r="J9" t="str">
        <f t="shared" si="2"/>
        <v>Our Cost</v>
      </c>
    </row>
    <row r="10" spans="1:11">
      <c r="A10" t="s">
        <v>3406</v>
      </c>
      <c r="B10" t="s">
        <v>2181</v>
      </c>
      <c r="C10" t="s">
        <v>2249</v>
      </c>
      <c r="D10" t="s">
        <v>2258</v>
      </c>
      <c r="E10">
        <f t="shared" si="0"/>
        <v>2.03775</v>
      </c>
      <c r="I10">
        <f t="shared" si="1"/>
        <v>2.03775</v>
      </c>
      <c r="J10" t="str">
        <f t="shared" si="2"/>
        <v>Our Cost</v>
      </c>
    </row>
    <row r="11" spans="1:11">
      <c r="A11" t="s">
        <v>3407</v>
      </c>
      <c r="B11" t="s">
        <v>2182</v>
      </c>
      <c r="C11" t="s">
        <v>2248</v>
      </c>
      <c r="D11" t="s">
        <v>2259</v>
      </c>
      <c r="E11">
        <f t="shared" si="0"/>
        <v>23.77375</v>
      </c>
      <c r="H11">
        <v>32.200000000000003</v>
      </c>
      <c r="I11">
        <f t="shared" si="1"/>
        <v>23.77375</v>
      </c>
      <c r="J11" t="str">
        <f t="shared" si="2"/>
        <v>Our Cost</v>
      </c>
    </row>
    <row r="12" spans="1:11">
      <c r="A12" t="s">
        <v>3408</v>
      </c>
      <c r="B12" t="s">
        <v>2183</v>
      </c>
      <c r="C12" t="s">
        <v>2248</v>
      </c>
      <c r="D12" t="s">
        <v>2259</v>
      </c>
      <c r="E12">
        <f t="shared" si="0"/>
        <v>23.77375</v>
      </c>
      <c r="I12">
        <f t="shared" si="1"/>
        <v>23.77375</v>
      </c>
      <c r="J12" t="str">
        <f t="shared" si="2"/>
        <v>Our Cost</v>
      </c>
    </row>
    <row r="13" spans="1:11">
      <c r="A13" t="s">
        <v>3409</v>
      </c>
      <c r="B13" t="s">
        <v>2184</v>
      </c>
      <c r="C13" t="s">
        <v>2248</v>
      </c>
      <c r="D13" t="s">
        <v>2259</v>
      </c>
      <c r="E13">
        <f t="shared" si="0"/>
        <v>23.77375</v>
      </c>
      <c r="I13">
        <f t="shared" si="1"/>
        <v>23.77375</v>
      </c>
      <c r="J13" t="str">
        <f t="shared" si="2"/>
        <v>Our Cost</v>
      </c>
    </row>
    <row r="14" spans="1:11">
      <c r="A14" t="s">
        <v>3410</v>
      </c>
      <c r="B14" t="s">
        <v>2185</v>
      </c>
      <c r="C14" t="s">
        <v>2248</v>
      </c>
      <c r="D14" t="s">
        <v>2259</v>
      </c>
      <c r="E14">
        <f t="shared" si="0"/>
        <v>23.77375</v>
      </c>
      <c r="I14">
        <f t="shared" si="1"/>
        <v>23.77375</v>
      </c>
      <c r="J14" t="str">
        <f t="shared" si="2"/>
        <v>Our Cost</v>
      </c>
    </row>
    <row r="15" spans="1:11">
      <c r="A15" t="s">
        <v>3411</v>
      </c>
      <c r="B15" t="s">
        <v>2186</v>
      </c>
      <c r="C15" t="s">
        <v>2248</v>
      </c>
      <c r="D15" t="s">
        <v>2260</v>
      </c>
      <c r="E15">
        <f t="shared" si="0"/>
        <v>967.25199999999995</v>
      </c>
      <c r="I15">
        <f t="shared" si="1"/>
        <v>967.25199999999995</v>
      </c>
      <c r="J15" t="str">
        <f t="shared" si="2"/>
        <v>Our Cost</v>
      </c>
    </row>
    <row r="16" spans="1:11">
      <c r="A16" t="s">
        <v>3412</v>
      </c>
      <c r="B16" t="s">
        <v>2187</v>
      </c>
      <c r="C16" t="s">
        <v>2248</v>
      </c>
      <c r="D16" t="s">
        <v>2261</v>
      </c>
      <c r="E16">
        <f t="shared" si="0"/>
        <v>535.92824999999993</v>
      </c>
      <c r="I16">
        <f t="shared" si="1"/>
        <v>535.92824999999993</v>
      </c>
      <c r="J16" t="str">
        <f t="shared" si="2"/>
        <v>Our Cost</v>
      </c>
    </row>
    <row r="17" spans="1:11">
      <c r="A17" t="s">
        <v>3413</v>
      </c>
      <c r="B17" t="s">
        <v>2188</v>
      </c>
      <c r="C17" t="s">
        <v>2248</v>
      </c>
      <c r="D17" t="s">
        <v>2262</v>
      </c>
      <c r="E17">
        <f t="shared" si="0"/>
        <v>113.43474999999999</v>
      </c>
      <c r="G17">
        <v>131</v>
      </c>
      <c r="H17">
        <v>153.63999999999999</v>
      </c>
      <c r="I17">
        <f t="shared" si="1"/>
        <v>113.43474999999999</v>
      </c>
      <c r="J17" t="str">
        <f t="shared" si="2"/>
        <v>Our Cost</v>
      </c>
      <c r="K17" t="s">
        <v>3394</v>
      </c>
    </row>
    <row r="18" spans="1:11">
      <c r="A18" t="s">
        <v>3414</v>
      </c>
      <c r="B18" t="s">
        <v>2189</v>
      </c>
      <c r="C18" t="s">
        <v>2248</v>
      </c>
      <c r="D18" t="s">
        <v>2263</v>
      </c>
      <c r="E18">
        <f t="shared" si="0"/>
        <v>119.548</v>
      </c>
      <c r="G18">
        <v>132</v>
      </c>
      <c r="H18">
        <v>161.91999999999999</v>
      </c>
      <c r="I18">
        <f t="shared" si="1"/>
        <v>119.548</v>
      </c>
      <c r="J18" t="str">
        <f t="shared" si="2"/>
        <v>Our Cost</v>
      </c>
      <c r="K18" t="s">
        <v>3394</v>
      </c>
    </row>
    <row r="19" spans="1:11">
      <c r="A19" t="s">
        <v>3415</v>
      </c>
      <c r="B19" t="s">
        <v>2190</v>
      </c>
      <c r="C19" t="s">
        <v>2248</v>
      </c>
      <c r="D19" t="s">
        <v>2262</v>
      </c>
      <c r="E19">
        <f t="shared" si="0"/>
        <v>113.43474999999999</v>
      </c>
      <c r="G19">
        <v>126</v>
      </c>
      <c r="H19">
        <v>153.63999999999999</v>
      </c>
      <c r="I19">
        <f t="shared" si="1"/>
        <v>113.43474999999999</v>
      </c>
      <c r="J19" t="str">
        <f t="shared" si="2"/>
        <v>Our Cost</v>
      </c>
      <c r="K19" t="s">
        <v>3394</v>
      </c>
    </row>
    <row r="20" spans="1:11">
      <c r="A20" t="s">
        <v>3416</v>
      </c>
      <c r="B20" t="s">
        <v>2191</v>
      </c>
      <c r="C20" t="s">
        <v>2248</v>
      </c>
      <c r="D20" t="s">
        <v>2264</v>
      </c>
      <c r="E20">
        <f t="shared" si="0"/>
        <v>117.51025</v>
      </c>
      <c r="G20">
        <v>130</v>
      </c>
      <c r="H20">
        <v>159.16</v>
      </c>
      <c r="I20">
        <f t="shared" si="1"/>
        <v>117.51025</v>
      </c>
      <c r="J20" t="str">
        <f t="shared" si="2"/>
        <v>Our Cost</v>
      </c>
      <c r="K20" t="s">
        <v>3394</v>
      </c>
    </row>
    <row r="21" spans="1:11">
      <c r="A21" t="s">
        <v>3417</v>
      </c>
      <c r="B21" t="s">
        <v>2192</v>
      </c>
      <c r="C21" t="s">
        <v>2248</v>
      </c>
      <c r="D21" t="s">
        <v>2265</v>
      </c>
      <c r="E21">
        <f t="shared" si="0"/>
        <v>740.38249999999994</v>
      </c>
      <c r="G21">
        <v>464.1</v>
      </c>
      <c r="H21">
        <v>1002.8</v>
      </c>
      <c r="I21">
        <f>+MIN(E21:H21)</f>
        <v>464.1</v>
      </c>
      <c r="J21" t="str">
        <f t="shared" si="2"/>
        <v>Addison</v>
      </c>
      <c r="K21" t="s">
        <v>3394</v>
      </c>
    </row>
    <row r="22" spans="1:11">
      <c r="A22" t="s">
        <v>3418</v>
      </c>
      <c r="B22" t="s">
        <v>2193</v>
      </c>
      <c r="C22" t="s">
        <v>2248</v>
      </c>
      <c r="D22" t="s">
        <v>2265</v>
      </c>
      <c r="E22">
        <f t="shared" si="0"/>
        <v>740.38249999999994</v>
      </c>
      <c r="G22">
        <v>722.5</v>
      </c>
      <c r="H22">
        <v>1002.8</v>
      </c>
      <c r="I22">
        <f t="shared" si="1"/>
        <v>722.5</v>
      </c>
      <c r="J22" t="str">
        <f t="shared" si="2"/>
        <v>Addison</v>
      </c>
    </row>
    <row r="23" spans="1:11">
      <c r="A23" t="s">
        <v>3419</v>
      </c>
      <c r="B23" t="s">
        <v>2194</v>
      </c>
      <c r="C23" t="s">
        <v>2248</v>
      </c>
      <c r="D23" t="s">
        <v>2265</v>
      </c>
      <c r="E23">
        <f t="shared" si="0"/>
        <v>740.38249999999994</v>
      </c>
      <c r="H23">
        <v>1002.8</v>
      </c>
      <c r="I23">
        <f t="shared" si="1"/>
        <v>740.38249999999994</v>
      </c>
      <c r="J23" t="str">
        <f t="shared" si="2"/>
        <v>Our Cost</v>
      </c>
    </row>
    <row r="24" spans="1:11">
      <c r="A24" t="s">
        <v>3420</v>
      </c>
      <c r="B24" t="s">
        <v>2195</v>
      </c>
      <c r="C24" t="s">
        <v>2248</v>
      </c>
      <c r="D24" t="s">
        <v>2266</v>
      </c>
      <c r="E24">
        <f t="shared" si="0"/>
        <v>145.3595</v>
      </c>
      <c r="I24">
        <f t="shared" si="1"/>
        <v>145.3595</v>
      </c>
      <c r="J24" t="str">
        <f t="shared" si="2"/>
        <v>Our Cost</v>
      </c>
    </row>
    <row r="25" spans="1:11">
      <c r="A25" t="s">
        <v>3421</v>
      </c>
      <c r="B25" t="s">
        <v>2196</v>
      </c>
      <c r="C25" t="s">
        <v>2248</v>
      </c>
      <c r="D25" t="s">
        <v>2266</v>
      </c>
      <c r="E25">
        <f t="shared" si="0"/>
        <v>145.3595</v>
      </c>
      <c r="H25">
        <v>196.88</v>
      </c>
      <c r="I25">
        <f t="shared" si="1"/>
        <v>145.3595</v>
      </c>
      <c r="J25" t="str">
        <f t="shared" si="2"/>
        <v>Our Cost</v>
      </c>
    </row>
    <row r="26" spans="1:11">
      <c r="A26" t="s">
        <v>3422</v>
      </c>
      <c r="B26" t="s">
        <v>2197</v>
      </c>
      <c r="C26" t="s">
        <v>2248</v>
      </c>
      <c r="D26" t="s">
        <v>2266</v>
      </c>
      <c r="E26">
        <f t="shared" si="0"/>
        <v>145.3595</v>
      </c>
      <c r="H26">
        <v>196.88</v>
      </c>
      <c r="I26">
        <f t="shared" si="1"/>
        <v>145.3595</v>
      </c>
      <c r="J26" t="str">
        <f t="shared" si="2"/>
        <v>Our Cost</v>
      </c>
    </row>
    <row r="27" spans="1:11">
      <c r="A27" t="s">
        <v>3423</v>
      </c>
      <c r="B27" t="s">
        <v>2198</v>
      </c>
      <c r="C27" t="s">
        <v>2248</v>
      </c>
      <c r="D27" t="s">
        <v>2266</v>
      </c>
      <c r="E27">
        <f t="shared" si="0"/>
        <v>145.3595</v>
      </c>
      <c r="I27">
        <f t="shared" si="1"/>
        <v>145.3595</v>
      </c>
      <c r="J27" t="str">
        <f t="shared" si="2"/>
        <v>Our Cost</v>
      </c>
    </row>
    <row r="28" spans="1:11">
      <c r="A28" t="s">
        <v>3424</v>
      </c>
      <c r="B28" t="s">
        <v>2199</v>
      </c>
      <c r="C28" t="s">
        <v>2248</v>
      </c>
      <c r="D28" t="s">
        <v>2267</v>
      </c>
      <c r="E28">
        <f t="shared" si="0"/>
        <v>743.09949999999992</v>
      </c>
      <c r="H28">
        <v>629.04999999999995</v>
      </c>
      <c r="I28">
        <f t="shared" si="1"/>
        <v>629.04999999999995</v>
      </c>
      <c r="J28" t="str">
        <f t="shared" si="2"/>
        <v>DC</v>
      </c>
    </row>
    <row r="29" spans="1:11">
      <c r="A29" t="s">
        <v>3425</v>
      </c>
      <c r="B29" t="s">
        <v>2200</v>
      </c>
      <c r="C29" t="s">
        <v>2248</v>
      </c>
      <c r="D29" t="s">
        <v>2267</v>
      </c>
      <c r="E29">
        <f t="shared" si="0"/>
        <v>743.09949999999992</v>
      </c>
      <c r="I29">
        <f t="shared" si="1"/>
        <v>743.09949999999992</v>
      </c>
      <c r="J29" t="str">
        <f t="shared" si="2"/>
        <v>Our Cost</v>
      </c>
    </row>
    <row r="30" spans="1:11">
      <c r="A30" t="s">
        <v>3426</v>
      </c>
      <c r="B30" t="s">
        <v>2201</v>
      </c>
      <c r="C30" t="s">
        <v>2248</v>
      </c>
      <c r="D30" t="s">
        <v>2267</v>
      </c>
      <c r="E30">
        <f t="shared" si="0"/>
        <v>743.09949999999992</v>
      </c>
      <c r="G30">
        <v>697</v>
      </c>
      <c r="I30">
        <f t="shared" si="1"/>
        <v>697</v>
      </c>
      <c r="J30" t="str">
        <f t="shared" si="2"/>
        <v>Addison</v>
      </c>
    </row>
    <row r="31" spans="1:11">
      <c r="A31" t="s">
        <v>3427</v>
      </c>
      <c r="B31" t="s">
        <v>2202</v>
      </c>
      <c r="C31" t="s">
        <v>2248</v>
      </c>
      <c r="D31" t="s">
        <v>2268</v>
      </c>
      <c r="E31">
        <f t="shared" si="0"/>
        <v>278.49250000000001</v>
      </c>
      <c r="H31">
        <v>235.75</v>
      </c>
      <c r="I31">
        <f t="shared" si="1"/>
        <v>235.75</v>
      </c>
      <c r="J31" t="str">
        <f t="shared" si="2"/>
        <v>DC</v>
      </c>
    </row>
    <row r="32" spans="1:11">
      <c r="A32" t="s">
        <v>3428</v>
      </c>
      <c r="B32" t="s">
        <v>2203</v>
      </c>
      <c r="C32" t="s">
        <v>2248</v>
      </c>
      <c r="D32" t="s">
        <v>2269</v>
      </c>
      <c r="E32">
        <f t="shared" si="0"/>
        <v>1235.55575</v>
      </c>
      <c r="I32">
        <f t="shared" si="1"/>
        <v>1235.55575</v>
      </c>
      <c r="J32" t="str">
        <f t="shared" si="2"/>
        <v>Our Cost</v>
      </c>
    </row>
    <row r="33" spans="1:10">
      <c r="A33" t="s">
        <v>3429</v>
      </c>
      <c r="B33" t="s">
        <v>2204</v>
      </c>
      <c r="C33" t="s">
        <v>2248</v>
      </c>
      <c r="D33" t="s">
        <v>2270</v>
      </c>
      <c r="E33">
        <f t="shared" si="0"/>
        <v>39.396500000000003</v>
      </c>
      <c r="I33">
        <f t="shared" si="1"/>
        <v>39.396500000000003</v>
      </c>
      <c r="J33" t="str">
        <f t="shared" si="2"/>
        <v>Our Cost</v>
      </c>
    </row>
    <row r="34" spans="1:10">
      <c r="A34" t="s">
        <v>3430</v>
      </c>
      <c r="B34" t="s">
        <v>2205</v>
      </c>
      <c r="C34" t="s">
        <v>2248</v>
      </c>
      <c r="D34" t="s">
        <v>2271</v>
      </c>
      <c r="E34">
        <f t="shared" si="0"/>
        <v>48.226749999999996</v>
      </c>
      <c r="I34">
        <f t="shared" si="1"/>
        <v>48.226749999999996</v>
      </c>
      <c r="J34" t="str">
        <f t="shared" si="2"/>
        <v>Our Cost</v>
      </c>
    </row>
    <row r="35" spans="1:10">
      <c r="A35" t="s">
        <v>3431</v>
      </c>
      <c r="B35" t="s">
        <v>2206</v>
      </c>
      <c r="C35" t="s">
        <v>2248</v>
      </c>
      <c r="D35" t="s">
        <v>2272</v>
      </c>
      <c r="E35">
        <f t="shared" si="0"/>
        <v>65.207999999999998</v>
      </c>
      <c r="I35">
        <f t="shared" si="1"/>
        <v>65.207999999999998</v>
      </c>
      <c r="J35" t="str">
        <f t="shared" si="2"/>
        <v>Our Cost</v>
      </c>
    </row>
    <row r="36" spans="1:10">
      <c r="A36" t="s">
        <v>3432</v>
      </c>
      <c r="B36" t="s">
        <v>2207</v>
      </c>
      <c r="C36" t="s">
        <v>2248</v>
      </c>
      <c r="D36" t="s">
        <v>2273</v>
      </c>
      <c r="E36">
        <f t="shared" si="0"/>
        <v>67.924999999999997</v>
      </c>
      <c r="I36">
        <f t="shared" si="1"/>
        <v>67.924999999999997</v>
      </c>
      <c r="J36" t="str">
        <f t="shared" si="2"/>
        <v>Our Cost</v>
      </c>
    </row>
    <row r="37" spans="1:10">
      <c r="A37" t="s">
        <v>3433</v>
      </c>
      <c r="B37" t="s">
        <v>2208</v>
      </c>
      <c r="C37" t="s">
        <v>2248</v>
      </c>
      <c r="D37" t="s">
        <v>2274</v>
      </c>
      <c r="E37">
        <f t="shared" si="0"/>
        <v>400.75749999999999</v>
      </c>
      <c r="I37">
        <f t="shared" si="1"/>
        <v>400.75749999999999</v>
      </c>
      <c r="J37" t="str">
        <f t="shared" si="2"/>
        <v>Our Cost</v>
      </c>
    </row>
    <row r="38" spans="1:10">
      <c r="A38" t="s">
        <v>3434</v>
      </c>
      <c r="B38" t="s">
        <v>2209</v>
      </c>
      <c r="C38" t="s">
        <v>2248</v>
      </c>
      <c r="D38" t="s">
        <v>2275</v>
      </c>
      <c r="E38">
        <f t="shared" si="0"/>
        <v>85.585499999999996</v>
      </c>
      <c r="I38">
        <f t="shared" si="1"/>
        <v>85.585499999999996</v>
      </c>
      <c r="J38" t="str">
        <f t="shared" si="2"/>
        <v>Our Cost</v>
      </c>
    </row>
    <row r="39" spans="1:10">
      <c r="A39" t="s">
        <v>3435</v>
      </c>
      <c r="B39" t="s">
        <v>2210</v>
      </c>
      <c r="C39" t="s">
        <v>2248</v>
      </c>
      <c r="D39" t="s">
        <v>2276</v>
      </c>
      <c r="E39">
        <f t="shared" si="0"/>
        <v>133.13300000000001</v>
      </c>
      <c r="I39">
        <f t="shared" si="1"/>
        <v>133.13300000000001</v>
      </c>
      <c r="J39" t="str">
        <f t="shared" si="2"/>
        <v>Our Cost</v>
      </c>
    </row>
    <row r="40" spans="1:10">
      <c r="A40" t="s">
        <v>3436</v>
      </c>
      <c r="B40" t="s">
        <v>2211</v>
      </c>
      <c r="C40" t="s">
        <v>2248</v>
      </c>
      <c r="D40" t="s">
        <v>2276</v>
      </c>
      <c r="E40">
        <f t="shared" si="0"/>
        <v>133.13300000000001</v>
      </c>
      <c r="I40">
        <f t="shared" si="1"/>
        <v>133.13300000000001</v>
      </c>
      <c r="J40" t="str">
        <f t="shared" si="2"/>
        <v>Our Cost</v>
      </c>
    </row>
    <row r="41" spans="1:10">
      <c r="A41" t="s">
        <v>3437</v>
      </c>
      <c r="B41" t="s">
        <v>2212</v>
      </c>
      <c r="C41" t="s">
        <v>2248</v>
      </c>
      <c r="D41" t="s">
        <v>2277</v>
      </c>
      <c r="E41">
        <f t="shared" si="0"/>
        <v>11.54725</v>
      </c>
      <c r="I41">
        <f t="shared" si="1"/>
        <v>11.54725</v>
      </c>
      <c r="J41" t="str">
        <f t="shared" si="2"/>
        <v>Our Cost</v>
      </c>
    </row>
    <row r="42" spans="1:10">
      <c r="A42" t="s">
        <v>3438</v>
      </c>
      <c r="B42" t="s">
        <v>2213</v>
      </c>
      <c r="C42" t="s">
        <v>2248</v>
      </c>
      <c r="D42" t="s">
        <v>2258</v>
      </c>
      <c r="E42">
        <f t="shared" si="0"/>
        <v>2.03775</v>
      </c>
      <c r="I42">
        <f t="shared" si="1"/>
        <v>2.03775</v>
      </c>
      <c r="J42" t="str">
        <f t="shared" si="2"/>
        <v>Our Cost</v>
      </c>
    </row>
    <row r="43" spans="1:10">
      <c r="A43" t="s">
        <v>3439</v>
      </c>
      <c r="B43" t="s">
        <v>2214</v>
      </c>
      <c r="C43" t="s">
        <v>2248</v>
      </c>
      <c r="D43" t="s">
        <v>2278</v>
      </c>
      <c r="E43">
        <f t="shared" si="0"/>
        <v>211.24674999999999</v>
      </c>
      <c r="I43">
        <f t="shared" si="1"/>
        <v>211.24674999999999</v>
      </c>
      <c r="J43" t="str">
        <f t="shared" si="2"/>
        <v>Our Cost</v>
      </c>
    </row>
    <row r="44" spans="1:10">
      <c r="A44" t="s">
        <v>3440</v>
      </c>
      <c r="B44" t="s">
        <v>2215</v>
      </c>
      <c r="C44" t="s">
        <v>2248</v>
      </c>
      <c r="D44" t="s">
        <v>2279</v>
      </c>
      <c r="E44">
        <f t="shared" si="0"/>
        <v>31.2455</v>
      </c>
      <c r="I44">
        <f t="shared" si="1"/>
        <v>31.2455</v>
      </c>
      <c r="J44" t="str">
        <f t="shared" si="2"/>
        <v>Our Cost</v>
      </c>
    </row>
    <row r="45" spans="1:10">
      <c r="A45" t="s">
        <v>3441</v>
      </c>
      <c r="B45" t="s">
        <v>2216</v>
      </c>
      <c r="C45" t="s">
        <v>2248</v>
      </c>
      <c r="D45" t="s">
        <v>2279</v>
      </c>
      <c r="E45">
        <f t="shared" si="0"/>
        <v>31.2455</v>
      </c>
      <c r="I45">
        <f t="shared" si="1"/>
        <v>31.2455</v>
      </c>
      <c r="J45" t="str">
        <f t="shared" si="2"/>
        <v>Our Cost</v>
      </c>
    </row>
    <row r="46" spans="1:10">
      <c r="A46" t="s">
        <v>3442</v>
      </c>
      <c r="B46" t="s">
        <v>2217</v>
      </c>
      <c r="C46" t="s">
        <v>2248</v>
      </c>
      <c r="D46" t="s">
        <v>2280</v>
      </c>
      <c r="E46">
        <f t="shared" si="0"/>
        <v>114.79325</v>
      </c>
      <c r="I46">
        <f t="shared" si="1"/>
        <v>114.79325</v>
      </c>
      <c r="J46" t="str">
        <f t="shared" si="2"/>
        <v>Our Cost</v>
      </c>
    </row>
    <row r="47" spans="1:10">
      <c r="A47" t="s">
        <v>3443</v>
      </c>
      <c r="B47" t="s">
        <v>2218</v>
      </c>
      <c r="C47" t="s">
        <v>2248</v>
      </c>
      <c r="D47" t="s">
        <v>2281</v>
      </c>
      <c r="E47">
        <f t="shared" si="0"/>
        <v>12.2265</v>
      </c>
      <c r="I47">
        <f t="shared" si="1"/>
        <v>12.2265</v>
      </c>
      <c r="J47" t="str">
        <f t="shared" si="2"/>
        <v>Our Cost</v>
      </c>
    </row>
    <row r="48" spans="1:10">
      <c r="A48" t="s">
        <v>3444</v>
      </c>
      <c r="B48" t="s">
        <v>2219</v>
      </c>
      <c r="C48" t="s">
        <v>2248</v>
      </c>
      <c r="D48" t="s">
        <v>2282</v>
      </c>
      <c r="E48">
        <f t="shared" si="0"/>
        <v>45.509750000000004</v>
      </c>
      <c r="H48">
        <v>61.64</v>
      </c>
      <c r="I48">
        <f t="shared" si="1"/>
        <v>45.509750000000004</v>
      </c>
      <c r="J48" t="str">
        <f t="shared" si="2"/>
        <v>Our Cost</v>
      </c>
    </row>
    <row r="49" spans="1:10">
      <c r="A49" t="s">
        <v>3445</v>
      </c>
      <c r="B49" t="s">
        <v>2220</v>
      </c>
      <c r="C49" t="s">
        <v>2248</v>
      </c>
      <c r="D49" t="s">
        <v>2283</v>
      </c>
      <c r="E49">
        <f t="shared" si="0"/>
        <v>3.3962499999999998</v>
      </c>
      <c r="I49">
        <f t="shared" si="1"/>
        <v>3.3962499999999998</v>
      </c>
      <c r="J49" t="str">
        <f t="shared" si="2"/>
        <v>Our Cost</v>
      </c>
    </row>
    <row r="50" spans="1:10">
      <c r="A50" t="s">
        <v>2157</v>
      </c>
      <c r="B50" t="s">
        <v>2173</v>
      </c>
      <c r="C50" t="s">
        <v>2160</v>
      </c>
      <c r="D50" t="s">
        <v>2284</v>
      </c>
      <c r="E50">
        <f t="shared" si="0"/>
        <v>0.67925000000000002</v>
      </c>
      <c r="I50">
        <f t="shared" si="1"/>
        <v>0.67925000000000002</v>
      </c>
      <c r="J50" t="str">
        <f t="shared" si="2"/>
        <v>Our Cost</v>
      </c>
    </row>
    <row r="51" spans="1:10">
      <c r="A51" t="s">
        <v>3446</v>
      </c>
      <c r="B51" t="s">
        <v>2285</v>
      </c>
      <c r="C51" t="s">
        <v>2248</v>
      </c>
      <c r="D51" t="s">
        <v>2286</v>
      </c>
      <c r="E51">
        <f t="shared" si="0"/>
        <v>86.264749999999992</v>
      </c>
      <c r="I51">
        <f t="shared" si="1"/>
        <v>86.264749999999992</v>
      </c>
      <c r="J51" t="str">
        <f t="shared" si="2"/>
        <v>Our Cost</v>
      </c>
    </row>
    <row r="52" spans="1:10">
      <c r="A52" t="s">
        <v>3447</v>
      </c>
      <c r="B52" t="s">
        <v>2287</v>
      </c>
      <c r="C52" t="s">
        <v>2248</v>
      </c>
      <c r="D52" t="s">
        <v>2288</v>
      </c>
      <c r="E52">
        <f t="shared" si="0"/>
        <v>1060.30925</v>
      </c>
      <c r="I52">
        <f t="shared" si="1"/>
        <v>1060.30925</v>
      </c>
      <c r="J52" t="str">
        <f t="shared" si="2"/>
        <v>Our Cost</v>
      </c>
    </row>
    <row r="53" spans="1:10">
      <c r="A53" t="s">
        <v>3448</v>
      </c>
      <c r="B53" t="s">
        <v>2289</v>
      </c>
      <c r="C53" t="s">
        <v>2248</v>
      </c>
      <c r="D53" t="s">
        <v>2290</v>
      </c>
      <c r="E53">
        <f t="shared" si="0"/>
        <v>235.0205</v>
      </c>
      <c r="I53">
        <f t="shared" si="1"/>
        <v>235.0205</v>
      </c>
      <c r="J53" t="str">
        <f t="shared" si="2"/>
        <v>Our Cost</v>
      </c>
    </row>
    <row r="54" spans="1:10">
      <c r="A54" t="s">
        <v>3449</v>
      </c>
      <c r="B54" t="s">
        <v>2291</v>
      </c>
      <c r="C54" t="s">
        <v>2248</v>
      </c>
      <c r="D54" t="s">
        <v>2292</v>
      </c>
      <c r="E54">
        <f t="shared" si="0"/>
        <v>545.43775000000005</v>
      </c>
      <c r="I54">
        <f t="shared" si="1"/>
        <v>545.43775000000005</v>
      </c>
      <c r="J54" t="str">
        <f t="shared" si="2"/>
        <v>Our Cost</v>
      </c>
    </row>
    <row r="55" spans="1:10">
      <c r="A55" t="s">
        <v>3450</v>
      </c>
      <c r="B55" t="s">
        <v>2293</v>
      </c>
      <c r="C55" t="s">
        <v>2248</v>
      </c>
      <c r="D55" t="s">
        <v>2294</v>
      </c>
      <c r="E55">
        <f t="shared" si="0"/>
        <v>76.755250000000004</v>
      </c>
      <c r="I55">
        <f t="shared" si="1"/>
        <v>76.755250000000004</v>
      </c>
      <c r="J55" t="str">
        <f t="shared" si="2"/>
        <v>Our Cost</v>
      </c>
    </row>
    <row r="56" spans="1:10">
      <c r="A56" t="s">
        <v>3451</v>
      </c>
      <c r="B56" t="s">
        <v>2295</v>
      </c>
      <c r="C56" t="s">
        <v>2248</v>
      </c>
      <c r="D56" t="s">
        <v>2294</v>
      </c>
      <c r="E56">
        <f t="shared" si="0"/>
        <v>76.755250000000004</v>
      </c>
      <c r="I56">
        <f t="shared" si="1"/>
        <v>76.755250000000004</v>
      </c>
      <c r="J56" t="str">
        <f t="shared" si="2"/>
        <v>Our Cost</v>
      </c>
    </row>
    <row r="57" spans="1:10">
      <c r="A57" t="s">
        <v>3452</v>
      </c>
      <c r="B57" t="s">
        <v>2296</v>
      </c>
      <c r="C57" t="s">
        <v>2248</v>
      </c>
      <c r="D57" t="s">
        <v>2297</v>
      </c>
      <c r="E57">
        <f t="shared" si="0"/>
        <v>104.6045</v>
      </c>
      <c r="I57">
        <f t="shared" si="1"/>
        <v>104.6045</v>
      </c>
      <c r="J57" t="str">
        <f t="shared" si="2"/>
        <v>Our Cost</v>
      </c>
    </row>
    <row r="58" spans="1:10">
      <c r="A58" t="s">
        <v>3453</v>
      </c>
      <c r="B58" t="s">
        <v>2298</v>
      </c>
      <c r="C58" t="s">
        <v>2248</v>
      </c>
      <c r="D58" t="s">
        <v>2299</v>
      </c>
      <c r="E58">
        <f t="shared" si="0"/>
        <v>196.30324999999999</v>
      </c>
      <c r="I58">
        <f t="shared" si="1"/>
        <v>196.30324999999999</v>
      </c>
      <c r="J58" t="str">
        <f t="shared" si="2"/>
        <v>Our Cost</v>
      </c>
    </row>
    <row r="59" spans="1:10">
      <c r="A59" t="s">
        <v>3454</v>
      </c>
      <c r="B59" t="s">
        <v>2300</v>
      </c>
      <c r="C59" t="s">
        <v>2248</v>
      </c>
      <c r="D59" t="s">
        <v>2301</v>
      </c>
      <c r="E59">
        <f t="shared" si="0"/>
        <v>34.641749999999995</v>
      </c>
      <c r="I59">
        <f t="shared" si="1"/>
        <v>34.641749999999995</v>
      </c>
      <c r="J59" t="str">
        <f t="shared" si="2"/>
        <v>Our Cost</v>
      </c>
    </row>
    <row r="60" spans="1:10">
      <c r="A60" t="s">
        <v>3455</v>
      </c>
      <c r="B60" t="s">
        <v>2302</v>
      </c>
      <c r="C60" t="s">
        <v>2248</v>
      </c>
      <c r="D60" t="s">
        <v>2303</v>
      </c>
      <c r="E60">
        <f t="shared" si="0"/>
        <v>28.528499999999998</v>
      </c>
      <c r="G60">
        <v>29.75</v>
      </c>
      <c r="I60">
        <f t="shared" si="1"/>
        <v>28.528499999999998</v>
      </c>
      <c r="J60" t="str">
        <f t="shared" si="2"/>
        <v>Our Cost</v>
      </c>
    </row>
    <row r="61" spans="1:10">
      <c r="A61" t="s">
        <v>3456</v>
      </c>
      <c r="B61" t="s">
        <v>2304</v>
      </c>
      <c r="C61" t="s">
        <v>2248</v>
      </c>
      <c r="D61" t="s">
        <v>2305</v>
      </c>
      <c r="E61">
        <f t="shared" si="0"/>
        <v>41.434249999999999</v>
      </c>
      <c r="I61">
        <f t="shared" si="1"/>
        <v>41.434249999999999</v>
      </c>
      <c r="J61" t="str">
        <f t="shared" si="2"/>
        <v>Our Cost</v>
      </c>
    </row>
    <row r="62" spans="1:10">
      <c r="A62" t="s">
        <v>3457</v>
      </c>
      <c r="B62" t="s">
        <v>2306</v>
      </c>
      <c r="C62" t="s">
        <v>2248</v>
      </c>
      <c r="D62" t="s">
        <v>2307</v>
      </c>
      <c r="E62">
        <f t="shared" si="0"/>
        <v>652.07999999999993</v>
      </c>
      <c r="I62">
        <f t="shared" si="1"/>
        <v>652.07999999999993</v>
      </c>
      <c r="J62" t="str">
        <f t="shared" si="2"/>
        <v>Our Cost</v>
      </c>
    </row>
    <row r="63" spans="1:10">
      <c r="A63" t="s">
        <v>3458</v>
      </c>
      <c r="B63" t="s">
        <v>2308</v>
      </c>
      <c r="C63" t="s">
        <v>2248</v>
      </c>
      <c r="D63" t="s">
        <v>2275</v>
      </c>
      <c r="E63">
        <f t="shared" si="0"/>
        <v>85.585499999999996</v>
      </c>
      <c r="I63">
        <f t="shared" si="1"/>
        <v>85.585499999999996</v>
      </c>
      <c r="J63" t="str">
        <f t="shared" si="2"/>
        <v>Our Cost</v>
      </c>
    </row>
    <row r="64" spans="1:10">
      <c r="A64" t="s">
        <v>3459</v>
      </c>
      <c r="B64" t="s">
        <v>2309</v>
      </c>
      <c r="C64" t="s">
        <v>2248</v>
      </c>
      <c r="D64" t="s">
        <v>2310</v>
      </c>
      <c r="E64">
        <f t="shared" si="0"/>
        <v>491.09774999999996</v>
      </c>
      <c r="I64">
        <f t="shared" si="1"/>
        <v>491.09774999999996</v>
      </c>
      <c r="J64" t="str">
        <f t="shared" si="2"/>
        <v>Our Cost</v>
      </c>
    </row>
    <row r="65" spans="1:10">
      <c r="A65" t="s">
        <v>3460</v>
      </c>
      <c r="B65" t="s">
        <v>2311</v>
      </c>
      <c r="C65" t="s">
        <v>2248</v>
      </c>
      <c r="D65" t="s">
        <v>2312</v>
      </c>
      <c r="E65">
        <f t="shared" si="0"/>
        <v>84.90625</v>
      </c>
      <c r="I65">
        <f t="shared" si="1"/>
        <v>84.90625</v>
      </c>
      <c r="J65" t="str">
        <f t="shared" si="2"/>
        <v>Our Cost</v>
      </c>
    </row>
    <row r="66" spans="1:10">
      <c r="A66" t="s">
        <v>3461</v>
      </c>
      <c r="B66" t="s">
        <v>2313</v>
      </c>
      <c r="C66" t="s">
        <v>2248</v>
      </c>
      <c r="D66" t="s">
        <v>2314</v>
      </c>
      <c r="E66">
        <f t="shared" si="0"/>
        <v>1.3585</v>
      </c>
      <c r="I66">
        <f t="shared" si="1"/>
        <v>1.3585</v>
      </c>
      <c r="J66" t="str">
        <f t="shared" si="2"/>
        <v>Our Cost</v>
      </c>
    </row>
    <row r="67" spans="1:10">
      <c r="A67" t="s">
        <v>3462</v>
      </c>
      <c r="B67" t="s">
        <v>2315</v>
      </c>
      <c r="C67" t="s">
        <v>2248</v>
      </c>
      <c r="D67" t="s">
        <v>2316</v>
      </c>
      <c r="E67">
        <f t="shared" ref="E67:E130" si="3">+D67*0.65*1.045</f>
        <v>73.358999999999995</v>
      </c>
      <c r="I67">
        <f t="shared" ref="I67:I130" si="4">+MIN(E67:H67)</f>
        <v>73.358999999999995</v>
      </c>
      <c r="J67" t="str">
        <f t="shared" ref="J67:J130" si="5">+_xlfn.SINGLE(_xlfn.XLOOKUP(I67,E67:H67,$E$1:$H$1))</f>
        <v>Our Cost</v>
      </c>
    </row>
    <row r="68" spans="1:10">
      <c r="A68" t="s">
        <v>3463</v>
      </c>
      <c r="B68" t="s">
        <v>2317</v>
      </c>
      <c r="C68" t="s">
        <v>2248</v>
      </c>
      <c r="D68" t="s">
        <v>2318</v>
      </c>
      <c r="E68">
        <f t="shared" si="3"/>
        <v>78.793000000000006</v>
      </c>
      <c r="I68">
        <f t="shared" si="4"/>
        <v>78.793000000000006</v>
      </c>
      <c r="J68" t="str">
        <f t="shared" si="5"/>
        <v>Our Cost</v>
      </c>
    </row>
    <row r="69" spans="1:10">
      <c r="A69" t="s">
        <v>3464</v>
      </c>
      <c r="B69" t="s">
        <v>2319</v>
      </c>
      <c r="C69" t="s">
        <v>2248</v>
      </c>
      <c r="D69" t="s">
        <v>2320</v>
      </c>
      <c r="E69">
        <f t="shared" si="3"/>
        <v>12.905749999999999</v>
      </c>
      <c r="I69">
        <f t="shared" si="4"/>
        <v>12.905749999999999</v>
      </c>
      <c r="J69" t="str">
        <f t="shared" si="5"/>
        <v>Our Cost</v>
      </c>
    </row>
    <row r="70" spans="1:10">
      <c r="A70" t="s">
        <v>3465</v>
      </c>
      <c r="B70" t="s">
        <v>2321</v>
      </c>
      <c r="C70" t="s">
        <v>2248</v>
      </c>
      <c r="D70" t="s">
        <v>2322</v>
      </c>
      <c r="E70">
        <f t="shared" si="3"/>
        <v>2.7170000000000001</v>
      </c>
      <c r="I70">
        <f t="shared" si="4"/>
        <v>2.7170000000000001</v>
      </c>
      <c r="J70" t="str">
        <f t="shared" si="5"/>
        <v>Our Cost</v>
      </c>
    </row>
    <row r="71" spans="1:10">
      <c r="A71" t="s">
        <v>3466</v>
      </c>
      <c r="B71" t="s">
        <v>2323</v>
      </c>
      <c r="C71" t="s">
        <v>2248</v>
      </c>
      <c r="D71" t="s">
        <v>2284</v>
      </c>
      <c r="E71">
        <f t="shared" si="3"/>
        <v>0.67925000000000002</v>
      </c>
      <c r="I71">
        <f t="shared" si="4"/>
        <v>0.67925000000000002</v>
      </c>
      <c r="J71" t="str">
        <f t="shared" si="5"/>
        <v>Our Cost</v>
      </c>
    </row>
    <row r="72" spans="1:10">
      <c r="A72" t="s">
        <v>3467</v>
      </c>
      <c r="B72" t="s">
        <v>2324</v>
      </c>
      <c r="C72" t="s">
        <v>2248</v>
      </c>
      <c r="D72" t="s">
        <v>2283</v>
      </c>
      <c r="E72">
        <f t="shared" si="3"/>
        <v>3.3962499999999998</v>
      </c>
      <c r="I72">
        <f t="shared" si="4"/>
        <v>3.3962499999999998</v>
      </c>
      <c r="J72" t="str">
        <f t="shared" si="5"/>
        <v>Our Cost</v>
      </c>
    </row>
    <row r="73" spans="1:10">
      <c r="A73" t="s">
        <v>3468</v>
      </c>
      <c r="B73" t="s">
        <v>2325</v>
      </c>
      <c r="C73" t="s">
        <v>2248</v>
      </c>
      <c r="D73" t="s">
        <v>2326</v>
      </c>
      <c r="E73">
        <f t="shared" si="3"/>
        <v>1013.441</v>
      </c>
      <c r="I73">
        <f t="shared" si="4"/>
        <v>1013.441</v>
      </c>
      <c r="J73" t="str">
        <f t="shared" si="5"/>
        <v>Our Cost</v>
      </c>
    </row>
    <row r="74" spans="1:10">
      <c r="A74" t="s">
        <v>3469</v>
      </c>
      <c r="B74" t="s">
        <v>2327</v>
      </c>
      <c r="C74" t="s">
        <v>2160</v>
      </c>
      <c r="D74" t="s">
        <v>2328</v>
      </c>
      <c r="E74">
        <f t="shared" si="3"/>
        <v>573.28700000000003</v>
      </c>
      <c r="I74">
        <f t="shared" si="4"/>
        <v>573.28700000000003</v>
      </c>
      <c r="J74" t="str">
        <f t="shared" si="5"/>
        <v>Our Cost</v>
      </c>
    </row>
    <row r="75" spans="1:10">
      <c r="A75" t="s">
        <v>3470</v>
      </c>
      <c r="B75" t="s">
        <v>2329</v>
      </c>
      <c r="C75" t="s">
        <v>2248</v>
      </c>
      <c r="D75" t="s">
        <v>2330</v>
      </c>
      <c r="E75">
        <f t="shared" si="3"/>
        <v>7.4717500000000001</v>
      </c>
      <c r="H75">
        <v>10.119999999999999</v>
      </c>
      <c r="I75">
        <f t="shared" si="4"/>
        <v>7.4717500000000001</v>
      </c>
      <c r="J75" t="str">
        <f t="shared" si="5"/>
        <v>Our Cost</v>
      </c>
    </row>
    <row r="76" spans="1:10">
      <c r="A76" t="s">
        <v>3471</v>
      </c>
      <c r="B76" t="s">
        <v>2331</v>
      </c>
      <c r="C76" t="s">
        <v>2248</v>
      </c>
      <c r="D76" t="s">
        <v>2261</v>
      </c>
      <c r="E76">
        <f t="shared" si="3"/>
        <v>535.92824999999993</v>
      </c>
      <c r="I76">
        <f t="shared" si="4"/>
        <v>535.92824999999993</v>
      </c>
      <c r="J76" t="str">
        <f t="shared" si="5"/>
        <v>Our Cost</v>
      </c>
    </row>
    <row r="77" spans="1:10">
      <c r="A77" t="s">
        <v>3472</v>
      </c>
      <c r="B77" t="s">
        <v>2332</v>
      </c>
      <c r="C77" t="s">
        <v>2249</v>
      </c>
      <c r="D77" t="s">
        <v>2333</v>
      </c>
      <c r="E77">
        <f t="shared" si="3"/>
        <v>4.0754999999999999</v>
      </c>
      <c r="I77">
        <f t="shared" si="4"/>
        <v>4.0754999999999999</v>
      </c>
      <c r="J77" t="str">
        <f t="shared" si="5"/>
        <v>Our Cost</v>
      </c>
    </row>
    <row r="78" spans="1:10">
      <c r="A78" t="s">
        <v>3473</v>
      </c>
      <c r="B78" t="s">
        <v>2334</v>
      </c>
      <c r="C78" t="s">
        <v>2248</v>
      </c>
      <c r="D78" t="s">
        <v>2301</v>
      </c>
      <c r="E78">
        <f t="shared" si="3"/>
        <v>34.641749999999995</v>
      </c>
      <c r="I78">
        <f t="shared" si="4"/>
        <v>34.641749999999995</v>
      </c>
      <c r="J78" t="str">
        <f t="shared" si="5"/>
        <v>Our Cost</v>
      </c>
    </row>
    <row r="79" spans="1:10">
      <c r="A79" t="s">
        <v>3474</v>
      </c>
      <c r="B79" t="s">
        <v>2335</v>
      </c>
      <c r="C79" t="s">
        <v>2248</v>
      </c>
      <c r="D79" t="s">
        <v>2336</v>
      </c>
      <c r="E79">
        <f t="shared" si="3"/>
        <v>42.113500000000002</v>
      </c>
      <c r="H79">
        <v>92</v>
      </c>
      <c r="I79">
        <f t="shared" si="4"/>
        <v>42.113500000000002</v>
      </c>
      <c r="J79" t="str">
        <f t="shared" si="5"/>
        <v>Our Cost</v>
      </c>
    </row>
    <row r="80" spans="1:10">
      <c r="A80" t="s">
        <v>3475</v>
      </c>
      <c r="B80" t="s">
        <v>2337</v>
      </c>
      <c r="C80" t="s">
        <v>2160</v>
      </c>
      <c r="D80" t="s">
        <v>2338</v>
      </c>
      <c r="E80">
        <f t="shared" si="3"/>
        <v>827.32650000000001</v>
      </c>
      <c r="I80">
        <f t="shared" si="4"/>
        <v>827.32650000000001</v>
      </c>
      <c r="J80" t="str">
        <f t="shared" si="5"/>
        <v>Our Cost</v>
      </c>
    </row>
    <row r="81" spans="1:10">
      <c r="A81" t="s">
        <v>3476</v>
      </c>
      <c r="B81" t="s">
        <v>2339</v>
      </c>
      <c r="C81" t="s">
        <v>2248</v>
      </c>
      <c r="D81" t="s">
        <v>2340</v>
      </c>
      <c r="E81">
        <f t="shared" si="3"/>
        <v>1970.50425</v>
      </c>
      <c r="I81">
        <f t="shared" si="4"/>
        <v>1970.50425</v>
      </c>
      <c r="J81" t="str">
        <f t="shared" si="5"/>
        <v>Our Cost</v>
      </c>
    </row>
    <row r="82" spans="1:10">
      <c r="A82" t="s">
        <v>3477</v>
      </c>
      <c r="B82" t="s">
        <v>2341</v>
      </c>
      <c r="C82" t="s">
        <v>2248</v>
      </c>
      <c r="D82" t="s">
        <v>2342</v>
      </c>
      <c r="E82">
        <f t="shared" si="3"/>
        <v>4466.0687499999995</v>
      </c>
      <c r="H82">
        <v>6049.28</v>
      </c>
      <c r="I82">
        <f t="shared" si="4"/>
        <v>4466.0687499999995</v>
      </c>
      <c r="J82" t="str">
        <f t="shared" si="5"/>
        <v>Our Cost</v>
      </c>
    </row>
    <row r="83" spans="1:10">
      <c r="A83" t="s">
        <v>3478</v>
      </c>
      <c r="B83" t="s">
        <v>2343</v>
      </c>
      <c r="C83" t="s">
        <v>2248</v>
      </c>
      <c r="D83" t="s">
        <v>2344</v>
      </c>
      <c r="E83">
        <f t="shared" si="3"/>
        <v>70.64200000000001</v>
      </c>
      <c r="I83">
        <f t="shared" si="4"/>
        <v>70.64200000000001</v>
      </c>
      <c r="J83" t="str">
        <f t="shared" si="5"/>
        <v>Our Cost</v>
      </c>
    </row>
    <row r="84" spans="1:10">
      <c r="A84" t="s">
        <v>3479</v>
      </c>
      <c r="B84" t="s">
        <v>2345</v>
      </c>
      <c r="C84" t="s">
        <v>2248</v>
      </c>
      <c r="D84" t="s">
        <v>2346</v>
      </c>
      <c r="E84">
        <f t="shared" si="3"/>
        <v>3832.3285000000001</v>
      </c>
      <c r="H84">
        <v>5191.1899999999996</v>
      </c>
      <c r="I84">
        <f t="shared" si="4"/>
        <v>3832.3285000000001</v>
      </c>
      <c r="J84" t="str">
        <f t="shared" si="5"/>
        <v>Our Cost</v>
      </c>
    </row>
    <row r="85" spans="1:10">
      <c r="A85" t="s">
        <v>3480</v>
      </c>
      <c r="B85" t="s">
        <v>2347</v>
      </c>
      <c r="C85" t="s">
        <v>2248</v>
      </c>
      <c r="D85" t="s">
        <v>2348</v>
      </c>
      <c r="E85">
        <f t="shared" si="3"/>
        <v>563.09825000000001</v>
      </c>
      <c r="I85">
        <f t="shared" si="4"/>
        <v>563.09825000000001</v>
      </c>
      <c r="J85" t="str">
        <f t="shared" si="5"/>
        <v>Our Cost</v>
      </c>
    </row>
    <row r="86" spans="1:10">
      <c r="A86" t="s">
        <v>3481</v>
      </c>
      <c r="B86" t="s">
        <v>2349</v>
      </c>
      <c r="C86" t="s">
        <v>2248</v>
      </c>
      <c r="D86" t="s">
        <v>2350</v>
      </c>
      <c r="E86">
        <f t="shared" si="3"/>
        <v>14.9435</v>
      </c>
      <c r="I86">
        <f t="shared" si="4"/>
        <v>14.9435</v>
      </c>
      <c r="J86" t="str">
        <f t="shared" si="5"/>
        <v>Our Cost</v>
      </c>
    </row>
    <row r="87" spans="1:10">
      <c r="A87" t="s">
        <v>3482</v>
      </c>
      <c r="B87" t="s">
        <v>2351</v>
      </c>
      <c r="C87" t="s">
        <v>2248</v>
      </c>
      <c r="D87" t="s">
        <v>2352</v>
      </c>
      <c r="E87">
        <f t="shared" si="3"/>
        <v>205.81274999999999</v>
      </c>
      <c r="I87">
        <f t="shared" si="4"/>
        <v>205.81274999999999</v>
      </c>
      <c r="J87" t="str">
        <f t="shared" si="5"/>
        <v>Our Cost</v>
      </c>
    </row>
    <row r="88" spans="1:10">
      <c r="A88" t="s">
        <v>3483</v>
      </c>
      <c r="B88" t="s">
        <v>2353</v>
      </c>
      <c r="C88" t="s">
        <v>2248</v>
      </c>
      <c r="D88" t="s">
        <v>2352</v>
      </c>
      <c r="E88">
        <f t="shared" si="3"/>
        <v>205.81274999999999</v>
      </c>
      <c r="I88">
        <f t="shared" si="4"/>
        <v>205.81274999999999</v>
      </c>
      <c r="J88" t="str">
        <f t="shared" si="5"/>
        <v>Our Cost</v>
      </c>
    </row>
    <row r="89" spans="1:10">
      <c r="A89" t="s">
        <v>3484</v>
      </c>
      <c r="B89" t="s">
        <v>2354</v>
      </c>
      <c r="C89" t="s">
        <v>2248</v>
      </c>
      <c r="D89" t="s">
        <v>2355</v>
      </c>
      <c r="E89">
        <f t="shared" si="3"/>
        <v>700.30674999999997</v>
      </c>
      <c r="I89">
        <f t="shared" si="4"/>
        <v>700.30674999999997</v>
      </c>
      <c r="J89" t="str">
        <f t="shared" si="5"/>
        <v>Our Cost</v>
      </c>
    </row>
    <row r="90" spans="1:10">
      <c r="A90" t="s">
        <v>3485</v>
      </c>
      <c r="B90" t="s">
        <v>2356</v>
      </c>
      <c r="C90" t="s">
        <v>2248</v>
      </c>
      <c r="D90" t="s">
        <v>2294</v>
      </c>
      <c r="E90">
        <f t="shared" si="3"/>
        <v>76.755250000000004</v>
      </c>
      <c r="I90">
        <f t="shared" si="4"/>
        <v>76.755250000000004</v>
      </c>
      <c r="J90" t="str">
        <f t="shared" si="5"/>
        <v>Our Cost</v>
      </c>
    </row>
    <row r="91" spans="1:10">
      <c r="A91" t="s">
        <v>3486</v>
      </c>
      <c r="B91" t="s">
        <v>2357</v>
      </c>
      <c r="C91" t="s">
        <v>2248</v>
      </c>
      <c r="D91" t="s">
        <v>2312</v>
      </c>
      <c r="E91">
        <f t="shared" si="3"/>
        <v>84.90625</v>
      </c>
      <c r="I91">
        <f t="shared" si="4"/>
        <v>84.90625</v>
      </c>
      <c r="J91" t="str">
        <f t="shared" si="5"/>
        <v>Our Cost</v>
      </c>
    </row>
    <row r="92" spans="1:10">
      <c r="A92" t="s">
        <v>3487</v>
      </c>
      <c r="B92" t="s">
        <v>2358</v>
      </c>
      <c r="C92" t="s">
        <v>2248</v>
      </c>
      <c r="D92" t="s">
        <v>2359</v>
      </c>
      <c r="E92">
        <f t="shared" si="3"/>
        <v>77.4345</v>
      </c>
      <c r="I92">
        <f t="shared" si="4"/>
        <v>77.4345</v>
      </c>
      <c r="J92" t="str">
        <f t="shared" si="5"/>
        <v>Our Cost</v>
      </c>
    </row>
    <row r="93" spans="1:10">
      <c r="A93" t="s">
        <v>3488</v>
      </c>
      <c r="B93" t="s">
        <v>2360</v>
      </c>
      <c r="C93" t="s">
        <v>2248</v>
      </c>
      <c r="D93" t="s">
        <v>2361</v>
      </c>
      <c r="E93">
        <f t="shared" si="3"/>
        <v>16.981249999999999</v>
      </c>
      <c r="I93">
        <f t="shared" si="4"/>
        <v>16.981249999999999</v>
      </c>
      <c r="J93" t="str">
        <f t="shared" si="5"/>
        <v>Our Cost</v>
      </c>
    </row>
    <row r="94" spans="1:10">
      <c r="A94" t="s">
        <v>3489</v>
      </c>
      <c r="B94" t="s">
        <v>2362</v>
      </c>
      <c r="C94" t="s">
        <v>2248</v>
      </c>
      <c r="D94" t="s">
        <v>2363</v>
      </c>
      <c r="E94">
        <f t="shared" si="3"/>
        <v>1356.4622499999998</v>
      </c>
      <c r="I94">
        <f t="shared" si="4"/>
        <v>1356.4622499999998</v>
      </c>
      <c r="J94" t="str">
        <f t="shared" si="5"/>
        <v>Our Cost</v>
      </c>
    </row>
    <row r="95" spans="1:10">
      <c r="A95" t="s">
        <v>3490</v>
      </c>
      <c r="B95" t="s">
        <v>2364</v>
      </c>
      <c r="C95" t="s">
        <v>2248</v>
      </c>
      <c r="D95" t="s">
        <v>2365</v>
      </c>
      <c r="E95">
        <f t="shared" si="3"/>
        <v>271.7</v>
      </c>
      <c r="I95">
        <f t="shared" si="4"/>
        <v>271.7</v>
      </c>
      <c r="J95" t="str">
        <f t="shared" si="5"/>
        <v>Our Cost</v>
      </c>
    </row>
    <row r="96" spans="1:10">
      <c r="A96" t="s">
        <v>3491</v>
      </c>
      <c r="B96" t="s">
        <v>2366</v>
      </c>
      <c r="C96" t="s">
        <v>2248</v>
      </c>
      <c r="D96" t="s">
        <v>2266</v>
      </c>
      <c r="E96">
        <f t="shared" si="3"/>
        <v>145.3595</v>
      </c>
      <c r="H96">
        <v>196.88</v>
      </c>
      <c r="I96">
        <f t="shared" si="4"/>
        <v>145.3595</v>
      </c>
      <c r="J96" t="str">
        <f t="shared" si="5"/>
        <v>Our Cost</v>
      </c>
    </row>
    <row r="97" spans="1:11">
      <c r="A97" t="s">
        <v>3492</v>
      </c>
      <c r="B97" t="s">
        <v>2367</v>
      </c>
      <c r="C97" t="s">
        <v>2248</v>
      </c>
      <c r="D97" t="s">
        <v>2368</v>
      </c>
      <c r="E97">
        <f t="shared" si="3"/>
        <v>607.24950000000001</v>
      </c>
      <c r="I97">
        <f t="shared" si="4"/>
        <v>607.24950000000001</v>
      </c>
      <c r="J97" t="str">
        <f t="shared" si="5"/>
        <v>Our Cost</v>
      </c>
    </row>
    <row r="98" spans="1:11">
      <c r="A98" t="s">
        <v>2161</v>
      </c>
      <c r="B98" t="s">
        <v>2162</v>
      </c>
      <c r="C98" t="s">
        <v>2160</v>
      </c>
      <c r="D98" t="s">
        <v>2368</v>
      </c>
      <c r="E98">
        <f t="shared" si="3"/>
        <v>607.24950000000001</v>
      </c>
      <c r="I98">
        <f t="shared" si="4"/>
        <v>607.24950000000001</v>
      </c>
      <c r="J98" t="str">
        <f t="shared" si="5"/>
        <v>Our Cost</v>
      </c>
    </row>
    <row r="99" spans="1:11">
      <c r="A99" t="s">
        <v>3493</v>
      </c>
      <c r="B99" t="s">
        <v>2369</v>
      </c>
      <c r="C99" t="s">
        <v>2248</v>
      </c>
      <c r="D99" t="s">
        <v>2370</v>
      </c>
      <c r="E99">
        <f t="shared" si="3"/>
        <v>1376.1605</v>
      </c>
      <c r="G99">
        <v>1581</v>
      </c>
      <c r="H99">
        <v>1863.92</v>
      </c>
      <c r="I99">
        <f t="shared" si="4"/>
        <v>1376.1605</v>
      </c>
      <c r="J99" t="str">
        <f t="shared" si="5"/>
        <v>Our Cost</v>
      </c>
      <c r="K99" t="s">
        <v>3394</v>
      </c>
    </row>
    <row r="100" spans="1:11">
      <c r="A100" t="s">
        <v>3494</v>
      </c>
      <c r="B100" t="s">
        <v>2371</v>
      </c>
      <c r="C100" t="s">
        <v>2248</v>
      </c>
      <c r="D100" t="s">
        <v>2370</v>
      </c>
      <c r="E100">
        <f t="shared" si="3"/>
        <v>1376.1605</v>
      </c>
      <c r="G100">
        <v>1581</v>
      </c>
      <c r="H100">
        <v>1863.92</v>
      </c>
      <c r="I100">
        <f t="shared" si="4"/>
        <v>1376.1605</v>
      </c>
      <c r="J100" t="str">
        <f t="shared" si="5"/>
        <v>Our Cost</v>
      </c>
      <c r="K100" t="s">
        <v>3394</v>
      </c>
    </row>
    <row r="101" spans="1:11">
      <c r="A101" t="s">
        <v>3495</v>
      </c>
      <c r="B101" t="s">
        <v>2372</v>
      </c>
      <c r="C101" t="s">
        <v>2248</v>
      </c>
      <c r="D101" t="s">
        <v>2370</v>
      </c>
      <c r="E101">
        <f t="shared" si="3"/>
        <v>1376.1605</v>
      </c>
      <c r="H101">
        <v>1863.92</v>
      </c>
      <c r="I101">
        <f t="shared" si="4"/>
        <v>1376.1605</v>
      </c>
      <c r="J101" t="str">
        <f t="shared" si="5"/>
        <v>Our Cost</v>
      </c>
    </row>
    <row r="102" spans="1:11">
      <c r="A102" t="s">
        <v>3496</v>
      </c>
      <c r="B102" t="s">
        <v>2373</v>
      </c>
      <c r="C102" t="s">
        <v>2248</v>
      </c>
      <c r="D102" t="s">
        <v>2370</v>
      </c>
      <c r="E102">
        <f t="shared" si="3"/>
        <v>1376.1605</v>
      </c>
      <c r="H102">
        <v>1863.92</v>
      </c>
      <c r="I102">
        <f t="shared" si="4"/>
        <v>1376.1605</v>
      </c>
      <c r="J102" t="str">
        <f t="shared" si="5"/>
        <v>Our Cost</v>
      </c>
    </row>
    <row r="103" spans="1:11">
      <c r="A103" t="s">
        <v>3497</v>
      </c>
      <c r="B103" t="s">
        <v>2374</v>
      </c>
      <c r="C103" t="s">
        <v>2248</v>
      </c>
      <c r="D103" t="s">
        <v>2368</v>
      </c>
      <c r="E103">
        <f t="shared" si="3"/>
        <v>607.24950000000001</v>
      </c>
      <c r="I103">
        <f t="shared" si="4"/>
        <v>607.24950000000001</v>
      </c>
      <c r="J103" t="str">
        <f t="shared" si="5"/>
        <v>Our Cost</v>
      </c>
    </row>
    <row r="104" spans="1:11">
      <c r="A104" t="s">
        <v>3498</v>
      </c>
      <c r="B104" t="s">
        <v>2375</v>
      </c>
      <c r="C104" t="s">
        <v>2248</v>
      </c>
      <c r="D104" t="s">
        <v>2350</v>
      </c>
      <c r="E104">
        <f t="shared" si="3"/>
        <v>14.9435</v>
      </c>
      <c r="I104">
        <f t="shared" si="4"/>
        <v>14.9435</v>
      </c>
      <c r="J104" t="str">
        <f t="shared" si="5"/>
        <v>Our Cost</v>
      </c>
    </row>
    <row r="105" spans="1:11">
      <c r="A105" t="s">
        <v>3499</v>
      </c>
      <c r="B105" t="s">
        <v>2376</v>
      </c>
      <c r="C105" t="s">
        <v>2248</v>
      </c>
      <c r="D105" t="s">
        <v>2368</v>
      </c>
      <c r="E105">
        <f t="shared" si="3"/>
        <v>607.24950000000001</v>
      </c>
      <c r="I105">
        <f t="shared" si="4"/>
        <v>607.24950000000001</v>
      </c>
      <c r="J105" t="str">
        <f t="shared" si="5"/>
        <v>Our Cost</v>
      </c>
    </row>
    <row r="106" spans="1:11">
      <c r="A106" t="s">
        <v>3500</v>
      </c>
      <c r="B106" t="s">
        <v>2377</v>
      </c>
      <c r="C106" t="s">
        <v>2248</v>
      </c>
      <c r="D106" t="s">
        <v>2378</v>
      </c>
      <c r="E106">
        <f t="shared" si="3"/>
        <v>183.39749999999998</v>
      </c>
      <c r="I106">
        <f t="shared" si="4"/>
        <v>183.39749999999998</v>
      </c>
      <c r="J106" t="str">
        <f t="shared" si="5"/>
        <v>Our Cost</v>
      </c>
    </row>
    <row r="107" spans="1:11">
      <c r="A107" t="s">
        <v>3501</v>
      </c>
      <c r="B107" t="s">
        <v>2379</v>
      </c>
      <c r="C107" t="s">
        <v>2248</v>
      </c>
      <c r="D107" t="s">
        <v>2380</v>
      </c>
      <c r="E107">
        <f t="shared" si="3"/>
        <v>25.132249999999999</v>
      </c>
      <c r="I107">
        <f t="shared" si="4"/>
        <v>25.132249999999999</v>
      </c>
      <c r="J107" t="str">
        <f t="shared" si="5"/>
        <v>Our Cost</v>
      </c>
    </row>
    <row r="108" spans="1:11">
      <c r="A108" t="s">
        <v>3502</v>
      </c>
      <c r="B108" t="s">
        <v>2381</v>
      </c>
      <c r="C108" t="s">
        <v>2249</v>
      </c>
      <c r="D108" t="s">
        <v>2259</v>
      </c>
      <c r="E108">
        <f t="shared" si="3"/>
        <v>23.77375</v>
      </c>
      <c r="I108">
        <f t="shared" si="4"/>
        <v>23.77375</v>
      </c>
      <c r="J108" t="str">
        <f t="shared" si="5"/>
        <v>Our Cost</v>
      </c>
    </row>
    <row r="109" spans="1:11">
      <c r="A109" t="s">
        <v>3503</v>
      </c>
      <c r="B109" t="s">
        <v>2382</v>
      </c>
      <c r="C109" t="s">
        <v>2248</v>
      </c>
      <c r="D109" t="s">
        <v>2383</v>
      </c>
      <c r="E109">
        <f t="shared" si="3"/>
        <v>6.1132499999999999</v>
      </c>
      <c r="I109">
        <f t="shared" si="4"/>
        <v>6.1132499999999999</v>
      </c>
      <c r="J109" t="str">
        <f t="shared" si="5"/>
        <v>Our Cost</v>
      </c>
    </row>
    <row r="110" spans="1:11">
      <c r="A110" t="s">
        <v>3504</v>
      </c>
      <c r="B110" t="s">
        <v>2384</v>
      </c>
      <c r="C110" t="s">
        <v>2248</v>
      </c>
      <c r="D110" t="s">
        <v>2333</v>
      </c>
      <c r="E110">
        <f t="shared" si="3"/>
        <v>4.0754999999999999</v>
      </c>
      <c r="I110">
        <f t="shared" si="4"/>
        <v>4.0754999999999999</v>
      </c>
      <c r="J110" t="str">
        <f t="shared" si="5"/>
        <v>Our Cost</v>
      </c>
    </row>
    <row r="111" spans="1:11">
      <c r="A111" t="s">
        <v>3505</v>
      </c>
      <c r="B111" t="s">
        <v>2385</v>
      </c>
      <c r="C111" t="s">
        <v>2248</v>
      </c>
      <c r="D111" t="s">
        <v>2386</v>
      </c>
      <c r="E111">
        <f t="shared" si="3"/>
        <v>554.94725000000005</v>
      </c>
      <c r="I111">
        <f t="shared" si="4"/>
        <v>554.94725000000005</v>
      </c>
      <c r="J111" t="str">
        <f t="shared" si="5"/>
        <v>Our Cost</v>
      </c>
    </row>
    <row r="112" spans="1:11">
      <c r="A112" t="s">
        <v>3506</v>
      </c>
      <c r="B112" t="s">
        <v>2387</v>
      </c>
      <c r="C112" t="s">
        <v>2248</v>
      </c>
      <c r="D112" t="s">
        <v>2386</v>
      </c>
      <c r="E112">
        <f t="shared" si="3"/>
        <v>554.94725000000005</v>
      </c>
      <c r="I112">
        <f t="shared" si="4"/>
        <v>554.94725000000005</v>
      </c>
      <c r="J112" t="str">
        <f t="shared" si="5"/>
        <v>Our Cost</v>
      </c>
    </row>
    <row r="113" spans="1:10">
      <c r="A113" t="s">
        <v>3507</v>
      </c>
      <c r="B113" t="s">
        <v>2388</v>
      </c>
      <c r="C113" t="s">
        <v>2248</v>
      </c>
      <c r="D113" t="s">
        <v>2386</v>
      </c>
      <c r="E113">
        <f t="shared" si="3"/>
        <v>554.94725000000005</v>
      </c>
      <c r="I113">
        <f t="shared" si="4"/>
        <v>554.94725000000005</v>
      </c>
      <c r="J113" t="str">
        <f t="shared" si="5"/>
        <v>Our Cost</v>
      </c>
    </row>
    <row r="114" spans="1:10">
      <c r="A114" t="s">
        <v>3508</v>
      </c>
      <c r="B114" t="s">
        <v>2389</v>
      </c>
      <c r="C114" t="s">
        <v>2248</v>
      </c>
      <c r="D114" t="s">
        <v>2390</v>
      </c>
      <c r="E114">
        <f t="shared" si="3"/>
        <v>494.49399999999997</v>
      </c>
      <c r="I114">
        <f t="shared" si="4"/>
        <v>494.49399999999997</v>
      </c>
      <c r="J114" t="str">
        <f t="shared" si="5"/>
        <v>Our Cost</v>
      </c>
    </row>
    <row r="115" spans="1:10">
      <c r="A115" t="s">
        <v>3509</v>
      </c>
      <c r="B115" t="s">
        <v>2391</v>
      </c>
      <c r="C115" t="s">
        <v>2248</v>
      </c>
      <c r="D115" t="s">
        <v>2392</v>
      </c>
      <c r="E115">
        <f t="shared" si="3"/>
        <v>521.66399999999999</v>
      </c>
      <c r="I115">
        <f t="shared" si="4"/>
        <v>521.66399999999999</v>
      </c>
      <c r="J115" t="str">
        <f t="shared" si="5"/>
        <v>Our Cost</v>
      </c>
    </row>
    <row r="116" spans="1:10">
      <c r="A116" t="s">
        <v>3510</v>
      </c>
      <c r="B116" t="s">
        <v>2393</v>
      </c>
      <c r="C116" t="s">
        <v>2248</v>
      </c>
      <c r="D116" t="s">
        <v>2394</v>
      </c>
      <c r="E116">
        <f t="shared" si="3"/>
        <v>487.02224999999999</v>
      </c>
      <c r="I116">
        <f t="shared" si="4"/>
        <v>487.02224999999999</v>
      </c>
      <c r="J116" t="str">
        <f t="shared" si="5"/>
        <v>Our Cost</v>
      </c>
    </row>
    <row r="117" spans="1:10">
      <c r="A117" t="s">
        <v>3511</v>
      </c>
      <c r="B117" t="s">
        <v>2395</v>
      </c>
      <c r="C117" t="s">
        <v>2248</v>
      </c>
      <c r="D117" t="s">
        <v>2394</v>
      </c>
      <c r="E117">
        <f t="shared" si="3"/>
        <v>487.02224999999999</v>
      </c>
      <c r="I117">
        <f t="shared" si="4"/>
        <v>487.02224999999999</v>
      </c>
      <c r="J117" t="str">
        <f t="shared" si="5"/>
        <v>Our Cost</v>
      </c>
    </row>
    <row r="118" spans="1:10">
      <c r="A118" t="s">
        <v>3512</v>
      </c>
      <c r="B118" t="s">
        <v>2396</v>
      </c>
      <c r="C118" t="s">
        <v>2248</v>
      </c>
      <c r="D118" t="s">
        <v>2251</v>
      </c>
      <c r="E118">
        <f t="shared" si="3"/>
        <v>53.66075</v>
      </c>
      <c r="I118">
        <f t="shared" si="4"/>
        <v>53.66075</v>
      </c>
      <c r="J118" t="str">
        <f t="shared" si="5"/>
        <v>Our Cost</v>
      </c>
    </row>
    <row r="119" spans="1:10">
      <c r="A119" t="s">
        <v>3513</v>
      </c>
      <c r="B119" t="s">
        <v>2397</v>
      </c>
      <c r="C119" t="s">
        <v>2248</v>
      </c>
      <c r="D119" t="s">
        <v>2398</v>
      </c>
      <c r="E119">
        <f t="shared" si="3"/>
        <v>86.944000000000003</v>
      </c>
      <c r="H119">
        <v>70.52</v>
      </c>
      <c r="I119">
        <f t="shared" si="4"/>
        <v>70.52</v>
      </c>
      <c r="J119" t="str">
        <f t="shared" si="5"/>
        <v>DC</v>
      </c>
    </row>
    <row r="120" spans="1:10">
      <c r="A120" t="s">
        <v>3514</v>
      </c>
      <c r="B120" t="s">
        <v>2399</v>
      </c>
      <c r="C120" t="s">
        <v>2248</v>
      </c>
      <c r="D120" t="s">
        <v>2400</v>
      </c>
      <c r="E120">
        <f t="shared" si="3"/>
        <v>24.452999999999999</v>
      </c>
      <c r="I120">
        <f t="shared" si="4"/>
        <v>24.452999999999999</v>
      </c>
      <c r="J120" t="str">
        <f t="shared" si="5"/>
        <v>Our Cost</v>
      </c>
    </row>
    <row r="121" spans="1:10">
      <c r="A121" t="s">
        <v>3515</v>
      </c>
      <c r="B121" t="s">
        <v>2401</v>
      </c>
      <c r="C121" t="s">
        <v>2248</v>
      </c>
      <c r="D121" t="s">
        <v>2303</v>
      </c>
      <c r="E121">
        <f t="shared" si="3"/>
        <v>28.528499999999998</v>
      </c>
      <c r="I121">
        <f t="shared" si="4"/>
        <v>28.528499999999998</v>
      </c>
      <c r="J121" t="str">
        <f t="shared" si="5"/>
        <v>Our Cost</v>
      </c>
    </row>
    <row r="122" spans="1:10">
      <c r="A122" t="s">
        <v>3516</v>
      </c>
      <c r="B122" t="s">
        <v>2402</v>
      </c>
      <c r="C122" t="s">
        <v>2248</v>
      </c>
      <c r="D122" t="s">
        <v>2400</v>
      </c>
      <c r="E122">
        <f t="shared" si="3"/>
        <v>24.452999999999999</v>
      </c>
      <c r="I122">
        <f t="shared" si="4"/>
        <v>24.452999999999999</v>
      </c>
      <c r="J122" t="str">
        <f t="shared" si="5"/>
        <v>Our Cost</v>
      </c>
    </row>
    <row r="123" spans="1:10">
      <c r="A123" t="s">
        <v>3517</v>
      </c>
      <c r="B123" t="s">
        <v>2403</v>
      </c>
      <c r="C123" t="s">
        <v>2248</v>
      </c>
      <c r="D123" t="s">
        <v>2400</v>
      </c>
      <c r="E123">
        <f t="shared" si="3"/>
        <v>24.452999999999999</v>
      </c>
      <c r="I123">
        <f t="shared" si="4"/>
        <v>24.452999999999999</v>
      </c>
      <c r="J123" t="str">
        <f t="shared" si="5"/>
        <v>Our Cost</v>
      </c>
    </row>
    <row r="124" spans="1:10">
      <c r="A124" t="s">
        <v>3518</v>
      </c>
      <c r="B124" t="s">
        <v>2404</v>
      </c>
      <c r="C124" t="s">
        <v>2248</v>
      </c>
      <c r="D124" t="s">
        <v>2405</v>
      </c>
      <c r="E124">
        <f t="shared" si="3"/>
        <v>206.49199999999999</v>
      </c>
      <c r="I124">
        <f t="shared" si="4"/>
        <v>206.49199999999999</v>
      </c>
      <c r="J124" t="str">
        <f t="shared" si="5"/>
        <v>Our Cost</v>
      </c>
    </row>
    <row r="125" spans="1:10">
      <c r="A125" t="s">
        <v>3519</v>
      </c>
      <c r="B125" t="s">
        <v>2406</v>
      </c>
      <c r="C125" t="s">
        <v>2248</v>
      </c>
      <c r="D125" t="s">
        <v>2407</v>
      </c>
      <c r="E125">
        <f t="shared" si="3"/>
        <v>1751.1064999999999</v>
      </c>
      <c r="I125">
        <f t="shared" si="4"/>
        <v>1751.1064999999999</v>
      </c>
      <c r="J125" t="str">
        <f t="shared" si="5"/>
        <v>Our Cost</v>
      </c>
    </row>
    <row r="126" spans="1:10">
      <c r="A126" t="s">
        <v>3520</v>
      </c>
      <c r="B126" t="s">
        <v>2408</v>
      </c>
      <c r="C126" t="s">
        <v>2248</v>
      </c>
      <c r="D126" t="s">
        <v>2409</v>
      </c>
      <c r="E126">
        <f t="shared" si="3"/>
        <v>66.566500000000005</v>
      </c>
      <c r="I126">
        <f t="shared" si="4"/>
        <v>66.566500000000005</v>
      </c>
      <c r="J126" t="str">
        <f t="shared" si="5"/>
        <v>Our Cost</v>
      </c>
    </row>
    <row r="127" spans="1:10">
      <c r="A127" t="s">
        <v>3521</v>
      </c>
      <c r="B127" t="s">
        <v>2410</v>
      </c>
      <c r="C127" t="s">
        <v>2248</v>
      </c>
      <c r="D127" t="s">
        <v>2411</v>
      </c>
      <c r="E127">
        <f t="shared" si="3"/>
        <v>564.45674999999994</v>
      </c>
      <c r="I127">
        <f t="shared" si="4"/>
        <v>564.45674999999994</v>
      </c>
      <c r="J127" t="str">
        <f t="shared" si="5"/>
        <v>Our Cost</v>
      </c>
    </row>
    <row r="128" spans="1:10">
      <c r="A128" t="s">
        <v>3522</v>
      </c>
      <c r="B128" t="s">
        <v>2412</v>
      </c>
      <c r="C128" t="s">
        <v>2248</v>
      </c>
      <c r="D128" t="s">
        <v>2413</v>
      </c>
      <c r="E128">
        <f t="shared" si="3"/>
        <v>177.96350000000001</v>
      </c>
      <c r="I128">
        <f t="shared" si="4"/>
        <v>177.96350000000001</v>
      </c>
      <c r="J128" t="str">
        <f t="shared" si="5"/>
        <v>Our Cost</v>
      </c>
    </row>
    <row r="129" spans="1:11">
      <c r="A129" t="s">
        <v>3523</v>
      </c>
      <c r="B129" t="s">
        <v>2414</v>
      </c>
      <c r="C129" t="s">
        <v>2248</v>
      </c>
      <c r="D129" t="s">
        <v>2320</v>
      </c>
      <c r="E129">
        <f t="shared" si="3"/>
        <v>12.905749999999999</v>
      </c>
      <c r="I129">
        <f t="shared" si="4"/>
        <v>12.905749999999999</v>
      </c>
      <c r="J129" t="str">
        <f t="shared" si="5"/>
        <v>Our Cost</v>
      </c>
    </row>
    <row r="130" spans="1:11">
      <c r="A130" t="s">
        <v>3524</v>
      </c>
      <c r="B130" t="s">
        <v>2415</v>
      </c>
      <c r="C130" t="s">
        <v>2248</v>
      </c>
      <c r="D130" t="s">
        <v>2416</v>
      </c>
      <c r="E130">
        <f t="shared" si="3"/>
        <v>130.416</v>
      </c>
      <c r="I130">
        <f t="shared" si="4"/>
        <v>130.416</v>
      </c>
      <c r="J130" t="str">
        <f t="shared" si="5"/>
        <v>Our Cost</v>
      </c>
    </row>
    <row r="131" spans="1:11">
      <c r="A131" t="s">
        <v>3525</v>
      </c>
      <c r="B131" t="s">
        <v>2417</v>
      </c>
      <c r="C131" t="s">
        <v>2248</v>
      </c>
      <c r="D131" t="s">
        <v>2418</v>
      </c>
      <c r="E131">
        <f t="shared" ref="E131:E194" si="6">+D131*0.65*1.045</f>
        <v>482.94675000000001</v>
      </c>
      <c r="I131">
        <f t="shared" ref="I131:I194" si="7">+MIN(E131:H131)</f>
        <v>482.94675000000001</v>
      </c>
      <c r="J131" t="str">
        <f t="shared" ref="J131:J194" si="8">+_xlfn.SINGLE(_xlfn.XLOOKUP(I131,E131:H131,$E$1:$H$1))</f>
        <v>Our Cost</v>
      </c>
    </row>
    <row r="132" spans="1:11">
      <c r="A132" t="s">
        <v>3526</v>
      </c>
      <c r="B132" t="s">
        <v>2419</v>
      </c>
      <c r="C132" t="s">
        <v>2248</v>
      </c>
      <c r="D132" t="s">
        <v>2420</v>
      </c>
      <c r="E132">
        <f t="shared" si="6"/>
        <v>499.24874999999997</v>
      </c>
      <c r="I132">
        <f t="shared" si="7"/>
        <v>499.24874999999997</v>
      </c>
      <c r="J132" t="str">
        <f t="shared" si="8"/>
        <v>Our Cost</v>
      </c>
    </row>
    <row r="133" spans="1:11">
      <c r="A133" t="s">
        <v>3527</v>
      </c>
      <c r="B133" t="s">
        <v>2419</v>
      </c>
      <c r="C133" t="s">
        <v>2248</v>
      </c>
      <c r="D133" t="s">
        <v>2421</v>
      </c>
      <c r="E133">
        <f t="shared" si="6"/>
        <v>523.02249999999992</v>
      </c>
      <c r="I133">
        <f t="shared" si="7"/>
        <v>523.02249999999992</v>
      </c>
      <c r="J133" t="str">
        <f t="shared" si="8"/>
        <v>Our Cost</v>
      </c>
    </row>
    <row r="134" spans="1:11">
      <c r="A134" t="s">
        <v>3528</v>
      </c>
      <c r="B134" t="s">
        <v>2422</v>
      </c>
      <c r="C134" t="s">
        <v>2248</v>
      </c>
      <c r="D134" t="s">
        <v>2270</v>
      </c>
      <c r="E134">
        <f t="shared" si="6"/>
        <v>39.396500000000003</v>
      </c>
      <c r="I134">
        <f t="shared" si="7"/>
        <v>39.396500000000003</v>
      </c>
      <c r="J134" t="str">
        <f t="shared" si="8"/>
        <v>Our Cost</v>
      </c>
    </row>
    <row r="135" spans="1:11">
      <c r="A135" t="s">
        <v>3529</v>
      </c>
      <c r="B135" t="s">
        <v>2423</v>
      </c>
      <c r="C135" t="s">
        <v>2248</v>
      </c>
      <c r="D135" t="s">
        <v>2383</v>
      </c>
      <c r="E135">
        <f t="shared" si="6"/>
        <v>6.1132499999999999</v>
      </c>
      <c r="I135">
        <f t="shared" si="7"/>
        <v>6.1132499999999999</v>
      </c>
      <c r="J135" t="str">
        <f t="shared" si="8"/>
        <v>Our Cost</v>
      </c>
    </row>
    <row r="136" spans="1:11">
      <c r="A136" t="s">
        <v>3530</v>
      </c>
      <c r="B136" t="s">
        <v>2424</v>
      </c>
      <c r="C136" t="s">
        <v>2248</v>
      </c>
      <c r="D136" t="s">
        <v>2425</v>
      </c>
      <c r="E136">
        <f t="shared" si="6"/>
        <v>38.71725</v>
      </c>
      <c r="I136">
        <f t="shared" si="7"/>
        <v>38.71725</v>
      </c>
      <c r="J136" t="str">
        <f t="shared" si="8"/>
        <v>Our Cost</v>
      </c>
    </row>
    <row r="137" spans="1:11">
      <c r="A137" t="s">
        <v>3531</v>
      </c>
      <c r="B137" t="s">
        <v>2426</v>
      </c>
      <c r="C137" t="s">
        <v>2248</v>
      </c>
      <c r="D137" t="s">
        <v>2427</v>
      </c>
      <c r="E137">
        <f t="shared" si="6"/>
        <v>2470.4322499999998</v>
      </c>
      <c r="I137">
        <f t="shared" si="7"/>
        <v>2470.4322499999998</v>
      </c>
      <c r="J137" t="str">
        <f t="shared" si="8"/>
        <v>Our Cost</v>
      </c>
    </row>
    <row r="138" spans="1:11">
      <c r="A138" t="s">
        <v>3532</v>
      </c>
      <c r="B138" t="s">
        <v>2428</v>
      </c>
      <c r="C138" t="s">
        <v>2160</v>
      </c>
      <c r="D138" t="s">
        <v>2429</v>
      </c>
      <c r="E138">
        <f t="shared" si="6"/>
        <v>3529.3829999999998</v>
      </c>
      <c r="I138">
        <f t="shared" si="7"/>
        <v>3529.3829999999998</v>
      </c>
      <c r="J138" t="str">
        <f t="shared" si="8"/>
        <v>Our Cost</v>
      </c>
    </row>
    <row r="139" spans="1:11">
      <c r="A139" t="s">
        <v>3533</v>
      </c>
      <c r="B139" t="s">
        <v>2430</v>
      </c>
      <c r="C139" t="s">
        <v>2160</v>
      </c>
      <c r="D139" t="s">
        <v>2431</v>
      </c>
      <c r="E139">
        <f t="shared" si="6"/>
        <v>5353.1692499999999</v>
      </c>
      <c r="I139">
        <f t="shared" si="7"/>
        <v>5353.1692499999999</v>
      </c>
      <c r="J139" t="str">
        <f t="shared" si="8"/>
        <v>Our Cost</v>
      </c>
    </row>
    <row r="140" spans="1:11">
      <c r="A140" t="s">
        <v>3534</v>
      </c>
      <c r="B140" t="s">
        <v>2432</v>
      </c>
      <c r="C140" t="s">
        <v>2248</v>
      </c>
      <c r="D140" t="s">
        <v>2433</v>
      </c>
      <c r="E140">
        <f t="shared" si="6"/>
        <v>339.625</v>
      </c>
      <c r="I140">
        <f t="shared" si="7"/>
        <v>339.625</v>
      </c>
      <c r="J140" t="str">
        <f t="shared" si="8"/>
        <v>Our Cost</v>
      </c>
    </row>
    <row r="141" spans="1:11">
      <c r="A141" t="s">
        <v>3535</v>
      </c>
      <c r="B141" t="s">
        <v>2434</v>
      </c>
      <c r="C141" t="s">
        <v>2248</v>
      </c>
      <c r="D141" t="s">
        <v>2435</v>
      </c>
      <c r="E141">
        <f t="shared" si="6"/>
        <v>480.22974999999997</v>
      </c>
      <c r="G141">
        <v>428.4</v>
      </c>
      <c r="H141">
        <v>812.91</v>
      </c>
      <c r="I141">
        <f t="shared" si="7"/>
        <v>428.4</v>
      </c>
      <c r="J141" t="str">
        <f t="shared" si="8"/>
        <v>Addison</v>
      </c>
      <c r="K141" t="s">
        <v>3394</v>
      </c>
    </row>
    <row r="142" spans="1:11">
      <c r="A142" t="s">
        <v>3536</v>
      </c>
      <c r="B142" t="s">
        <v>2436</v>
      </c>
      <c r="C142" t="s">
        <v>2248</v>
      </c>
      <c r="D142" t="s">
        <v>2328</v>
      </c>
      <c r="E142">
        <f t="shared" si="6"/>
        <v>573.28700000000003</v>
      </c>
      <c r="H142">
        <v>776.48</v>
      </c>
      <c r="I142">
        <f t="shared" si="7"/>
        <v>573.28700000000003</v>
      </c>
      <c r="J142" t="str">
        <f t="shared" si="8"/>
        <v>Our Cost</v>
      </c>
    </row>
    <row r="143" spans="1:11">
      <c r="A143" t="s">
        <v>3537</v>
      </c>
      <c r="B143" t="s">
        <v>2437</v>
      </c>
      <c r="C143" t="s">
        <v>2248</v>
      </c>
      <c r="D143" t="s">
        <v>2303</v>
      </c>
      <c r="E143">
        <f t="shared" si="6"/>
        <v>28.528499999999998</v>
      </c>
      <c r="I143">
        <f t="shared" si="7"/>
        <v>28.528499999999998</v>
      </c>
      <c r="J143" t="str">
        <f t="shared" si="8"/>
        <v>Our Cost</v>
      </c>
    </row>
    <row r="144" spans="1:11">
      <c r="A144" t="s">
        <v>3538</v>
      </c>
      <c r="B144" t="s">
        <v>2438</v>
      </c>
      <c r="C144" t="s">
        <v>2248</v>
      </c>
      <c r="D144" t="s">
        <v>2314</v>
      </c>
      <c r="E144">
        <f t="shared" si="6"/>
        <v>1.3585</v>
      </c>
      <c r="I144">
        <f t="shared" si="7"/>
        <v>1.3585</v>
      </c>
      <c r="J144" t="str">
        <f t="shared" si="8"/>
        <v>Our Cost</v>
      </c>
    </row>
    <row r="145" spans="1:10">
      <c r="A145" t="s">
        <v>3539</v>
      </c>
      <c r="B145" t="s">
        <v>2439</v>
      </c>
      <c r="C145" t="s">
        <v>2248</v>
      </c>
      <c r="D145" t="s">
        <v>2284</v>
      </c>
      <c r="E145">
        <f t="shared" si="6"/>
        <v>0.67925000000000002</v>
      </c>
      <c r="I145">
        <f t="shared" si="7"/>
        <v>0.67925000000000002</v>
      </c>
      <c r="J145" t="str">
        <f t="shared" si="8"/>
        <v>Our Cost</v>
      </c>
    </row>
    <row r="146" spans="1:10">
      <c r="A146" t="s">
        <v>2163</v>
      </c>
      <c r="B146" t="s">
        <v>2164</v>
      </c>
      <c r="C146" t="s">
        <v>2160</v>
      </c>
      <c r="D146" t="s">
        <v>2440</v>
      </c>
      <c r="E146">
        <f t="shared" si="6"/>
        <v>6.7924999999999995</v>
      </c>
      <c r="I146">
        <f t="shared" si="7"/>
        <v>6.7924999999999995</v>
      </c>
      <c r="J146" t="str">
        <f t="shared" si="8"/>
        <v>Our Cost</v>
      </c>
    </row>
    <row r="147" spans="1:10">
      <c r="A147" t="s">
        <v>3540</v>
      </c>
      <c r="B147" t="s">
        <v>2441</v>
      </c>
      <c r="C147" t="s">
        <v>2248</v>
      </c>
      <c r="D147" t="s">
        <v>2442</v>
      </c>
      <c r="E147">
        <f t="shared" si="6"/>
        <v>5.4340000000000002</v>
      </c>
      <c r="I147">
        <f t="shared" si="7"/>
        <v>5.4340000000000002</v>
      </c>
      <c r="J147" t="str">
        <f t="shared" si="8"/>
        <v>Our Cost</v>
      </c>
    </row>
    <row r="148" spans="1:10">
      <c r="A148" t="s">
        <v>3541</v>
      </c>
      <c r="B148" t="s">
        <v>2443</v>
      </c>
      <c r="C148" t="s">
        <v>2248</v>
      </c>
      <c r="D148" t="s">
        <v>2258</v>
      </c>
      <c r="E148">
        <f t="shared" si="6"/>
        <v>2.03775</v>
      </c>
      <c r="I148">
        <f t="shared" si="7"/>
        <v>2.03775</v>
      </c>
      <c r="J148" t="str">
        <f t="shared" si="8"/>
        <v>Our Cost</v>
      </c>
    </row>
    <row r="149" spans="1:10">
      <c r="A149" t="s">
        <v>3542</v>
      </c>
      <c r="B149" t="s">
        <v>2443</v>
      </c>
      <c r="C149" t="s">
        <v>2248</v>
      </c>
      <c r="D149" t="s">
        <v>2283</v>
      </c>
      <c r="E149">
        <f t="shared" si="6"/>
        <v>3.3962499999999998</v>
      </c>
      <c r="I149">
        <f t="shared" si="7"/>
        <v>3.3962499999999998</v>
      </c>
      <c r="J149" t="str">
        <f t="shared" si="8"/>
        <v>Our Cost</v>
      </c>
    </row>
    <row r="150" spans="1:10">
      <c r="A150" t="s">
        <v>3543</v>
      </c>
      <c r="B150" t="s">
        <v>2444</v>
      </c>
      <c r="C150" t="s">
        <v>2248</v>
      </c>
      <c r="D150" t="s">
        <v>2445</v>
      </c>
      <c r="E150">
        <f t="shared" si="6"/>
        <v>33.283250000000002</v>
      </c>
      <c r="I150">
        <f t="shared" si="7"/>
        <v>33.283250000000002</v>
      </c>
      <c r="J150" t="str">
        <f t="shared" si="8"/>
        <v>Our Cost</v>
      </c>
    </row>
    <row r="151" spans="1:10">
      <c r="A151" t="s">
        <v>3544</v>
      </c>
      <c r="B151" t="s">
        <v>2446</v>
      </c>
      <c r="C151" t="s">
        <v>2248</v>
      </c>
      <c r="D151" t="s">
        <v>2333</v>
      </c>
      <c r="E151">
        <f t="shared" si="6"/>
        <v>4.0754999999999999</v>
      </c>
      <c r="I151">
        <f t="shared" si="7"/>
        <v>4.0754999999999999</v>
      </c>
      <c r="J151" t="str">
        <f t="shared" si="8"/>
        <v>Our Cost</v>
      </c>
    </row>
    <row r="152" spans="1:10">
      <c r="A152" t="s">
        <v>3545</v>
      </c>
      <c r="B152" t="s">
        <v>2446</v>
      </c>
      <c r="C152" t="s">
        <v>2248</v>
      </c>
      <c r="D152" t="s">
        <v>2283</v>
      </c>
      <c r="E152">
        <f t="shared" si="6"/>
        <v>3.3962499999999998</v>
      </c>
      <c r="I152">
        <f t="shared" si="7"/>
        <v>3.3962499999999998</v>
      </c>
      <c r="J152" t="str">
        <f t="shared" si="8"/>
        <v>Our Cost</v>
      </c>
    </row>
    <row r="153" spans="1:10">
      <c r="A153" t="s">
        <v>3546</v>
      </c>
      <c r="B153" t="s">
        <v>2447</v>
      </c>
      <c r="C153" t="s">
        <v>2248</v>
      </c>
      <c r="D153" t="s">
        <v>2257</v>
      </c>
      <c r="E153">
        <f t="shared" si="6"/>
        <v>4.7547499999999996</v>
      </c>
      <c r="I153">
        <f t="shared" si="7"/>
        <v>4.7547499999999996</v>
      </c>
      <c r="J153" t="str">
        <f t="shared" si="8"/>
        <v>Our Cost</v>
      </c>
    </row>
    <row r="154" spans="1:10">
      <c r="A154" t="s">
        <v>3547</v>
      </c>
      <c r="B154" t="s">
        <v>2448</v>
      </c>
      <c r="C154" t="s">
        <v>2248</v>
      </c>
      <c r="D154" t="s">
        <v>2440</v>
      </c>
      <c r="E154">
        <f t="shared" si="6"/>
        <v>6.7924999999999995</v>
      </c>
      <c r="I154">
        <f t="shared" si="7"/>
        <v>6.7924999999999995</v>
      </c>
      <c r="J154" t="str">
        <f t="shared" si="8"/>
        <v>Our Cost</v>
      </c>
    </row>
    <row r="155" spans="1:10">
      <c r="A155" t="s">
        <v>3548</v>
      </c>
      <c r="B155" t="s">
        <v>2449</v>
      </c>
      <c r="C155" t="s">
        <v>2248</v>
      </c>
      <c r="D155" t="s">
        <v>2322</v>
      </c>
      <c r="E155">
        <f t="shared" si="6"/>
        <v>2.7170000000000001</v>
      </c>
      <c r="I155">
        <f t="shared" si="7"/>
        <v>2.7170000000000001</v>
      </c>
      <c r="J155" t="str">
        <f t="shared" si="8"/>
        <v>Our Cost</v>
      </c>
    </row>
    <row r="156" spans="1:10">
      <c r="A156" t="s">
        <v>3549</v>
      </c>
      <c r="B156" t="s">
        <v>2450</v>
      </c>
      <c r="C156" t="s">
        <v>2248</v>
      </c>
      <c r="D156" t="s">
        <v>2270</v>
      </c>
      <c r="E156">
        <f t="shared" si="6"/>
        <v>39.396500000000003</v>
      </c>
      <c r="I156">
        <f t="shared" si="7"/>
        <v>39.396500000000003</v>
      </c>
      <c r="J156" t="str">
        <f t="shared" si="8"/>
        <v>Our Cost</v>
      </c>
    </row>
    <row r="157" spans="1:10">
      <c r="A157" t="s">
        <v>3550</v>
      </c>
      <c r="B157" t="s">
        <v>2451</v>
      </c>
      <c r="C157" t="s">
        <v>2249</v>
      </c>
      <c r="D157" t="s">
        <v>2452</v>
      </c>
      <c r="E157">
        <f t="shared" si="6"/>
        <v>9.5094999999999992</v>
      </c>
      <c r="I157">
        <f t="shared" si="7"/>
        <v>9.5094999999999992</v>
      </c>
      <c r="J157" t="str">
        <f t="shared" si="8"/>
        <v>Our Cost</v>
      </c>
    </row>
    <row r="158" spans="1:10">
      <c r="A158" t="s">
        <v>3551</v>
      </c>
      <c r="B158" t="s">
        <v>2453</v>
      </c>
      <c r="C158" t="s">
        <v>2249</v>
      </c>
      <c r="D158" t="s">
        <v>2454</v>
      </c>
      <c r="E158">
        <f t="shared" si="6"/>
        <v>10.868</v>
      </c>
      <c r="I158">
        <f t="shared" si="7"/>
        <v>10.868</v>
      </c>
      <c r="J158" t="str">
        <f t="shared" si="8"/>
        <v>Our Cost</v>
      </c>
    </row>
    <row r="159" spans="1:10">
      <c r="A159" t="s">
        <v>3552</v>
      </c>
      <c r="B159" t="s">
        <v>2455</v>
      </c>
      <c r="C159" t="s">
        <v>2249</v>
      </c>
      <c r="D159" t="s">
        <v>2456</v>
      </c>
      <c r="E159">
        <f t="shared" si="6"/>
        <v>8.1509999999999998</v>
      </c>
      <c r="I159">
        <f t="shared" si="7"/>
        <v>8.1509999999999998</v>
      </c>
      <c r="J159" t="str">
        <f t="shared" si="8"/>
        <v>Our Cost</v>
      </c>
    </row>
    <row r="160" spans="1:10">
      <c r="A160" t="s">
        <v>3553</v>
      </c>
      <c r="B160" t="s">
        <v>2457</v>
      </c>
      <c r="C160" t="s">
        <v>2249</v>
      </c>
      <c r="D160" t="s">
        <v>2452</v>
      </c>
      <c r="E160">
        <f t="shared" si="6"/>
        <v>9.5094999999999992</v>
      </c>
      <c r="I160">
        <f t="shared" si="7"/>
        <v>9.5094999999999992</v>
      </c>
      <c r="J160" t="str">
        <f t="shared" si="8"/>
        <v>Our Cost</v>
      </c>
    </row>
    <row r="161" spans="1:10">
      <c r="A161" t="s">
        <v>3554</v>
      </c>
      <c r="B161" t="s">
        <v>2458</v>
      </c>
      <c r="C161" t="s">
        <v>2249</v>
      </c>
      <c r="D161" t="s">
        <v>2281</v>
      </c>
      <c r="E161">
        <f t="shared" si="6"/>
        <v>12.2265</v>
      </c>
      <c r="I161">
        <f t="shared" si="7"/>
        <v>12.2265</v>
      </c>
      <c r="J161" t="str">
        <f t="shared" si="8"/>
        <v>Our Cost</v>
      </c>
    </row>
    <row r="162" spans="1:10">
      <c r="A162" t="s">
        <v>3555</v>
      </c>
      <c r="B162" t="s">
        <v>2459</v>
      </c>
      <c r="C162" t="s">
        <v>2249</v>
      </c>
      <c r="D162" t="s">
        <v>2320</v>
      </c>
      <c r="E162">
        <f t="shared" si="6"/>
        <v>12.905749999999999</v>
      </c>
      <c r="I162">
        <f t="shared" si="7"/>
        <v>12.905749999999999</v>
      </c>
      <c r="J162" t="str">
        <f t="shared" si="8"/>
        <v>Our Cost</v>
      </c>
    </row>
    <row r="163" spans="1:10">
      <c r="A163" t="s">
        <v>3556</v>
      </c>
      <c r="B163" t="s">
        <v>2460</v>
      </c>
      <c r="C163" t="s">
        <v>2249</v>
      </c>
      <c r="D163" t="s">
        <v>2461</v>
      </c>
      <c r="E163">
        <f t="shared" si="6"/>
        <v>13.584999999999999</v>
      </c>
      <c r="I163">
        <f t="shared" si="7"/>
        <v>13.584999999999999</v>
      </c>
      <c r="J163" t="str">
        <f t="shared" si="8"/>
        <v>Our Cost</v>
      </c>
    </row>
    <row r="164" spans="1:10">
      <c r="A164" t="s">
        <v>3557</v>
      </c>
      <c r="B164" t="s">
        <v>2462</v>
      </c>
      <c r="C164" t="s">
        <v>2249</v>
      </c>
      <c r="D164" t="s">
        <v>2350</v>
      </c>
      <c r="E164">
        <f t="shared" si="6"/>
        <v>14.9435</v>
      </c>
      <c r="I164">
        <f t="shared" si="7"/>
        <v>14.9435</v>
      </c>
      <c r="J164" t="str">
        <f t="shared" si="8"/>
        <v>Our Cost</v>
      </c>
    </row>
    <row r="165" spans="1:10">
      <c r="A165" t="s">
        <v>3558</v>
      </c>
      <c r="B165" t="s">
        <v>2463</v>
      </c>
      <c r="C165" t="s">
        <v>2249</v>
      </c>
      <c r="D165" t="s">
        <v>2454</v>
      </c>
      <c r="E165">
        <f t="shared" si="6"/>
        <v>10.868</v>
      </c>
      <c r="I165">
        <f t="shared" si="7"/>
        <v>10.868</v>
      </c>
      <c r="J165" t="str">
        <f t="shared" si="8"/>
        <v>Our Cost</v>
      </c>
    </row>
    <row r="166" spans="1:10">
      <c r="A166" t="s">
        <v>3559</v>
      </c>
      <c r="B166" t="s">
        <v>2464</v>
      </c>
      <c r="C166" t="s">
        <v>2249</v>
      </c>
      <c r="D166" t="s">
        <v>2320</v>
      </c>
      <c r="E166">
        <f t="shared" si="6"/>
        <v>12.905749999999999</v>
      </c>
      <c r="I166">
        <f t="shared" si="7"/>
        <v>12.905749999999999</v>
      </c>
      <c r="J166" t="str">
        <f t="shared" si="8"/>
        <v>Our Cost</v>
      </c>
    </row>
    <row r="167" spans="1:10">
      <c r="A167" t="s">
        <v>3560</v>
      </c>
      <c r="B167" t="s">
        <v>2465</v>
      </c>
      <c r="C167" t="s">
        <v>2249</v>
      </c>
      <c r="D167" t="s">
        <v>2466</v>
      </c>
      <c r="E167">
        <f t="shared" si="6"/>
        <v>8.8302500000000013</v>
      </c>
      <c r="I167">
        <f t="shared" si="7"/>
        <v>8.8302500000000013</v>
      </c>
      <c r="J167" t="str">
        <f t="shared" si="8"/>
        <v>Our Cost</v>
      </c>
    </row>
    <row r="168" spans="1:10">
      <c r="A168" t="s">
        <v>3561</v>
      </c>
      <c r="B168" t="s">
        <v>2467</v>
      </c>
      <c r="C168" t="s">
        <v>2249</v>
      </c>
      <c r="D168" t="s">
        <v>2454</v>
      </c>
      <c r="E168">
        <f t="shared" si="6"/>
        <v>10.868</v>
      </c>
      <c r="I168">
        <f t="shared" si="7"/>
        <v>10.868</v>
      </c>
      <c r="J168" t="str">
        <f t="shared" si="8"/>
        <v>Our Cost</v>
      </c>
    </row>
    <row r="169" spans="1:10">
      <c r="A169" t="s">
        <v>3562</v>
      </c>
      <c r="B169" t="s">
        <v>2468</v>
      </c>
      <c r="C169" t="s">
        <v>2248</v>
      </c>
      <c r="D169" t="s">
        <v>2469</v>
      </c>
      <c r="E169">
        <f t="shared" si="6"/>
        <v>17.660500000000003</v>
      </c>
      <c r="I169">
        <f t="shared" si="7"/>
        <v>17.660500000000003</v>
      </c>
      <c r="J169" t="str">
        <f t="shared" si="8"/>
        <v>Our Cost</v>
      </c>
    </row>
    <row r="170" spans="1:10">
      <c r="A170" t="s">
        <v>3563</v>
      </c>
      <c r="B170" t="s">
        <v>2470</v>
      </c>
      <c r="C170" t="s">
        <v>2248</v>
      </c>
      <c r="D170" t="s">
        <v>2471</v>
      </c>
      <c r="E170">
        <f t="shared" si="6"/>
        <v>49.585250000000002</v>
      </c>
      <c r="G170">
        <v>55.25</v>
      </c>
      <c r="H170">
        <v>63.11</v>
      </c>
      <c r="I170">
        <f t="shared" si="7"/>
        <v>49.585250000000002</v>
      </c>
      <c r="J170" t="str">
        <f t="shared" si="8"/>
        <v>Our Cost</v>
      </c>
    </row>
    <row r="171" spans="1:10">
      <c r="A171" t="s">
        <v>3564</v>
      </c>
      <c r="B171" t="s">
        <v>2472</v>
      </c>
      <c r="C171" t="s">
        <v>2248</v>
      </c>
      <c r="D171" t="s">
        <v>2471</v>
      </c>
      <c r="E171">
        <f t="shared" si="6"/>
        <v>49.585250000000002</v>
      </c>
      <c r="G171">
        <v>55.25</v>
      </c>
      <c r="H171">
        <v>67.16</v>
      </c>
      <c r="I171">
        <f t="shared" si="7"/>
        <v>49.585250000000002</v>
      </c>
      <c r="J171" t="str">
        <f t="shared" si="8"/>
        <v>Our Cost</v>
      </c>
    </row>
    <row r="172" spans="1:10">
      <c r="A172" t="s">
        <v>3565</v>
      </c>
      <c r="B172" t="s">
        <v>2473</v>
      </c>
      <c r="C172" t="s">
        <v>2248</v>
      </c>
      <c r="D172" t="s">
        <v>2474</v>
      </c>
      <c r="E172">
        <f t="shared" si="6"/>
        <v>50.943749999999994</v>
      </c>
      <c r="G172">
        <v>55.25</v>
      </c>
      <c r="H172">
        <v>69</v>
      </c>
      <c r="I172">
        <f t="shared" si="7"/>
        <v>50.943749999999994</v>
      </c>
      <c r="J172" t="str">
        <f t="shared" si="8"/>
        <v>Our Cost</v>
      </c>
    </row>
    <row r="173" spans="1:10">
      <c r="A173" t="s">
        <v>3566</v>
      </c>
      <c r="B173" t="s">
        <v>2475</v>
      </c>
      <c r="C173" t="s">
        <v>2248</v>
      </c>
      <c r="D173" t="s">
        <v>2474</v>
      </c>
      <c r="E173">
        <f t="shared" si="6"/>
        <v>50.943749999999994</v>
      </c>
      <c r="G173">
        <v>55.25</v>
      </c>
      <c r="H173">
        <v>69</v>
      </c>
      <c r="I173">
        <f t="shared" si="7"/>
        <v>50.943749999999994</v>
      </c>
      <c r="J173" t="str">
        <f t="shared" si="8"/>
        <v>Our Cost</v>
      </c>
    </row>
    <row r="174" spans="1:10">
      <c r="A174" t="s">
        <v>3567</v>
      </c>
      <c r="B174" t="s">
        <v>2476</v>
      </c>
      <c r="C174" t="s">
        <v>2248</v>
      </c>
      <c r="D174" t="s">
        <v>2477</v>
      </c>
      <c r="E174">
        <f t="shared" si="6"/>
        <v>52.302250000000001</v>
      </c>
      <c r="I174">
        <f t="shared" si="7"/>
        <v>52.302250000000001</v>
      </c>
      <c r="J174" t="str">
        <f t="shared" si="8"/>
        <v>Our Cost</v>
      </c>
    </row>
    <row r="175" spans="1:10">
      <c r="A175" t="s">
        <v>3568</v>
      </c>
      <c r="B175" t="s">
        <v>2478</v>
      </c>
      <c r="C175" t="s">
        <v>2248</v>
      </c>
      <c r="D175" t="s">
        <v>2477</v>
      </c>
      <c r="E175">
        <f t="shared" si="6"/>
        <v>52.302250000000001</v>
      </c>
      <c r="I175">
        <f t="shared" si="7"/>
        <v>52.302250000000001</v>
      </c>
      <c r="J175" t="str">
        <f t="shared" si="8"/>
        <v>Our Cost</v>
      </c>
    </row>
    <row r="176" spans="1:10">
      <c r="A176" t="s">
        <v>3569</v>
      </c>
      <c r="B176" t="s">
        <v>2479</v>
      </c>
      <c r="C176" t="s">
        <v>2248</v>
      </c>
      <c r="D176" t="s">
        <v>2471</v>
      </c>
      <c r="E176">
        <f t="shared" si="6"/>
        <v>49.585250000000002</v>
      </c>
      <c r="I176">
        <f t="shared" si="7"/>
        <v>49.585250000000002</v>
      </c>
      <c r="J176" t="str">
        <f t="shared" si="8"/>
        <v>Our Cost</v>
      </c>
    </row>
    <row r="177" spans="1:11">
      <c r="A177" t="s">
        <v>3570</v>
      </c>
      <c r="B177" t="s">
        <v>2480</v>
      </c>
      <c r="C177" t="s">
        <v>2248</v>
      </c>
      <c r="D177" t="s">
        <v>2471</v>
      </c>
      <c r="E177">
        <f t="shared" si="6"/>
        <v>49.585250000000002</v>
      </c>
      <c r="I177">
        <f t="shared" si="7"/>
        <v>49.585250000000002</v>
      </c>
      <c r="J177" t="str">
        <f t="shared" si="8"/>
        <v>Our Cost</v>
      </c>
    </row>
    <row r="178" spans="1:11">
      <c r="A178" t="s">
        <v>3571</v>
      </c>
      <c r="B178" t="s">
        <v>2481</v>
      </c>
      <c r="C178" t="s">
        <v>2248</v>
      </c>
      <c r="D178" t="s">
        <v>2316</v>
      </c>
      <c r="E178">
        <f t="shared" si="6"/>
        <v>73.358999999999995</v>
      </c>
      <c r="I178">
        <f t="shared" si="7"/>
        <v>73.358999999999995</v>
      </c>
      <c r="J178" t="str">
        <f t="shared" si="8"/>
        <v>Our Cost</v>
      </c>
      <c r="K178" t="s">
        <v>3395</v>
      </c>
    </row>
    <row r="179" spans="1:11">
      <c r="A179" t="s">
        <v>3572</v>
      </c>
      <c r="B179" t="s">
        <v>2482</v>
      </c>
      <c r="C179" t="s">
        <v>2248</v>
      </c>
      <c r="D179" t="s">
        <v>2483</v>
      </c>
      <c r="E179">
        <f t="shared" si="6"/>
        <v>110.03849999999998</v>
      </c>
      <c r="G179">
        <v>52.7</v>
      </c>
      <c r="H179">
        <v>93.15</v>
      </c>
      <c r="I179">
        <f t="shared" si="7"/>
        <v>52.7</v>
      </c>
      <c r="J179" t="str">
        <f t="shared" si="8"/>
        <v>Addison</v>
      </c>
      <c r="K179" t="s">
        <v>3394</v>
      </c>
    </row>
    <row r="180" spans="1:11">
      <c r="A180" t="s">
        <v>3573</v>
      </c>
      <c r="B180" t="s">
        <v>2484</v>
      </c>
      <c r="C180" t="s">
        <v>2248</v>
      </c>
      <c r="D180" t="s">
        <v>2485</v>
      </c>
      <c r="E180">
        <f t="shared" si="6"/>
        <v>277.13399999999996</v>
      </c>
      <c r="G180">
        <v>130.05000000000001</v>
      </c>
      <c r="H180">
        <v>221.15</v>
      </c>
      <c r="I180">
        <f t="shared" si="7"/>
        <v>130.05000000000001</v>
      </c>
      <c r="J180" t="str">
        <f t="shared" si="8"/>
        <v>Addison</v>
      </c>
      <c r="K180" t="s">
        <v>3394</v>
      </c>
    </row>
    <row r="181" spans="1:11">
      <c r="A181" t="s">
        <v>3574</v>
      </c>
      <c r="B181" t="s">
        <v>2486</v>
      </c>
      <c r="C181" t="s">
        <v>2248</v>
      </c>
      <c r="D181" t="s">
        <v>2485</v>
      </c>
      <c r="E181">
        <f t="shared" si="6"/>
        <v>277.13399999999996</v>
      </c>
      <c r="G181">
        <v>130.05000000000001</v>
      </c>
      <c r="H181">
        <v>221.15</v>
      </c>
      <c r="I181">
        <f t="shared" si="7"/>
        <v>130.05000000000001</v>
      </c>
      <c r="J181" t="str">
        <f t="shared" si="8"/>
        <v>Addison</v>
      </c>
      <c r="K181" t="s">
        <v>3394</v>
      </c>
    </row>
    <row r="182" spans="1:11">
      <c r="A182" t="s">
        <v>3575</v>
      </c>
      <c r="B182" t="s">
        <v>2487</v>
      </c>
      <c r="C182" t="s">
        <v>2248</v>
      </c>
      <c r="D182" t="s">
        <v>2259</v>
      </c>
      <c r="E182">
        <f t="shared" si="6"/>
        <v>23.77375</v>
      </c>
      <c r="G182">
        <v>26.35</v>
      </c>
      <c r="H182">
        <v>32.200000000000003</v>
      </c>
      <c r="I182">
        <f t="shared" si="7"/>
        <v>23.77375</v>
      </c>
      <c r="J182" t="str">
        <f t="shared" si="8"/>
        <v>Our Cost</v>
      </c>
      <c r="K182" t="s">
        <v>3395</v>
      </c>
    </row>
    <row r="183" spans="1:11">
      <c r="A183" t="s">
        <v>3576</v>
      </c>
      <c r="B183" t="s">
        <v>2488</v>
      </c>
      <c r="C183" t="s">
        <v>2248</v>
      </c>
      <c r="D183" t="s">
        <v>2350</v>
      </c>
      <c r="E183">
        <f t="shared" si="6"/>
        <v>14.9435</v>
      </c>
      <c r="I183">
        <f t="shared" si="7"/>
        <v>14.9435</v>
      </c>
      <c r="J183" t="str">
        <f t="shared" si="8"/>
        <v>Our Cost</v>
      </c>
    </row>
    <row r="184" spans="1:11">
      <c r="A184" t="s">
        <v>3577</v>
      </c>
      <c r="B184" t="s">
        <v>2489</v>
      </c>
      <c r="C184" t="s">
        <v>2248</v>
      </c>
      <c r="D184" t="s">
        <v>2490</v>
      </c>
      <c r="E184">
        <f t="shared" si="6"/>
        <v>23.0945</v>
      </c>
      <c r="H184">
        <v>31.28</v>
      </c>
      <c r="I184">
        <f t="shared" si="7"/>
        <v>23.0945</v>
      </c>
      <c r="J184" t="str">
        <f t="shared" si="8"/>
        <v>Our Cost</v>
      </c>
      <c r="K184" t="s">
        <v>3395</v>
      </c>
    </row>
    <row r="185" spans="1:11">
      <c r="A185" t="s">
        <v>3578</v>
      </c>
      <c r="B185" t="s">
        <v>2491</v>
      </c>
      <c r="C185" t="s">
        <v>2248</v>
      </c>
      <c r="D185" t="s">
        <v>2281</v>
      </c>
      <c r="E185">
        <f t="shared" si="6"/>
        <v>12.2265</v>
      </c>
      <c r="H185">
        <v>16.559999999999999</v>
      </c>
      <c r="I185">
        <f t="shared" si="7"/>
        <v>12.2265</v>
      </c>
      <c r="J185" t="str">
        <f t="shared" si="8"/>
        <v>Our Cost</v>
      </c>
    </row>
    <row r="186" spans="1:11">
      <c r="A186" t="s">
        <v>3579</v>
      </c>
      <c r="B186" t="s">
        <v>2492</v>
      </c>
      <c r="C186" t="s">
        <v>2248</v>
      </c>
      <c r="D186" t="s">
        <v>2493</v>
      </c>
      <c r="E186">
        <f t="shared" si="6"/>
        <v>14.264249999999999</v>
      </c>
      <c r="H186">
        <v>48.32</v>
      </c>
      <c r="I186">
        <f t="shared" si="7"/>
        <v>14.264249999999999</v>
      </c>
      <c r="J186" t="str">
        <f t="shared" si="8"/>
        <v>Our Cost</v>
      </c>
      <c r="K186" t="s">
        <v>3395</v>
      </c>
    </row>
    <row r="187" spans="1:11">
      <c r="A187" t="s">
        <v>3580</v>
      </c>
      <c r="B187" t="s">
        <v>2494</v>
      </c>
      <c r="C187" t="s">
        <v>2248</v>
      </c>
      <c r="D187" t="s">
        <v>2471</v>
      </c>
      <c r="E187">
        <f t="shared" si="6"/>
        <v>49.585250000000002</v>
      </c>
      <c r="H187">
        <v>67.16</v>
      </c>
      <c r="I187">
        <f t="shared" si="7"/>
        <v>49.585250000000002</v>
      </c>
      <c r="J187" t="str">
        <f t="shared" si="8"/>
        <v>Our Cost</v>
      </c>
      <c r="K187" t="s">
        <v>3395</v>
      </c>
    </row>
    <row r="188" spans="1:11">
      <c r="A188" t="s">
        <v>3581</v>
      </c>
      <c r="B188" t="s">
        <v>2495</v>
      </c>
      <c r="C188" t="s">
        <v>2248</v>
      </c>
      <c r="D188" t="s">
        <v>2330</v>
      </c>
      <c r="E188">
        <f t="shared" si="6"/>
        <v>7.4717500000000001</v>
      </c>
      <c r="I188">
        <f t="shared" si="7"/>
        <v>7.4717500000000001</v>
      </c>
      <c r="J188" t="str">
        <f t="shared" si="8"/>
        <v>Our Cost</v>
      </c>
    </row>
    <row r="189" spans="1:11">
      <c r="A189" t="s">
        <v>3582</v>
      </c>
      <c r="B189" t="s">
        <v>2496</v>
      </c>
      <c r="C189" t="s">
        <v>2248</v>
      </c>
      <c r="D189" t="s">
        <v>2330</v>
      </c>
      <c r="E189">
        <f t="shared" si="6"/>
        <v>7.4717500000000001</v>
      </c>
      <c r="I189">
        <f t="shared" si="7"/>
        <v>7.4717500000000001</v>
      </c>
      <c r="J189" t="str">
        <f t="shared" si="8"/>
        <v>Our Cost</v>
      </c>
    </row>
    <row r="190" spans="1:11">
      <c r="A190" t="s">
        <v>3583</v>
      </c>
      <c r="B190" t="s">
        <v>2497</v>
      </c>
      <c r="C190" t="s">
        <v>2248</v>
      </c>
      <c r="D190" t="s">
        <v>2440</v>
      </c>
      <c r="E190">
        <f t="shared" si="6"/>
        <v>6.7924999999999995</v>
      </c>
      <c r="I190">
        <f t="shared" si="7"/>
        <v>6.7924999999999995</v>
      </c>
      <c r="J190" t="str">
        <f t="shared" si="8"/>
        <v>Our Cost</v>
      </c>
    </row>
    <row r="191" spans="1:11">
      <c r="A191" t="s">
        <v>3584</v>
      </c>
      <c r="B191" t="s">
        <v>2498</v>
      </c>
      <c r="C191" t="s">
        <v>2248</v>
      </c>
      <c r="D191" t="s">
        <v>2456</v>
      </c>
      <c r="E191">
        <f t="shared" si="6"/>
        <v>8.1509999999999998</v>
      </c>
      <c r="I191">
        <f t="shared" si="7"/>
        <v>8.1509999999999998</v>
      </c>
      <c r="J191" t="str">
        <f t="shared" si="8"/>
        <v>Our Cost</v>
      </c>
    </row>
    <row r="192" spans="1:11">
      <c r="A192" t="s">
        <v>3585</v>
      </c>
      <c r="B192" t="s">
        <v>2499</v>
      </c>
      <c r="C192" t="s">
        <v>2248</v>
      </c>
      <c r="D192" t="s">
        <v>2456</v>
      </c>
      <c r="E192">
        <f t="shared" si="6"/>
        <v>8.1509999999999998</v>
      </c>
      <c r="I192">
        <f t="shared" si="7"/>
        <v>8.1509999999999998</v>
      </c>
      <c r="J192" t="str">
        <f t="shared" si="8"/>
        <v>Our Cost</v>
      </c>
    </row>
    <row r="193" spans="1:11">
      <c r="A193" t="s">
        <v>3586</v>
      </c>
      <c r="B193" t="s">
        <v>2500</v>
      </c>
      <c r="C193" t="s">
        <v>2248</v>
      </c>
      <c r="D193" t="s">
        <v>2501</v>
      </c>
      <c r="E193">
        <f t="shared" si="6"/>
        <v>35.321000000000005</v>
      </c>
      <c r="I193">
        <f t="shared" si="7"/>
        <v>35.321000000000005</v>
      </c>
      <c r="J193" t="str">
        <f t="shared" si="8"/>
        <v>Our Cost</v>
      </c>
    </row>
    <row r="194" spans="1:11">
      <c r="A194" t="s">
        <v>2165</v>
      </c>
      <c r="B194" t="s">
        <v>2166</v>
      </c>
      <c r="C194" t="s">
        <v>2160</v>
      </c>
      <c r="D194" t="s">
        <v>2502</v>
      </c>
      <c r="E194">
        <f t="shared" si="6"/>
        <v>275.09625</v>
      </c>
      <c r="I194">
        <f t="shared" si="7"/>
        <v>275.09625</v>
      </c>
      <c r="J194" t="str">
        <f t="shared" si="8"/>
        <v>Our Cost</v>
      </c>
      <c r="K194" t="s">
        <v>3395</v>
      </c>
    </row>
    <row r="195" spans="1:11">
      <c r="A195" t="s">
        <v>3587</v>
      </c>
      <c r="B195" t="s">
        <v>2503</v>
      </c>
      <c r="C195" t="s">
        <v>2248</v>
      </c>
      <c r="D195" t="s">
        <v>2502</v>
      </c>
      <c r="E195">
        <f t="shared" ref="E195:E258" si="9">+D195*0.65*1.045</f>
        <v>275.09625</v>
      </c>
      <c r="H195">
        <v>232.88</v>
      </c>
      <c r="I195">
        <f t="shared" ref="I195:I258" si="10">+MIN(E195:H195)</f>
        <v>232.88</v>
      </c>
      <c r="J195" t="str">
        <f t="shared" ref="J195:J258" si="11">+_xlfn.SINGLE(_xlfn.XLOOKUP(I195,E195:H195,$E$1:$H$1))</f>
        <v>DC</v>
      </c>
      <c r="K195" t="s">
        <v>3395</v>
      </c>
    </row>
    <row r="196" spans="1:11">
      <c r="A196" t="s">
        <v>3588</v>
      </c>
      <c r="B196" t="s">
        <v>2504</v>
      </c>
      <c r="C196" t="s">
        <v>2248</v>
      </c>
      <c r="D196" t="s">
        <v>2505</v>
      </c>
      <c r="E196">
        <f t="shared" si="9"/>
        <v>162.34074999999999</v>
      </c>
      <c r="H196">
        <v>219.88</v>
      </c>
      <c r="I196">
        <f t="shared" si="10"/>
        <v>162.34074999999999</v>
      </c>
      <c r="J196" t="str">
        <f t="shared" si="11"/>
        <v>Our Cost</v>
      </c>
      <c r="K196" t="s">
        <v>3395</v>
      </c>
    </row>
    <row r="197" spans="1:11">
      <c r="A197" t="s">
        <v>3589</v>
      </c>
      <c r="B197" t="s">
        <v>2506</v>
      </c>
      <c r="C197" t="s">
        <v>2248</v>
      </c>
      <c r="D197" t="s">
        <v>2507</v>
      </c>
      <c r="E197">
        <f t="shared" si="9"/>
        <v>243.17150000000001</v>
      </c>
      <c r="G197">
        <v>228.65</v>
      </c>
      <c r="H197">
        <v>329.36</v>
      </c>
      <c r="I197">
        <f t="shared" si="10"/>
        <v>228.65</v>
      </c>
      <c r="J197" t="str">
        <f t="shared" si="11"/>
        <v>Addison</v>
      </c>
      <c r="K197" t="s">
        <v>3394</v>
      </c>
    </row>
    <row r="198" spans="1:11">
      <c r="A198" t="s">
        <v>3590</v>
      </c>
      <c r="B198" t="s">
        <v>2508</v>
      </c>
      <c r="C198" t="s">
        <v>2248</v>
      </c>
      <c r="D198" t="s">
        <v>2507</v>
      </c>
      <c r="E198">
        <f t="shared" si="9"/>
        <v>243.17150000000001</v>
      </c>
      <c r="G198">
        <v>228.65</v>
      </c>
      <c r="H198">
        <v>329.36</v>
      </c>
      <c r="I198">
        <f t="shared" si="10"/>
        <v>228.65</v>
      </c>
      <c r="J198" t="str">
        <f t="shared" si="11"/>
        <v>Addison</v>
      </c>
      <c r="K198" t="s">
        <v>3394</v>
      </c>
    </row>
    <row r="199" spans="1:11">
      <c r="A199" t="s">
        <v>3591</v>
      </c>
      <c r="B199" t="s">
        <v>2509</v>
      </c>
      <c r="C199" t="s">
        <v>2248</v>
      </c>
      <c r="D199" t="s">
        <v>2445</v>
      </c>
      <c r="E199">
        <f t="shared" si="9"/>
        <v>33.283250000000002</v>
      </c>
      <c r="H199">
        <v>45.08</v>
      </c>
      <c r="I199">
        <f t="shared" si="10"/>
        <v>33.283250000000002</v>
      </c>
      <c r="J199" t="str">
        <f t="shared" si="11"/>
        <v>Our Cost</v>
      </c>
      <c r="K199" t="s">
        <v>3394</v>
      </c>
    </row>
    <row r="200" spans="1:11">
      <c r="A200" t="s">
        <v>3592</v>
      </c>
      <c r="B200" t="s">
        <v>2510</v>
      </c>
      <c r="C200" t="s">
        <v>2248</v>
      </c>
      <c r="D200" t="s">
        <v>2511</v>
      </c>
      <c r="E200">
        <f t="shared" si="9"/>
        <v>33.962499999999999</v>
      </c>
      <c r="I200">
        <f t="shared" si="10"/>
        <v>33.962499999999999</v>
      </c>
      <c r="J200" t="str">
        <f t="shared" si="11"/>
        <v>Our Cost</v>
      </c>
      <c r="K200" t="s">
        <v>3395</v>
      </c>
    </row>
    <row r="201" spans="1:11">
      <c r="A201" t="s">
        <v>3593</v>
      </c>
      <c r="B201" t="s">
        <v>2512</v>
      </c>
      <c r="C201" t="s">
        <v>2248</v>
      </c>
      <c r="D201" t="s">
        <v>2511</v>
      </c>
      <c r="E201">
        <f t="shared" si="9"/>
        <v>33.962499999999999</v>
      </c>
      <c r="H201">
        <v>43.15</v>
      </c>
      <c r="I201">
        <f t="shared" si="10"/>
        <v>33.962499999999999</v>
      </c>
      <c r="J201" t="str">
        <f t="shared" si="11"/>
        <v>Our Cost</v>
      </c>
      <c r="K201" t="s">
        <v>3395</v>
      </c>
    </row>
    <row r="202" spans="1:11">
      <c r="A202" t="s">
        <v>3594</v>
      </c>
      <c r="B202" t="s">
        <v>2513</v>
      </c>
      <c r="C202" t="s">
        <v>2248</v>
      </c>
      <c r="D202" t="s">
        <v>2514</v>
      </c>
      <c r="E202">
        <f t="shared" si="9"/>
        <v>44.151249999999997</v>
      </c>
      <c r="I202">
        <f t="shared" si="10"/>
        <v>44.151249999999997</v>
      </c>
      <c r="J202" t="str">
        <f t="shared" si="11"/>
        <v>Our Cost</v>
      </c>
      <c r="K202" t="s">
        <v>3395</v>
      </c>
    </row>
    <row r="203" spans="1:11">
      <c r="A203" t="s">
        <v>3595</v>
      </c>
      <c r="B203" t="s">
        <v>2515</v>
      </c>
      <c r="C203" t="s">
        <v>2248</v>
      </c>
      <c r="D203" t="s">
        <v>2516</v>
      </c>
      <c r="E203">
        <f t="shared" si="9"/>
        <v>55.019249999999992</v>
      </c>
      <c r="H203">
        <v>74.52</v>
      </c>
      <c r="I203">
        <f t="shared" si="10"/>
        <v>55.019249999999992</v>
      </c>
      <c r="J203" t="str">
        <f t="shared" si="11"/>
        <v>Our Cost</v>
      </c>
      <c r="K203" t="s">
        <v>3395</v>
      </c>
    </row>
    <row r="204" spans="1:11">
      <c r="A204" t="s">
        <v>3596</v>
      </c>
      <c r="B204" t="s">
        <v>2517</v>
      </c>
      <c r="C204" t="s">
        <v>2248</v>
      </c>
      <c r="D204" t="s">
        <v>2333</v>
      </c>
      <c r="E204">
        <f t="shared" si="9"/>
        <v>4.0754999999999999</v>
      </c>
      <c r="H204">
        <v>5.52</v>
      </c>
      <c r="I204">
        <f t="shared" si="10"/>
        <v>4.0754999999999999</v>
      </c>
      <c r="J204" t="str">
        <f t="shared" si="11"/>
        <v>Our Cost</v>
      </c>
      <c r="K204" t="s">
        <v>3395</v>
      </c>
    </row>
    <row r="205" spans="1:11">
      <c r="A205" t="s">
        <v>3597</v>
      </c>
      <c r="B205" t="s">
        <v>2518</v>
      </c>
      <c r="C205" t="s">
        <v>2248</v>
      </c>
      <c r="D205" t="s">
        <v>2251</v>
      </c>
      <c r="E205">
        <f t="shared" si="9"/>
        <v>53.66075</v>
      </c>
      <c r="I205">
        <f t="shared" si="10"/>
        <v>53.66075</v>
      </c>
      <c r="J205" t="str">
        <f t="shared" si="11"/>
        <v>Our Cost</v>
      </c>
    </row>
    <row r="206" spans="1:11">
      <c r="A206" t="s">
        <v>3598</v>
      </c>
      <c r="B206" t="s">
        <v>2519</v>
      </c>
      <c r="C206" t="s">
        <v>2248</v>
      </c>
      <c r="D206" t="s">
        <v>2520</v>
      </c>
      <c r="E206">
        <f t="shared" si="9"/>
        <v>29.207749999999997</v>
      </c>
      <c r="I206">
        <f t="shared" si="10"/>
        <v>29.207749999999997</v>
      </c>
      <c r="J206" t="str">
        <f t="shared" si="11"/>
        <v>Our Cost</v>
      </c>
    </row>
    <row r="207" spans="1:11">
      <c r="A207" t="s">
        <v>3599</v>
      </c>
      <c r="B207" t="s">
        <v>2521</v>
      </c>
      <c r="C207" t="s">
        <v>2248</v>
      </c>
      <c r="D207" t="s">
        <v>2520</v>
      </c>
      <c r="E207">
        <f t="shared" si="9"/>
        <v>29.207749999999997</v>
      </c>
      <c r="I207">
        <f t="shared" si="10"/>
        <v>29.207749999999997</v>
      </c>
      <c r="J207" t="str">
        <f t="shared" si="11"/>
        <v>Our Cost</v>
      </c>
    </row>
    <row r="208" spans="1:11">
      <c r="A208" t="s">
        <v>3600</v>
      </c>
      <c r="B208" t="s">
        <v>2522</v>
      </c>
      <c r="C208" t="s">
        <v>2248</v>
      </c>
      <c r="D208" t="s">
        <v>2477</v>
      </c>
      <c r="E208">
        <f t="shared" si="9"/>
        <v>52.302250000000001</v>
      </c>
      <c r="I208">
        <f t="shared" si="10"/>
        <v>52.302250000000001</v>
      </c>
      <c r="J208" t="str">
        <f t="shared" si="11"/>
        <v>Our Cost</v>
      </c>
    </row>
    <row r="209" spans="1:11">
      <c r="A209" t="s">
        <v>3601</v>
      </c>
      <c r="B209" t="s">
        <v>2523</v>
      </c>
      <c r="C209" t="s">
        <v>2248</v>
      </c>
      <c r="D209" t="s">
        <v>2524</v>
      </c>
      <c r="E209">
        <f t="shared" si="9"/>
        <v>91.69874999999999</v>
      </c>
      <c r="G209">
        <v>113.9</v>
      </c>
      <c r="I209">
        <f t="shared" si="10"/>
        <v>91.69874999999999</v>
      </c>
      <c r="J209" t="str">
        <f t="shared" si="11"/>
        <v>Our Cost</v>
      </c>
    </row>
    <row r="210" spans="1:11">
      <c r="A210" t="s">
        <v>3602</v>
      </c>
      <c r="B210" t="s">
        <v>2525</v>
      </c>
      <c r="C210" t="s">
        <v>2248</v>
      </c>
      <c r="D210" t="s">
        <v>2461</v>
      </c>
      <c r="E210">
        <f t="shared" si="9"/>
        <v>13.584999999999999</v>
      </c>
      <c r="H210">
        <v>17.11</v>
      </c>
      <c r="I210">
        <f t="shared" si="10"/>
        <v>13.584999999999999</v>
      </c>
      <c r="J210" t="str">
        <f t="shared" si="11"/>
        <v>Our Cost</v>
      </c>
      <c r="K210" t="s">
        <v>3395</v>
      </c>
    </row>
    <row r="211" spans="1:11">
      <c r="A211" t="s">
        <v>3603</v>
      </c>
      <c r="B211" t="s">
        <v>2526</v>
      </c>
      <c r="C211" t="s">
        <v>2248</v>
      </c>
      <c r="D211" t="s">
        <v>2527</v>
      </c>
      <c r="E211">
        <f t="shared" si="9"/>
        <v>47.547499999999999</v>
      </c>
      <c r="G211">
        <v>48.45</v>
      </c>
      <c r="I211">
        <f t="shared" si="10"/>
        <v>47.547499999999999</v>
      </c>
      <c r="J211" t="str">
        <f t="shared" si="11"/>
        <v>Our Cost</v>
      </c>
    </row>
    <row r="212" spans="1:11">
      <c r="A212" t="s">
        <v>3604</v>
      </c>
      <c r="B212" t="s">
        <v>2528</v>
      </c>
      <c r="C212" t="s">
        <v>2248</v>
      </c>
      <c r="D212" t="s">
        <v>2529</v>
      </c>
      <c r="E212">
        <f t="shared" si="9"/>
        <v>342.34199999999998</v>
      </c>
      <c r="H212">
        <v>463.68</v>
      </c>
      <c r="I212">
        <f t="shared" si="10"/>
        <v>342.34199999999998</v>
      </c>
      <c r="J212" t="str">
        <f t="shared" si="11"/>
        <v>Our Cost</v>
      </c>
    </row>
    <row r="213" spans="1:11">
      <c r="A213" t="s">
        <v>3605</v>
      </c>
      <c r="B213" t="s">
        <v>2530</v>
      </c>
      <c r="C213" t="s">
        <v>2248</v>
      </c>
      <c r="D213" t="s">
        <v>2531</v>
      </c>
      <c r="E213">
        <f t="shared" si="9"/>
        <v>350.49299999999999</v>
      </c>
      <c r="H213">
        <v>474.72</v>
      </c>
      <c r="I213">
        <f t="shared" si="10"/>
        <v>350.49299999999999</v>
      </c>
      <c r="J213" t="str">
        <f t="shared" si="11"/>
        <v>Our Cost</v>
      </c>
    </row>
    <row r="214" spans="1:11">
      <c r="A214" t="s">
        <v>3606</v>
      </c>
      <c r="B214" t="s">
        <v>2532</v>
      </c>
      <c r="C214" t="s">
        <v>2248</v>
      </c>
      <c r="D214" t="s">
        <v>2256</v>
      </c>
      <c r="E214">
        <f t="shared" si="9"/>
        <v>67.245750000000001</v>
      </c>
      <c r="I214">
        <f t="shared" si="10"/>
        <v>67.245750000000001</v>
      </c>
      <c r="J214" t="str">
        <f t="shared" si="11"/>
        <v>Our Cost</v>
      </c>
    </row>
    <row r="215" spans="1:11">
      <c r="A215" t="s">
        <v>3607</v>
      </c>
      <c r="B215" t="s">
        <v>2532</v>
      </c>
      <c r="C215" t="s">
        <v>2248</v>
      </c>
      <c r="D215" t="s">
        <v>2256</v>
      </c>
      <c r="E215">
        <f t="shared" si="9"/>
        <v>67.245750000000001</v>
      </c>
      <c r="I215">
        <f t="shared" si="10"/>
        <v>67.245750000000001</v>
      </c>
      <c r="J215" t="str">
        <f t="shared" si="11"/>
        <v>Our Cost</v>
      </c>
    </row>
    <row r="216" spans="1:11">
      <c r="A216" t="s">
        <v>3608</v>
      </c>
      <c r="B216" t="s">
        <v>2533</v>
      </c>
      <c r="C216" t="s">
        <v>2248</v>
      </c>
      <c r="D216" t="s">
        <v>2277</v>
      </c>
      <c r="E216">
        <f t="shared" si="9"/>
        <v>11.54725</v>
      </c>
      <c r="I216">
        <f t="shared" si="10"/>
        <v>11.54725</v>
      </c>
      <c r="J216" t="str">
        <f t="shared" si="11"/>
        <v>Our Cost</v>
      </c>
    </row>
    <row r="217" spans="1:11">
      <c r="A217" t="s">
        <v>3609</v>
      </c>
      <c r="B217" t="s">
        <v>2534</v>
      </c>
      <c r="C217" t="s">
        <v>2248</v>
      </c>
      <c r="D217" t="s">
        <v>2535</v>
      </c>
      <c r="E217">
        <f t="shared" si="9"/>
        <v>82.868499999999997</v>
      </c>
      <c r="H217">
        <v>112.24</v>
      </c>
      <c r="I217">
        <f t="shared" si="10"/>
        <v>82.868499999999997</v>
      </c>
      <c r="J217" t="str">
        <f t="shared" si="11"/>
        <v>Our Cost</v>
      </c>
    </row>
    <row r="218" spans="1:11">
      <c r="A218" t="s">
        <v>3610</v>
      </c>
      <c r="B218" t="s">
        <v>2536</v>
      </c>
      <c r="C218" t="s">
        <v>2248</v>
      </c>
      <c r="D218" t="s">
        <v>2537</v>
      </c>
      <c r="E218">
        <f t="shared" si="9"/>
        <v>19.698250000000002</v>
      </c>
      <c r="I218">
        <f t="shared" si="10"/>
        <v>19.698250000000002</v>
      </c>
      <c r="J218" t="str">
        <f t="shared" si="11"/>
        <v>Our Cost</v>
      </c>
    </row>
    <row r="219" spans="1:11">
      <c r="A219" t="s">
        <v>3611</v>
      </c>
      <c r="B219" t="s">
        <v>2538</v>
      </c>
      <c r="C219" t="s">
        <v>2248</v>
      </c>
      <c r="D219" t="s">
        <v>2433</v>
      </c>
      <c r="E219">
        <f t="shared" si="9"/>
        <v>339.625</v>
      </c>
      <c r="G219">
        <v>332.35</v>
      </c>
      <c r="I219">
        <f t="shared" si="10"/>
        <v>332.35</v>
      </c>
      <c r="J219" t="str">
        <f t="shared" si="11"/>
        <v>Addison</v>
      </c>
    </row>
    <row r="220" spans="1:11">
      <c r="A220" t="s">
        <v>3612</v>
      </c>
      <c r="B220" t="s">
        <v>2539</v>
      </c>
      <c r="C220" t="s">
        <v>2248</v>
      </c>
      <c r="D220" t="s">
        <v>2540</v>
      </c>
      <c r="E220">
        <f t="shared" si="9"/>
        <v>137.88775000000001</v>
      </c>
      <c r="G220">
        <v>134.30000000000001</v>
      </c>
      <c r="H220">
        <v>186.76</v>
      </c>
      <c r="I220">
        <f t="shared" si="10"/>
        <v>134.30000000000001</v>
      </c>
      <c r="J220" t="str">
        <f t="shared" si="11"/>
        <v>Addison</v>
      </c>
      <c r="K220" t="s">
        <v>3395</v>
      </c>
    </row>
    <row r="221" spans="1:11">
      <c r="A221" t="s">
        <v>3613</v>
      </c>
      <c r="B221" t="s">
        <v>2541</v>
      </c>
      <c r="C221" t="s">
        <v>2248</v>
      </c>
      <c r="D221" t="s">
        <v>2542</v>
      </c>
      <c r="E221">
        <f t="shared" si="9"/>
        <v>232.30349999999999</v>
      </c>
      <c r="G221">
        <v>227.8</v>
      </c>
      <c r="I221">
        <f t="shared" si="10"/>
        <v>227.8</v>
      </c>
      <c r="J221" t="str">
        <f t="shared" si="11"/>
        <v>Addison</v>
      </c>
    </row>
    <row r="222" spans="1:11">
      <c r="A222" t="s">
        <v>3614</v>
      </c>
      <c r="B222" t="s">
        <v>2543</v>
      </c>
      <c r="C222" t="s">
        <v>2248</v>
      </c>
      <c r="D222" t="s">
        <v>2542</v>
      </c>
      <c r="E222">
        <f t="shared" si="9"/>
        <v>232.30349999999999</v>
      </c>
      <c r="G222">
        <v>227.8</v>
      </c>
      <c r="I222">
        <f t="shared" si="10"/>
        <v>227.8</v>
      </c>
      <c r="J222" t="str">
        <f t="shared" si="11"/>
        <v>Addison</v>
      </c>
    </row>
    <row r="223" spans="1:11">
      <c r="A223" t="s">
        <v>3615</v>
      </c>
      <c r="B223" t="s">
        <v>2544</v>
      </c>
      <c r="C223" t="s">
        <v>2248</v>
      </c>
      <c r="D223" t="s">
        <v>2545</v>
      </c>
      <c r="E223">
        <f t="shared" si="9"/>
        <v>370.87049999999999</v>
      </c>
      <c r="I223">
        <f t="shared" si="10"/>
        <v>370.87049999999999</v>
      </c>
      <c r="J223" t="str">
        <f t="shared" si="11"/>
        <v>Our Cost</v>
      </c>
    </row>
    <row r="224" spans="1:11">
      <c r="A224" t="s">
        <v>3616</v>
      </c>
      <c r="B224" t="s">
        <v>2546</v>
      </c>
      <c r="C224" t="s">
        <v>2248</v>
      </c>
      <c r="D224" t="s">
        <v>2279</v>
      </c>
      <c r="E224">
        <f t="shared" si="9"/>
        <v>31.2455</v>
      </c>
      <c r="I224">
        <f t="shared" si="10"/>
        <v>31.2455</v>
      </c>
      <c r="J224" t="str">
        <f t="shared" si="11"/>
        <v>Our Cost</v>
      </c>
    </row>
    <row r="225" spans="1:10">
      <c r="A225" t="s">
        <v>3617</v>
      </c>
      <c r="B225" t="s">
        <v>2547</v>
      </c>
      <c r="C225" t="s">
        <v>2248</v>
      </c>
      <c r="D225" t="s">
        <v>2548</v>
      </c>
      <c r="E225">
        <f t="shared" si="9"/>
        <v>1732.0874999999999</v>
      </c>
      <c r="I225">
        <f t="shared" si="10"/>
        <v>1732.0874999999999</v>
      </c>
      <c r="J225" t="str">
        <f t="shared" si="11"/>
        <v>Our Cost</v>
      </c>
    </row>
    <row r="226" spans="1:10">
      <c r="A226" t="s">
        <v>3618</v>
      </c>
      <c r="B226" t="s">
        <v>2549</v>
      </c>
      <c r="C226" t="s">
        <v>2248</v>
      </c>
      <c r="D226" t="s">
        <v>2550</v>
      </c>
      <c r="E226">
        <f t="shared" si="9"/>
        <v>1784.3897499999998</v>
      </c>
      <c r="I226">
        <f t="shared" si="10"/>
        <v>1784.3897499999998</v>
      </c>
      <c r="J226" t="str">
        <f t="shared" si="11"/>
        <v>Our Cost</v>
      </c>
    </row>
    <row r="227" spans="1:10">
      <c r="A227" t="s">
        <v>3619</v>
      </c>
      <c r="B227" t="s">
        <v>2551</v>
      </c>
      <c r="C227" t="s">
        <v>2248</v>
      </c>
      <c r="D227" t="s">
        <v>2552</v>
      </c>
      <c r="E227">
        <f t="shared" si="9"/>
        <v>794.04324999999994</v>
      </c>
      <c r="I227">
        <f t="shared" si="10"/>
        <v>794.04324999999994</v>
      </c>
      <c r="J227" t="str">
        <f t="shared" si="11"/>
        <v>Our Cost</v>
      </c>
    </row>
    <row r="228" spans="1:10">
      <c r="A228" t="s">
        <v>3620</v>
      </c>
      <c r="B228" t="s">
        <v>2553</v>
      </c>
      <c r="C228" t="s">
        <v>2248</v>
      </c>
      <c r="D228" t="s">
        <v>2554</v>
      </c>
      <c r="E228">
        <f t="shared" si="9"/>
        <v>3817.3849999999998</v>
      </c>
      <c r="I228">
        <f t="shared" si="10"/>
        <v>3817.3849999999998</v>
      </c>
      <c r="J228" t="str">
        <f t="shared" si="11"/>
        <v>Our Cost</v>
      </c>
    </row>
    <row r="229" spans="1:10">
      <c r="A229" t="s">
        <v>3621</v>
      </c>
      <c r="B229" t="s">
        <v>2555</v>
      </c>
      <c r="C229" t="s">
        <v>2248</v>
      </c>
      <c r="D229" t="s">
        <v>2501</v>
      </c>
      <c r="E229">
        <f t="shared" si="9"/>
        <v>35.321000000000005</v>
      </c>
      <c r="I229">
        <f t="shared" si="10"/>
        <v>35.321000000000005</v>
      </c>
      <c r="J229" t="str">
        <f t="shared" si="11"/>
        <v>Our Cost</v>
      </c>
    </row>
    <row r="230" spans="1:10">
      <c r="A230" t="s">
        <v>3622</v>
      </c>
      <c r="B230" t="s">
        <v>2556</v>
      </c>
      <c r="C230" t="s">
        <v>2248</v>
      </c>
      <c r="D230" t="s">
        <v>2557</v>
      </c>
      <c r="E230">
        <f t="shared" si="9"/>
        <v>40.075749999999999</v>
      </c>
      <c r="I230">
        <f t="shared" si="10"/>
        <v>40.075749999999999</v>
      </c>
      <c r="J230" t="str">
        <f t="shared" si="11"/>
        <v>Our Cost</v>
      </c>
    </row>
    <row r="231" spans="1:10">
      <c r="A231" t="s">
        <v>3623</v>
      </c>
      <c r="B231" t="s">
        <v>2558</v>
      </c>
      <c r="C231" t="s">
        <v>2248</v>
      </c>
      <c r="D231" t="s">
        <v>2559</v>
      </c>
      <c r="E231">
        <f t="shared" si="9"/>
        <v>16.302</v>
      </c>
      <c r="I231">
        <f t="shared" si="10"/>
        <v>16.302</v>
      </c>
      <c r="J231" t="str">
        <f t="shared" si="11"/>
        <v>Our Cost</v>
      </c>
    </row>
    <row r="232" spans="1:10">
      <c r="A232" t="s">
        <v>3624</v>
      </c>
      <c r="B232" t="s">
        <v>2560</v>
      </c>
      <c r="C232" t="s">
        <v>2248</v>
      </c>
      <c r="D232" t="s">
        <v>2493</v>
      </c>
      <c r="E232">
        <f t="shared" si="9"/>
        <v>14.264249999999999</v>
      </c>
      <c r="I232">
        <f t="shared" si="10"/>
        <v>14.264249999999999</v>
      </c>
      <c r="J232" t="str">
        <f t="shared" si="11"/>
        <v>Our Cost</v>
      </c>
    </row>
    <row r="233" spans="1:10">
      <c r="A233" t="s">
        <v>3625</v>
      </c>
      <c r="B233" t="s">
        <v>2561</v>
      </c>
      <c r="C233" t="s">
        <v>2248</v>
      </c>
      <c r="D233" t="s">
        <v>2562</v>
      </c>
      <c r="E233">
        <f t="shared" si="9"/>
        <v>21.736000000000001</v>
      </c>
      <c r="I233">
        <f t="shared" si="10"/>
        <v>21.736000000000001</v>
      </c>
      <c r="J233" t="str">
        <f t="shared" si="11"/>
        <v>Our Cost</v>
      </c>
    </row>
    <row r="234" spans="1:10">
      <c r="A234" t="s">
        <v>3626</v>
      </c>
      <c r="B234" t="s">
        <v>2563</v>
      </c>
      <c r="C234" t="s">
        <v>2248</v>
      </c>
      <c r="D234" t="s">
        <v>2520</v>
      </c>
      <c r="E234">
        <f t="shared" si="9"/>
        <v>29.207749999999997</v>
      </c>
      <c r="I234">
        <f t="shared" si="10"/>
        <v>29.207749999999997</v>
      </c>
      <c r="J234" t="str">
        <f t="shared" si="11"/>
        <v>Our Cost</v>
      </c>
    </row>
    <row r="235" spans="1:10">
      <c r="A235" t="s">
        <v>3627</v>
      </c>
      <c r="B235" t="s">
        <v>2564</v>
      </c>
      <c r="C235" t="s">
        <v>2248</v>
      </c>
      <c r="D235" t="s">
        <v>2535</v>
      </c>
      <c r="E235">
        <f t="shared" si="9"/>
        <v>82.868499999999997</v>
      </c>
      <c r="G235">
        <v>80.75</v>
      </c>
      <c r="I235">
        <f t="shared" si="10"/>
        <v>80.75</v>
      </c>
      <c r="J235" t="str">
        <f t="shared" si="11"/>
        <v>Addison</v>
      </c>
    </row>
    <row r="236" spans="1:10">
      <c r="A236" t="s">
        <v>3628</v>
      </c>
      <c r="B236" t="s">
        <v>2565</v>
      </c>
      <c r="C236" t="s">
        <v>2248</v>
      </c>
      <c r="D236" t="s">
        <v>2566</v>
      </c>
      <c r="E236">
        <f t="shared" si="9"/>
        <v>36.679499999999997</v>
      </c>
      <c r="G236">
        <v>36.549999999999997</v>
      </c>
      <c r="I236">
        <f t="shared" si="10"/>
        <v>36.549999999999997</v>
      </c>
      <c r="J236" t="str">
        <f t="shared" si="11"/>
        <v>Addison</v>
      </c>
    </row>
    <row r="237" spans="1:10">
      <c r="A237" t="s">
        <v>3629</v>
      </c>
      <c r="B237" t="s">
        <v>2567</v>
      </c>
      <c r="C237" t="s">
        <v>2568</v>
      </c>
      <c r="D237" t="s">
        <v>2569</v>
      </c>
      <c r="E237">
        <f t="shared" si="9"/>
        <v>102.56675</v>
      </c>
      <c r="H237">
        <v>138.91999999999999</v>
      </c>
      <c r="I237">
        <f t="shared" si="10"/>
        <v>102.56675</v>
      </c>
      <c r="J237" t="str">
        <f t="shared" si="11"/>
        <v>Our Cost</v>
      </c>
    </row>
    <row r="238" spans="1:10">
      <c r="A238" t="s">
        <v>3630</v>
      </c>
      <c r="B238" t="s">
        <v>2570</v>
      </c>
      <c r="C238" t="s">
        <v>2248</v>
      </c>
      <c r="D238" t="s">
        <v>2303</v>
      </c>
      <c r="E238">
        <f t="shared" si="9"/>
        <v>28.528499999999998</v>
      </c>
      <c r="H238">
        <v>24.15</v>
      </c>
      <c r="I238">
        <f t="shared" si="10"/>
        <v>24.15</v>
      </c>
      <c r="J238" t="str">
        <f t="shared" si="11"/>
        <v>DC</v>
      </c>
    </row>
    <row r="239" spans="1:10">
      <c r="A239" t="s">
        <v>3631</v>
      </c>
      <c r="B239" t="s">
        <v>2571</v>
      </c>
      <c r="C239" t="s">
        <v>2248</v>
      </c>
      <c r="D239" t="s">
        <v>2469</v>
      </c>
      <c r="E239">
        <f t="shared" si="9"/>
        <v>17.660500000000003</v>
      </c>
      <c r="I239">
        <f t="shared" si="10"/>
        <v>17.660500000000003</v>
      </c>
      <c r="J239" t="str">
        <f t="shared" si="11"/>
        <v>Our Cost</v>
      </c>
    </row>
    <row r="240" spans="1:10">
      <c r="A240" t="s">
        <v>3632</v>
      </c>
      <c r="B240" t="s">
        <v>2572</v>
      </c>
      <c r="C240" t="s">
        <v>2248</v>
      </c>
      <c r="D240" t="s">
        <v>2573</v>
      </c>
      <c r="E240">
        <f t="shared" si="9"/>
        <v>229.5865</v>
      </c>
      <c r="H240">
        <v>310.95999999999998</v>
      </c>
      <c r="I240">
        <f t="shared" si="10"/>
        <v>229.5865</v>
      </c>
      <c r="J240" t="str">
        <f t="shared" si="11"/>
        <v>Our Cost</v>
      </c>
    </row>
    <row r="241" spans="1:11">
      <c r="A241" t="s">
        <v>3633</v>
      </c>
      <c r="B241" t="s">
        <v>2574</v>
      </c>
      <c r="C241" t="s">
        <v>2248</v>
      </c>
      <c r="D241" t="s">
        <v>2314</v>
      </c>
      <c r="E241">
        <f t="shared" si="9"/>
        <v>1.3585</v>
      </c>
      <c r="I241">
        <f t="shared" si="10"/>
        <v>1.3585</v>
      </c>
      <c r="J241" t="str">
        <f t="shared" si="11"/>
        <v>Our Cost</v>
      </c>
    </row>
    <row r="242" spans="1:11">
      <c r="A242" t="s">
        <v>2167</v>
      </c>
      <c r="B242" t="s">
        <v>2168</v>
      </c>
      <c r="C242" t="s">
        <v>2160</v>
      </c>
      <c r="D242" t="s">
        <v>2256</v>
      </c>
      <c r="E242">
        <f t="shared" si="9"/>
        <v>67.245750000000001</v>
      </c>
      <c r="I242">
        <f t="shared" si="10"/>
        <v>67.245750000000001</v>
      </c>
      <c r="J242" t="str">
        <f t="shared" si="11"/>
        <v>Our Cost</v>
      </c>
    </row>
    <row r="243" spans="1:11">
      <c r="A243" t="s">
        <v>3634</v>
      </c>
      <c r="B243" t="s">
        <v>2575</v>
      </c>
      <c r="C243" t="s">
        <v>2248</v>
      </c>
      <c r="D243" t="s">
        <v>2576</v>
      </c>
      <c r="E243">
        <f t="shared" si="9"/>
        <v>211.92599999999999</v>
      </c>
      <c r="H243">
        <v>287.04000000000002</v>
      </c>
      <c r="I243">
        <f t="shared" si="10"/>
        <v>211.92599999999999</v>
      </c>
      <c r="J243" t="str">
        <f t="shared" si="11"/>
        <v>Our Cost</v>
      </c>
    </row>
    <row r="244" spans="1:11">
      <c r="A244" t="s">
        <v>3635</v>
      </c>
      <c r="B244" t="s">
        <v>2577</v>
      </c>
      <c r="C244" t="s">
        <v>2248</v>
      </c>
      <c r="D244" t="s">
        <v>2578</v>
      </c>
      <c r="E244">
        <f t="shared" si="9"/>
        <v>261.51124999999996</v>
      </c>
      <c r="G244">
        <v>284.75</v>
      </c>
      <c r="H244">
        <v>354.2</v>
      </c>
      <c r="I244">
        <f t="shared" si="10"/>
        <v>261.51124999999996</v>
      </c>
      <c r="J244" t="str">
        <f t="shared" si="11"/>
        <v>Our Cost</v>
      </c>
      <c r="K244" t="s">
        <v>3394</v>
      </c>
    </row>
    <row r="245" spans="1:11">
      <c r="A245" t="s">
        <v>3636</v>
      </c>
      <c r="B245" t="s">
        <v>2579</v>
      </c>
      <c r="C245" t="s">
        <v>2248</v>
      </c>
      <c r="D245" t="s">
        <v>2580</v>
      </c>
      <c r="E245">
        <f t="shared" si="9"/>
        <v>254.71874999999997</v>
      </c>
      <c r="G245">
        <v>275.39999999999998</v>
      </c>
      <c r="H245">
        <v>345</v>
      </c>
      <c r="I245">
        <f t="shared" si="10"/>
        <v>254.71874999999997</v>
      </c>
      <c r="J245" t="str">
        <f t="shared" si="11"/>
        <v>Our Cost</v>
      </c>
      <c r="K245" t="s">
        <v>3394</v>
      </c>
    </row>
    <row r="246" spans="1:11">
      <c r="A246" t="s">
        <v>3637</v>
      </c>
      <c r="B246" t="s">
        <v>2581</v>
      </c>
      <c r="C246" t="s">
        <v>2248</v>
      </c>
      <c r="D246" t="s">
        <v>2582</v>
      </c>
      <c r="E246">
        <f t="shared" si="9"/>
        <v>138.56699999999998</v>
      </c>
      <c r="G246">
        <v>151.30000000000001</v>
      </c>
      <c r="H246">
        <v>187.68</v>
      </c>
      <c r="I246">
        <f t="shared" si="10"/>
        <v>138.56699999999998</v>
      </c>
      <c r="J246" t="str">
        <f t="shared" si="11"/>
        <v>Our Cost</v>
      </c>
      <c r="K246" t="s">
        <v>3394</v>
      </c>
    </row>
    <row r="247" spans="1:11">
      <c r="A247" t="s">
        <v>3638</v>
      </c>
      <c r="B247" t="s">
        <v>2583</v>
      </c>
      <c r="C247" t="s">
        <v>2248</v>
      </c>
      <c r="D247" t="s">
        <v>2400</v>
      </c>
      <c r="E247">
        <f t="shared" si="9"/>
        <v>24.452999999999999</v>
      </c>
      <c r="G247">
        <v>69.7</v>
      </c>
      <c r="H247">
        <v>57.42</v>
      </c>
      <c r="I247">
        <f t="shared" si="10"/>
        <v>24.452999999999999</v>
      </c>
      <c r="J247" t="str">
        <f t="shared" si="11"/>
        <v>Our Cost</v>
      </c>
      <c r="K247" t="s">
        <v>3394</v>
      </c>
    </row>
    <row r="248" spans="1:11">
      <c r="A248" t="s">
        <v>3639</v>
      </c>
      <c r="B248" t="s">
        <v>2584</v>
      </c>
      <c r="C248" t="s">
        <v>2248</v>
      </c>
      <c r="D248" t="s">
        <v>2400</v>
      </c>
      <c r="E248">
        <f t="shared" si="9"/>
        <v>24.452999999999999</v>
      </c>
      <c r="G248">
        <v>69.7</v>
      </c>
      <c r="H248">
        <v>57.42</v>
      </c>
      <c r="I248">
        <f t="shared" si="10"/>
        <v>24.452999999999999</v>
      </c>
      <c r="J248" t="str">
        <f t="shared" si="11"/>
        <v>Our Cost</v>
      </c>
      <c r="K248" t="s">
        <v>3394</v>
      </c>
    </row>
    <row r="249" spans="1:11">
      <c r="A249" t="s">
        <v>3640</v>
      </c>
      <c r="B249" t="s">
        <v>2585</v>
      </c>
      <c r="C249" t="s">
        <v>2248</v>
      </c>
      <c r="D249" t="s">
        <v>2586</v>
      </c>
      <c r="E249">
        <f t="shared" si="9"/>
        <v>46.189</v>
      </c>
      <c r="H249">
        <v>62.56</v>
      </c>
      <c r="I249">
        <f t="shared" si="10"/>
        <v>46.189</v>
      </c>
      <c r="J249" t="str">
        <f t="shared" si="11"/>
        <v>Our Cost</v>
      </c>
    </row>
    <row r="250" spans="1:11">
      <c r="A250" t="s">
        <v>3641</v>
      </c>
      <c r="B250" t="s">
        <v>2587</v>
      </c>
      <c r="C250" t="s">
        <v>2248</v>
      </c>
      <c r="D250" t="s">
        <v>2588</v>
      </c>
      <c r="E250">
        <f t="shared" si="9"/>
        <v>25.811499999999999</v>
      </c>
      <c r="I250">
        <f t="shared" si="10"/>
        <v>25.811499999999999</v>
      </c>
      <c r="J250" t="str">
        <f t="shared" si="11"/>
        <v>Our Cost</v>
      </c>
      <c r="K250" t="s">
        <v>3395</v>
      </c>
    </row>
    <row r="251" spans="1:11">
      <c r="A251" t="s">
        <v>3642</v>
      </c>
      <c r="B251" t="s">
        <v>2589</v>
      </c>
      <c r="C251" t="s">
        <v>2248</v>
      </c>
      <c r="D251" t="s">
        <v>2590</v>
      </c>
      <c r="E251">
        <f t="shared" si="9"/>
        <v>156.22749999999999</v>
      </c>
      <c r="H251">
        <v>211.6</v>
      </c>
      <c r="I251">
        <f t="shared" si="10"/>
        <v>156.22749999999999</v>
      </c>
      <c r="J251" t="str">
        <f t="shared" si="11"/>
        <v>Our Cost</v>
      </c>
    </row>
    <row r="252" spans="1:11">
      <c r="A252" t="s">
        <v>3643</v>
      </c>
      <c r="B252" t="s">
        <v>2591</v>
      </c>
      <c r="C252" t="s">
        <v>2248</v>
      </c>
      <c r="D252" t="s">
        <v>2592</v>
      </c>
      <c r="E252">
        <f t="shared" si="9"/>
        <v>239.096</v>
      </c>
      <c r="G252">
        <v>260.95</v>
      </c>
      <c r="H252">
        <v>202.4</v>
      </c>
      <c r="I252">
        <f t="shared" si="10"/>
        <v>202.4</v>
      </c>
      <c r="J252" t="str">
        <f t="shared" si="11"/>
        <v>DC</v>
      </c>
      <c r="K252" t="s">
        <v>3394</v>
      </c>
    </row>
    <row r="253" spans="1:11">
      <c r="A253" t="s">
        <v>3644</v>
      </c>
      <c r="B253" t="s">
        <v>2593</v>
      </c>
      <c r="C253" t="s">
        <v>2248</v>
      </c>
      <c r="D253" t="s">
        <v>2594</v>
      </c>
      <c r="E253">
        <f t="shared" si="9"/>
        <v>52.981499999999997</v>
      </c>
      <c r="H253">
        <v>167.44</v>
      </c>
      <c r="I253">
        <f t="shared" si="10"/>
        <v>52.981499999999997</v>
      </c>
      <c r="J253" t="str">
        <f t="shared" si="11"/>
        <v>Our Cost</v>
      </c>
    </row>
    <row r="254" spans="1:11">
      <c r="A254" t="s">
        <v>3645</v>
      </c>
      <c r="B254" t="s">
        <v>2595</v>
      </c>
      <c r="C254" t="s">
        <v>2248</v>
      </c>
      <c r="D254" t="s">
        <v>2594</v>
      </c>
      <c r="E254">
        <f t="shared" si="9"/>
        <v>52.981499999999997</v>
      </c>
      <c r="H254">
        <v>167.44</v>
      </c>
      <c r="I254">
        <f t="shared" si="10"/>
        <v>52.981499999999997</v>
      </c>
      <c r="J254" t="str">
        <f t="shared" si="11"/>
        <v>Our Cost</v>
      </c>
    </row>
    <row r="255" spans="1:11">
      <c r="A255" t="s">
        <v>3646</v>
      </c>
      <c r="B255" t="s">
        <v>2596</v>
      </c>
      <c r="C255" t="s">
        <v>2248</v>
      </c>
      <c r="D255" t="s">
        <v>2316</v>
      </c>
      <c r="E255">
        <f t="shared" si="9"/>
        <v>73.358999999999995</v>
      </c>
      <c r="G255">
        <v>79.900000000000006</v>
      </c>
      <c r="H255">
        <v>99.36</v>
      </c>
      <c r="I255">
        <f t="shared" si="10"/>
        <v>73.358999999999995</v>
      </c>
      <c r="J255" t="str">
        <f t="shared" si="11"/>
        <v>Our Cost</v>
      </c>
    </row>
    <row r="256" spans="1:11">
      <c r="A256" t="s">
        <v>3647</v>
      </c>
      <c r="B256" t="s">
        <v>2597</v>
      </c>
      <c r="C256" t="s">
        <v>2248</v>
      </c>
      <c r="D256" t="s">
        <v>2316</v>
      </c>
      <c r="E256">
        <f t="shared" si="9"/>
        <v>73.358999999999995</v>
      </c>
      <c r="G256">
        <v>79.900000000000006</v>
      </c>
      <c r="H256">
        <v>99.36</v>
      </c>
      <c r="I256">
        <f t="shared" si="10"/>
        <v>73.358999999999995</v>
      </c>
      <c r="J256" t="str">
        <f t="shared" si="11"/>
        <v>Our Cost</v>
      </c>
    </row>
    <row r="257" spans="1:11">
      <c r="A257" t="s">
        <v>3648</v>
      </c>
      <c r="B257" t="s">
        <v>2598</v>
      </c>
      <c r="C257" t="s">
        <v>2248</v>
      </c>
      <c r="D257" t="s">
        <v>2516</v>
      </c>
      <c r="E257">
        <f t="shared" si="9"/>
        <v>55.019249999999992</v>
      </c>
      <c r="I257">
        <f t="shared" si="10"/>
        <v>55.019249999999992</v>
      </c>
      <c r="J257" t="str">
        <f t="shared" si="11"/>
        <v>Our Cost</v>
      </c>
    </row>
    <row r="258" spans="1:11">
      <c r="A258" t="s">
        <v>3649</v>
      </c>
      <c r="B258" t="s">
        <v>2599</v>
      </c>
      <c r="C258" t="s">
        <v>2248</v>
      </c>
      <c r="D258" t="s">
        <v>2600</v>
      </c>
      <c r="E258">
        <f t="shared" si="9"/>
        <v>285.96424999999999</v>
      </c>
      <c r="H258">
        <v>387.32</v>
      </c>
      <c r="I258">
        <f t="shared" si="10"/>
        <v>285.96424999999999</v>
      </c>
      <c r="J258" t="str">
        <f t="shared" si="11"/>
        <v>Our Cost</v>
      </c>
    </row>
    <row r="259" spans="1:11">
      <c r="A259" t="s">
        <v>3650</v>
      </c>
      <c r="B259" t="s">
        <v>2601</v>
      </c>
      <c r="C259" t="s">
        <v>2248</v>
      </c>
      <c r="D259" t="s">
        <v>2602</v>
      </c>
      <c r="E259">
        <f t="shared" ref="E259:E322" si="12">+D259*0.65*1.045</f>
        <v>330.1155</v>
      </c>
      <c r="H259">
        <v>447.12</v>
      </c>
      <c r="I259">
        <f t="shared" ref="I259:I322" si="13">+MIN(E259:H259)</f>
        <v>330.1155</v>
      </c>
      <c r="J259" t="str">
        <f t="shared" ref="J259:J322" si="14">+_xlfn.SINGLE(_xlfn.XLOOKUP(I259,E259:H259,$E$1:$H$1))</f>
        <v>Our Cost</v>
      </c>
    </row>
    <row r="260" spans="1:11">
      <c r="A260" t="s">
        <v>3651</v>
      </c>
      <c r="B260" t="s">
        <v>2603</v>
      </c>
      <c r="C260" t="s">
        <v>2248</v>
      </c>
      <c r="D260" t="s">
        <v>2493</v>
      </c>
      <c r="E260">
        <f t="shared" si="12"/>
        <v>14.264249999999999</v>
      </c>
      <c r="H260">
        <v>19.32</v>
      </c>
      <c r="I260">
        <f t="shared" si="13"/>
        <v>14.264249999999999</v>
      </c>
      <c r="J260" t="str">
        <f t="shared" si="14"/>
        <v>Our Cost</v>
      </c>
      <c r="K260" t="s">
        <v>3394</v>
      </c>
    </row>
    <row r="261" spans="1:11">
      <c r="A261" t="s">
        <v>3652</v>
      </c>
      <c r="B261" t="s">
        <v>2604</v>
      </c>
      <c r="C261" t="s">
        <v>2248</v>
      </c>
      <c r="D261" t="s">
        <v>2605</v>
      </c>
      <c r="E261">
        <f t="shared" si="12"/>
        <v>194.2655</v>
      </c>
      <c r="I261">
        <f t="shared" si="13"/>
        <v>194.2655</v>
      </c>
      <c r="J261" t="str">
        <f t="shared" si="14"/>
        <v>Our Cost</v>
      </c>
      <c r="K261" t="s">
        <v>3395</v>
      </c>
    </row>
    <row r="262" spans="1:11">
      <c r="A262" t="s">
        <v>3653</v>
      </c>
      <c r="B262" t="s">
        <v>2606</v>
      </c>
      <c r="C262" t="s">
        <v>2248</v>
      </c>
      <c r="D262" t="s">
        <v>2605</v>
      </c>
      <c r="E262">
        <f t="shared" si="12"/>
        <v>194.2655</v>
      </c>
      <c r="H262">
        <v>263.12</v>
      </c>
      <c r="I262">
        <f t="shared" si="13"/>
        <v>194.2655</v>
      </c>
      <c r="J262" t="str">
        <f t="shared" si="14"/>
        <v>Our Cost</v>
      </c>
      <c r="K262" t="s">
        <v>3394</v>
      </c>
    </row>
    <row r="263" spans="1:11">
      <c r="A263" t="s">
        <v>3654</v>
      </c>
      <c r="B263" t="s">
        <v>2607</v>
      </c>
      <c r="C263" t="s">
        <v>2248</v>
      </c>
      <c r="D263" t="s">
        <v>2605</v>
      </c>
      <c r="E263">
        <f t="shared" si="12"/>
        <v>194.2655</v>
      </c>
      <c r="H263">
        <v>263.12</v>
      </c>
      <c r="I263">
        <f t="shared" si="13"/>
        <v>194.2655</v>
      </c>
      <c r="J263" t="str">
        <f t="shared" si="14"/>
        <v>Our Cost</v>
      </c>
      <c r="K263" t="s">
        <v>3395</v>
      </c>
    </row>
    <row r="264" spans="1:11">
      <c r="A264" t="s">
        <v>3655</v>
      </c>
      <c r="B264" t="s">
        <v>2608</v>
      </c>
      <c r="C264" t="s">
        <v>2248</v>
      </c>
      <c r="D264" t="s">
        <v>2605</v>
      </c>
      <c r="E264">
        <f t="shared" si="12"/>
        <v>194.2655</v>
      </c>
      <c r="H264">
        <v>248.31</v>
      </c>
      <c r="I264">
        <f t="shared" si="13"/>
        <v>194.2655</v>
      </c>
      <c r="J264" t="str">
        <f t="shared" si="14"/>
        <v>Our Cost</v>
      </c>
      <c r="K264" t="s">
        <v>3395</v>
      </c>
    </row>
    <row r="265" spans="1:11">
      <c r="A265" t="s">
        <v>3656</v>
      </c>
      <c r="B265" t="s">
        <v>2609</v>
      </c>
      <c r="C265" t="s">
        <v>2248</v>
      </c>
      <c r="D265" t="s">
        <v>2524</v>
      </c>
      <c r="E265">
        <f t="shared" si="12"/>
        <v>91.69874999999999</v>
      </c>
      <c r="H265">
        <v>124.2</v>
      </c>
      <c r="I265">
        <f t="shared" si="13"/>
        <v>91.69874999999999</v>
      </c>
      <c r="J265" t="str">
        <f t="shared" si="14"/>
        <v>Our Cost</v>
      </c>
      <c r="K265" t="s">
        <v>3395</v>
      </c>
    </row>
    <row r="266" spans="1:11">
      <c r="A266" t="s">
        <v>3657</v>
      </c>
      <c r="B266" t="s">
        <v>2610</v>
      </c>
      <c r="C266" t="s">
        <v>2248</v>
      </c>
      <c r="D266" t="s">
        <v>2611</v>
      </c>
      <c r="E266">
        <f t="shared" si="12"/>
        <v>262.86975000000001</v>
      </c>
      <c r="G266">
        <v>250.75</v>
      </c>
      <c r="H266">
        <v>227.13</v>
      </c>
      <c r="I266">
        <f t="shared" si="13"/>
        <v>227.13</v>
      </c>
      <c r="J266" t="str">
        <f t="shared" si="14"/>
        <v>DC</v>
      </c>
    </row>
    <row r="267" spans="1:11">
      <c r="A267" t="s">
        <v>3658</v>
      </c>
      <c r="B267" t="s">
        <v>2612</v>
      </c>
      <c r="C267" t="s">
        <v>2248</v>
      </c>
      <c r="D267" t="s">
        <v>2613</v>
      </c>
      <c r="E267">
        <f t="shared" si="12"/>
        <v>268.30374999999998</v>
      </c>
      <c r="I267">
        <f t="shared" si="13"/>
        <v>268.30374999999998</v>
      </c>
      <c r="J267" t="str">
        <f t="shared" si="14"/>
        <v>Our Cost</v>
      </c>
    </row>
    <row r="268" spans="1:11">
      <c r="A268" t="s">
        <v>3659</v>
      </c>
      <c r="B268" t="s">
        <v>2614</v>
      </c>
      <c r="C268" t="s">
        <v>2248</v>
      </c>
      <c r="D268" t="s">
        <v>2613</v>
      </c>
      <c r="E268">
        <f t="shared" si="12"/>
        <v>268.30374999999998</v>
      </c>
      <c r="I268">
        <f t="shared" si="13"/>
        <v>268.30374999999998</v>
      </c>
      <c r="J268" t="str">
        <f t="shared" si="14"/>
        <v>Our Cost</v>
      </c>
    </row>
    <row r="269" spans="1:11">
      <c r="A269" t="s">
        <v>3660</v>
      </c>
      <c r="B269" t="s">
        <v>2615</v>
      </c>
      <c r="C269" t="s">
        <v>2248</v>
      </c>
      <c r="D269" t="s">
        <v>2516</v>
      </c>
      <c r="E269">
        <f t="shared" si="12"/>
        <v>55.019249999999992</v>
      </c>
      <c r="G269">
        <v>55.25</v>
      </c>
      <c r="H269">
        <v>80.52</v>
      </c>
      <c r="I269">
        <f t="shared" si="13"/>
        <v>55.019249999999992</v>
      </c>
      <c r="J269" t="str">
        <f t="shared" si="14"/>
        <v>Our Cost</v>
      </c>
      <c r="K269" t="s">
        <v>3395</v>
      </c>
    </row>
    <row r="270" spans="1:11">
      <c r="A270" t="s">
        <v>3661</v>
      </c>
      <c r="B270" t="s">
        <v>2616</v>
      </c>
      <c r="C270" t="s">
        <v>2248</v>
      </c>
      <c r="D270" t="s">
        <v>2617</v>
      </c>
      <c r="E270">
        <f t="shared" si="12"/>
        <v>63.849499999999999</v>
      </c>
      <c r="G270">
        <v>90</v>
      </c>
      <c r="H270">
        <v>86.48</v>
      </c>
      <c r="I270">
        <f t="shared" si="13"/>
        <v>63.849499999999999</v>
      </c>
      <c r="J270" t="str">
        <f t="shared" si="14"/>
        <v>Our Cost</v>
      </c>
    </row>
    <row r="271" spans="1:11">
      <c r="A271" t="s">
        <v>3662</v>
      </c>
      <c r="B271" t="s">
        <v>2618</v>
      </c>
      <c r="C271" t="s">
        <v>2248</v>
      </c>
      <c r="D271" t="s">
        <v>2619</v>
      </c>
      <c r="E271">
        <f t="shared" si="12"/>
        <v>10.188749999999999</v>
      </c>
      <c r="I271">
        <f t="shared" si="13"/>
        <v>10.188749999999999</v>
      </c>
      <c r="J271" t="str">
        <f t="shared" si="14"/>
        <v>Our Cost</v>
      </c>
    </row>
    <row r="272" spans="1:11">
      <c r="A272" t="s">
        <v>3663</v>
      </c>
      <c r="B272" t="s">
        <v>2620</v>
      </c>
      <c r="C272" t="s">
        <v>2248</v>
      </c>
      <c r="D272" t="s">
        <v>2621</v>
      </c>
      <c r="E272">
        <f t="shared" si="12"/>
        <v>645.28749999999991</v>
      </c>
      <c r="G272">
        <v>797.3</v>
      </c>
      <c r="H272">
        <v>874</v>
      </c>
      <c r="I272">
        <f t="shared" si="13"/>
        <v>645.28749999999991</v>
      </c>
      <c r="J272" t="str">
        <f t="shared" si="14"/>
        <v>Our Cost</v>
      </c>
      <c r="K272" t="s">
        <v>3394</v>
      </c>
    </row>
    <row r="273" spans="1:11">
      <c r="A273" t="s">
        <v>3664</v>
      </c>
      <c r="B273" t="s">
        <v>2622</v>
      </c>
      <c r="C273" t="s">
        <v>2248</v>
      </c>
      <c r="D273" t="s">
        <v>2621</v>
      </c>
      <c r="E273">
        <f t="shared" si="12"/>
        <v>645.28749999999991</v>
      </c>
      <c r="H273">
        <v>874</v>
      </c>
      <c r="I273">
        <f t="shared" si="13"/>
        <v>645.28749999999991</v>
      </c>
      <c r="J273" t="str">
        <f t="shared" si="14"/>
        <v>Our Cost</v>
      </c>
      <c r="K273" t="s">
        <v>3395</v>
      </c>
    </row>
    <row r="274" spans="1:11">
      <c r="A274" t="s">
        <v>3665</v>
      </c>
      <c r="B274" t="s">
        <v>2623</v>
      </c>
      <c r="C274" t="s">
        <v>2248</v>
      </c>
      <c r="D274" t="s">
        <v>2562</v>
      </c>
      <c r="E274">
        <f t="shared" si="12"/>
        <v>21.736000000000001</v>
      </c>
      <c r="I274">
        <f t="shared" si="13"/>
        <v>21.736000000000001</v>
      </c>
      <c r="J274" t="str">
        <f t="shared" si="14"/>
        <v>Our Cost</v>
      </c>
    </row>
    <row r="275" spans="1:11">
      <c r="A275" t="s">
        <v>3666</v>
      </c>
      <c r="B275" t="s">
        <v>2624</v>
      </c>
      <c r="C275" t="s">
        <v>2248</v>
      </c>
      <c r="D275" t="s">
        <v>2625</v>
      </c>
      <c r="E275">
        <f t="shared" si="12"/>
        <v>404.15374999999995</v>
      </c>
      <c r="G275">
        <v>539</v>
      </c>
      <c r="I275">
        <f t="shared" si="13"/>
        <v>404.15374999999995</v>
      </c>
      <c r="J275" t="str">
        <f t="shared" si="14"/>
        <v>Our Cost</v>
      </c>
      <c r="K275" t="s">
        <v>3394</v>
      </c>
    </row>
    <row r="276" spans="1:11">
      <c r="A276" t="s">
        <v>3667</v>
      </c>
      <c r="B276" t="s">
        <v>2626</v>
      </c>
      <c r="C276" t="s">
        <v>2248</v>
      </c>
      <c r="D276" t="s">
        <v>2627</v>
      </c>
      <c r="E276">
        <f t="shared" si="12"/>
        <v>1829.2202499999999</v>
      </c>
      <c r="H276">
        <v>2477.56</v>
      </c>
      <c r="I276">
        <f t="shared" si="13"/>
        <v>1829.2202499999999</v>
      </c>
      <c r="J276" t="str">
        <f t="shared" si="14"/>
        <v>Our Cost</v>
      </c>
      <c r="K276" t="s">
        <v>3394</v>
      </c>
    </row>
    <row r="277" spans="1:11">
      <c r="A277" t="s">
        <v>3668</v>
      </c>
      <c r="B277" t="s">
        <v>2628</v>
      </c>
      <c r="C277" t="s">
        <v>2248</v>
      </c>
      <c r="D277" t="s">
        <v>2629</v>
      </c>
      <c r="E277">
        <f t="shared" si="12"/>
        <v>199.02025</v>
      </c>
      <c r="I277">
        <f t="shared" si="13"/>
        <v>199.02025</v>
      </c>
      <c r="J277" t="str">
        <f t="shared" si="14"/>
        <v>Our Cost</v>
      </c>
    </row>
    <row r="278" spans="1:11">
      <c r="A278" t="s">
        <v>3669</v>
      </c>
      <c r="B278" t="s">
        <v>2630</v>
      </c>
      <c r="C278" t="s">
        <v>2248</v>
      </c>
      <c r="D278" t="s">
        <v>2629</v>
      </c>
      <c r="E278">
        <f t="shared" si="12"/>
        <v>199.02025</v>
      </c>
      <c r="I278">
        <f t="shared" si="13"/>
        <v>199.02025</v>
      </c>
      <c r="J278" t="str">
        <f t="shared" si="14"/>
        <v>Our Cost</v>
      </c>
    </row>
    <row r="279" spans="1:11">
      <c r="A279" t="s">
        <v>3670</v>
      </c>
      <c r="B279" t="s">
        <v>2631</v>
      </c>
      <c r="C279" t="s">
        <v>2248</v>
      </c>
      <c r="D279" t="s">
        <v>2632</v>
      </c>
      <c r="E279">
        <f t="shared" si="12"/>
        <v>128.37825000000001</v>
      </c>
      <c r="I279">
        <f t="shared" si="13"/>
        <v>128.37825000000001</v>
      </c>
      <c r="J279" t="str">
        <f t="shared" si="14"/>
        <v>Our Cost</v>
      </c>
    </row>
    <row r="280" spans="1:11">
      <c r="A280" t="s">
        <v>3671</v>
      </c>
      <c r="B280" t="s">
        <v>2633</v>
      </c>
      <c r="C280" t="s">
        <v>2248</v>
      </c>
      <c r="D280" t="s">
        <v>2477</v>
      </c>
      <c r="E280">
        <f t="shared" si="12"/>
        <v>52.302250000000001</v>
      </c>
      <c r="H280">
        <v>70.84</v>
      </c>
      <c r="I280">
        <f t="shared" si="13"/>
        <v>52.302250000000001</v>
      </c>
      <c r="J280" t="str">
        <f t="shared" si="14"/>
        <v>Our Cost</v>
      </c>
    </row>
    <row r="281" spans="1:11">
      <c r="A281" t="s">
        <v>3672</v>
      </c>
      <c r="B281" t="s">
        <v>2634</v>
      </c>
      <c r="C281" t="s">
        <v>2248</v>
      </c>
      <c r="D281" t="s">
        <v>2635</v>
      </c>
      <c r="E281">
        <f t="shared" si="12"/>
        <v>59.774000000000001</v>
      </c>
      <c r="I281">
        <f t="shared" si="13"/>
        <v>59.774000000000001</v>
      </c>
      <c r="J281" t="str">
        <f t="shared" si="14"/>
        <v>Our Cost</v>
      </c>
    </row>
    <row r="282" spans="1:11">
      <c r="A282" t="s">
        <v>3673</v>
      </c>
      <c r="B282" t="s">
        <v>2636</v>
      </c>
      <c r="C282" t="s">
        <v>2248</v>
      </c>
      <c r="D282" t="s">
        <v>2256</v>
      </c>
      <c r="E282">
        <f t="shared" si="12"/>
        <v>67.245750000000001</v>
      </c>
      <c r="I282">
        <f t="shared" si="13"/>
        <v>67.245750000000001</v>
      </c>
      <c r="J282" t="str">
        <f t="shared" si="14"/>
        <v>Our Cost</v>
      </c>
    </row>
    <row r="283" spans="1:11">
      <c r="A283" t="s">
        <v>3674</v>
      </c>
      <c r="B283" t="s">
        <v>2637</v>
      </c>
      <c r="C283" t="s">
        <v>2248</v>
      </c>
      <c r="D283" t="s">
        <v>2294</v>
      </c>
      <c r="E283">
        <f t="shared" si="12"/>
        <v>76.755250000000004</v>
      </c>
      <c r="I283">
        <f t="shared" si="13"/>
        <v>76.755250000000004</v>
      </c>
      <c r="J283" t="str">
        <f t="shared" si="14"/>
        <v>Our Cost</v>
      </c>
    </row>
    <row r="284" spans="1:11">
      <c r="A284" t="s">
        <v>3675</v>
      </c>
      <c r="B284" t="s">
        <v>2638</v>
      </c>
      <c r="C284" t="s">
        <v>2248</v>
      </c>
      <c r="D284" t="s">
        <v>2266</v>
      </c>
      <c r="E284">
        <f t="shared" si="12"/>
        <v>145.3595</v>
      </c>
      <c r="H284">
        <v>196.88</v>
      </c>
      <c r="I284">
        <f t="shared" si="13"/>
        <v>145.3595</v>
      </c>
      <c r="J284" t="str">
        <f t="shared" si="14"/>
        <v>Our Cost</v>
      </c>
    </row>
    <row r="285" spans="1:11">
      <c r="A285" t="s">
        <v>3676</v>
      </c>
      <c r="B285" t="s">
        <v>2639</v>
      </c>
      <c r="C285" t="s">
        <v>2248</v>
      </c>
      <c r="D285" t="s">
        <v>2440</v>
      </c>
      <c r="E285">
        <f t="shared" si="12"/>
        <v>6.7924999999999995</v>
      </c>
      <c r="I285">
        <f t="shared" si="13"/>
        <v>6.7924999999999995</v>
      </c>
      <c r="J285" t="str">
        <f t="shared" si="14"/>
        <v>Our Cost</v>
      </c>
    </row>
    <row r="286" spans="1:11">
      <c r="A286" t="s">
        <v>3677</v>
      </c>
      <c r="B286" t="s">
        <v>2640</v>
      </c>
      <c r="C286" t="s">
        <v>2248</v>
      </c>
      <c r="D286" t="s">
        <v>2641</v>
      </c>
      <c r="E286">
        <f t="shared" si="12"/>
        <v>495.85249999999996</v>
      </c>
      <c r="I286">
        <f t="shared" si="13"/>
        <v>495.85249999999996</v>
      </c>
      <c r="J286" t="str">
        <f t="shared" si="14"/>
        <v>Our Cost</v>
      </c>
    </row>
    <row r="287" spans="1:11">
      <c r="A287" t="s">
        <v>3678</v>
      </c>
      <c r="B287" t="s">
        <v>2642</v>
      </c>
      <c r="C287" t="s">
        <v>2248</v>
      </c>
      <c r="D287" t="s">
        <v>2641</v>
      </c>
      <c r="E287">
        <f t="shared" si="12"/>
        <v>495.85249999999996</v>
      </c>
      <c r="I287">
        <f t="shared" si="13"/>
        <v>495.85249999999996</v>
      </c>
      <c r="J287" t="str">
        <f t="shared" si="14"/>
        <v>Our Cost</v>
      </c>
    </row>
    <row r="288" spans="1:11">
      <c r="A288" t="s">
        <v>3679</v>
      </c>
      <c r="B288" t="s">
        <v>2643</v>
      </c>
      <c r="C288" t="s">
        <v>2248</v>
      </c>
      <c r="D288" t="s">
        <v>2644</v>
      </c>
      <c r="E288">
        <f t="shared" si="12"/>
        <v>559.702</v>
      </c>
      <c r="H288">
        <v>947.6</v>
      </c>
      <c r="I288">
        <f t="shared" si="13"/>
        <v>559.702</v>
      </c>
      <c r="J288" t="str">
        <f t="shared" si="14"/>
        <v>Our Cost</v>
      </c>
    </row>
    <row r="289" spans="1:11">
      <c r="A289" t="s">
        <v>3680</v>
      </c>
      <c r="B289" t="s">
        <v>2645</v>
      </c>
      <c r="C289" t="s">
        <v>2248</v>
      </c>
      <c r="D289" t="s">
        <v>2477</v>
      </c>
      <c r="E289">
        <f t="shared" si="12"/>
        <v>52.302250000000001</v>
      </c>
      <c r="I289">
        <f t="shared" si="13"/>
        <v>52.302250000000001</v>
      </c>
      <c r="J289" t="str">
        <f t="shared" si="14"/>
        <v>Our Cost</v>
      </c>
    </row>
    <row r="290" spans="1:11">
      <c r="A290" t="s">
        <v>2169</v>
      </c>
      <c r="B290" t="s">
        <v>2170</v>
      </c>
      <c r="C290" t="s">
        <v>2248</v>
      </c>
      <c r="D290" t="s">
        <v>2646</v>
      </c>
      <c r="E290">
        <f t="shared" si="12"/>
        <v>636.45725000000004</v>
      </c>
      <c r="H290">
        <v>862.04</v>
      </c>
      <c r="I290">
        <f t="shared" si="13"/>
        <v>636.45725000000004</v>
      </c>
      <c r="J290" t="str">
        <f t="shared" si="14"/>
        <v>Our Cost</v>
      </c>
    </row>
    <row r="291" spans="1:11">
      <c r="A291" t="s">
        <v>3681</v>
      </c>
      <c r="B291" t="s">
        <v>2647</v>
      </c>
      <c r="C291" t="s">
        <v>2248</v>
      </c>
      <c r="D291" t="s">
        <v>2648</v>
      </c>
      <c r="E291">
        <f t="shared" si="12"/>
        <v>413.66325000000001</v>
      </c>
      <c r="G291">
        <v>433.5</v>
      </c>
      <c r="H291">
        <v>560.28</v>
      </c>
      <c r="I291">
        <f t="shared" si="13"/>
        <v>413.66325000000001</v>
      </c>
      <c r="J291" t="str">
        <f t="shared" si="14"/>
        <v>Our Cost</v>
      </c>
      <c r="K291" t="s">
        <v>3394</v>
      </c>
    </row>
    <row r="292" spans="1:11">
      <c r="A292" t="s">
        <v>3682</v>
      </c>
      <c r="B292" t="s">
        <v>2649</v>
      </c>
      <c r="C292" t="s">
        <v>2248</v>
      </c>
      <c r="D292" t="s">
        <v>2650</v>
      </c>
      <c r="E292">
        <f t="shared" si="12"/>
        <v>270.3415</v>
      </c>
      <c r="I292">
        <f t="shared" si="13"/>
        <v>270.3415</v>
      </c>
      <c r="J292" t="str">
        <f t="shared" si="14"/>
        <v>Our Cost</v>
      </c>
    </row>
    <row r="293" spans="1:11">
      <c r="A293" t="s">
        <v>3683</v>
      </c>
      <c r="B293" t="s">
        <v>2651</v>
      </c>
      <c r="C293" t="s">
        <v>2248</v>
      </c>
      <c r="D293" t="s">
        <v>2264</v>
      </c>
      <c r="E293">
        <f t="shared" si="12"/>
        <v>117.51025</v>
      </c>
      <c r="I293">
        <f t="shared" si="13"/>
        <v>117.51025</v>
      </c>
      <c r="J293" t="str">
        <f t="shared" si="14"/>
        <v>Our Cost</v>
      </c>
    </row>
    <row r="294" spans="1:11">
      <c r="A294" t="s">
        <v>3684</v>
      </c>
      <c r="B294" t="s">
        <v>2652</v>
      </c>
      <c r="C294" t="s">
        <v>2248</v>
      </c>
      <c r="D294" t="s">
        <v>2264</v>
      </c>
      <c r="E294">
        <f t="shared" si="12"/>
        <v>117.51025</v>
      </c>
      <c r="I294">
        <f t="shared" si="13"/>
        <v>117.51025</v>
      </c>
      <c r="J294" t="str">
        <f t="shared" si="14"/>
        <v>Our Cost</v>
      </c>
    </row>
    <row r="295" spans="1:11">
      <c r="A295" t="s">
        <v>3685</v>
      </c>
      <c r="B295" t="s">
        <v>2653</v>
      </c>
      <c r="C295" t="s">
        <v>2248</v>
      </c>
      <c r="D295" t="s">
        <v>2264</v>
      </c>
      <c r="E295">
        <f t="shared" si="12"/>
        <v>117.51025</v>
      </c>
      <c r="I295">
        <f t="shared" si="13"/>
        <v>117.51025</v>
      </c>
      <c r="J295" t="str">
        <f t="shared" si="14"/>
        <v>Our Cost</v>
      </c>
    </row>
    <row r="296" spans="1:11">
      <c r="A296" t="s">
        <v>3686</v>
      </c>
      <c r="B296" t="s">
        <v>2654</v>
      </c>
      <c r="C296" t="s">
        <v>2248</v>
      </c>
      <c r="D296" t="s">
        <v>2264</v>
      </c>
      <c r="E296">
        <f t="shared" si="12"/>
        <v>117.51025</v>
      </c>
      <c r="I296">
        <f t="shared" si="13"/>
        <v>117.51025</v>
      </c>
      <c r="J296" t="str">
        <f t="shared" si="14"/>
        <v>Our Cost</v>
      </c>
    </row>
    <row r="297" spans="1:11">
      <c r="A297" t="s">
        <v>3687</v>
      </c>
      <c r="B297" t="s">
        <v>2655</v>
      </c>
      <c r="C297" t="s">
        <v>2248</v>
      </c>
      <c r="D297" t="s">
        <v>2656</v>
      </c>
      <c r="E297">
        <f t="shared" si="12"/>
        <v>4785.9955</v>
      </c>
      <c r="I297">
        <f t="shared" si="13"/>
        <v>4785.9955</v>
      </c>
      <c r="J297" t="str">
        <f t="shared" si="14"/>
        <v>Our Cost</v>
      </c>
    </row>
    <row r="298" spans="1:11">
      <c r="A298" t="s">
        <v>3688</v>
      </c>
      <c r="B298" t="s">
        <v>2657</v>
      </c>
      <c r="C298" t="s">
        <v>2248</v>
      </c>
      <c r="D298" t="s">
        <v>2559</v>
      </c>
      <c r="E298">
        <f t="shared" si="12"/>
        <v>16.302</v>
      </c>
      <c r="G298">
        <v>34</v>
      </c>
      <c r="H298">
        <v>22.08</v>
      </c>
      <c r="I298">
        <f t="shared" si="13"/>
        <v>16.302</v>
      </c>
      <c r="J298" t="str">
        <f t="shared" si="14"/>
        <v>Our Cost</v>
      </c>
      <c r="K298" t="s">
        <v>3394</v>
      </c>
    </row>
    <row r="299" spans="1:11">
      <c r="A299" t="s">
        <v>3689</v>
      </c>
      <c r="B299" t="s">
        <v>2658</v>
      </c>
      <c r="C299" t="s">
        <v>2248</v>
      </c>
      <c r="D299" t="s">
        <v>2350</v>
      </c>
      <c r="E299">
        <f t="shared" si="12"/>
        <v>14.9435</v>
      </c>
      <c r="G299">
        <v>34</v>
      </c>
      <c r="H299">
        <v>20.239999999999998</v>
      </c>
      <c r="I299">
        <f t="shared" si="13"/>
        <v>14.9435</v>
      </c>
      <c r="J299" t="str">
        <f t="shared" si="14"/>
        <v>Our Cost</v>
      </c>
      <c r="K299" t="s">
        <v>3395</v>
      </c>
    </row>
    <row r="300" spans="1:11">
      <c r="A300" t="s">
        <v>3690</v>
      </c>
      <c r="B300" t="s">
        <v>2659</v>
      </c>
      <c r="C300" t="s">
        <v>2248</v>
      </c>
      <c r="D300" t="s">
        <v>2660</v>
      </c>
      <c r="E300">
        <f t="shared" si="12"/>
        <v>31.92475</v>
      </c>
      <c r="H300">
        <v>43.24</v>
      </c>
      <c r="I300">
        <f t="shared" si="13"/>
        <v>31.92475</v>
      </c>
      <c r="J300" t="str">
        <f t="shared" si="14"/>
        <v>Our Cost</v>
      </c>
    </row>
    <row r="301" spans="1:11">
      <c r="A301" t="s">
        <v>3691</v>
      </c>
      <c r="B301" t="s">
        <v>2661</v>
      </c>
      <c r="C301" t="s">
        <v>2248</v>
      </c>
      <c r="D301" t="s">
        <v>2452</v>
      </c>
      <c r="E301">
        <f t="shared" si="12"/>
        <v>9.5094999999999992</v>
      </c>
      <c r="I301">
        <f t="shared" si="13"/>
        <v>9.5094999999999992</v>
      </c>
      <c r="J301" t="str">
        <f t="shared" si="14"/>
        <v>Our Cost</v>
      </c>
    </row>
    <row r="302" spans="1:11">
      <c r="A302" t="s">
        <v>3692</v>
      </c>
      <c r="B302" t="s">
        <v>2558</v>
      </c>
      <c r="C302" t="s">
        <v>2248</v>
      </c>
      <c r="D302" t="s">
        <v>2361</v>
      </c>
      <c r="E302">
        <f t="shared" si="12"/>
        <v>16.981249999999999</v>
      </c>
      <c r="I302">
        <f t="shared" si="13"/>
        <v>16.981249999999999</v>
      </c>
      <c r="J302" t="str">
        <f t="shared" si="14"/>
        <v>Our Cost</v>
      </c>
    </row>
    <row r="303" spans="1:11">
      <c r="A303" t="s">
        <v>3693</v>
      </c>
      <c r="B303" t="s">
        <v>2662</v>
      </c>
      <c r="C303" t="s">
        <v>2248</v>
      </c>
      <c r="D303" t="s">
        <v>2259</v>
      </c>
      <c r="E303">
        <f t="shared" si="12"/>
        <v>23.77375</v>
      </c>
      <c r="I303">
        <f t="shared" si="13"/>
        <v>23.77375</v>
      </c>
      <c r="J303" t="str">
        <f t="shared" si="14"/>
        <v>Our Cost</v>
      </c>
    </row>
    <row r="304" spans="1:11">
      <c r="A304" t="s">
        <v>3694</v>
      </c>
      <c r="B304" t="s">
        <v>2663</v>
      </c>
      <c r="C304" t="s">
        <v>2248</v>
      </c>
      <c r="D304" t="s">
        <v>2664</v>
      </c>
      <c r="E304">
        <f t="shared" si="12"/>
        <v>22.415249999999997</v>
      </c>
      <c r="H304">
        <v>18.98</v>
      </c>
      <c r="I304">
        <f t="shared" si="13"/>
        <v>18.98</v>
      </c>
      <c r="J304" t="str">
        <f t="shared" si="14"/>
        <v>DC</v>
      </c>
      <c r="K304" t="s">
        <v>3395</v>
      </c>
    </row>
    <row r="305" spans="1:11">
      <c r="A305" t="s">
        <v>3695</v>
      </c>
      <c r="B305" t="s">
        <v>2665</v>
      </c>
      <c r="C305" t="s">
        <v>2248</v>
      </c>
      <c r="D305" t="s">
        <v>2566</v>
      </c>
      <c r="E305">
        <f t="shared" si="12"/>
        <v>36.679499999999997</v>
      </c>
      <c r="I305">
        <f t="shared" si="13"/>
        <v>36.679499999999997</v>
      </c>
      <c r="J305" t="str">
        <f t="shared" si="14"/>
        <v>Our Cost</v>
      </c>
    </row>
    <row r="306" spans="1:11">
      <c r="A306" t="s">
        <v>3696</v>
      </c>
      <c r="B306" t="s">
        <v>2666</v>
      </c>
      <c r="C306" t="s">
        <v>2248</v>
      </c>
      <c r="D306" t="s">
        <v>2667</v>
      </c>
      <c r="E306">
        <f t="shared" si="12"/>
        <v>27.169999999999998</v>
      </c>
      <c r="I306">
        <f t="shared" si="13"/>
        <v>27.169999999999998</v>
      </c>
      <c r="J306" t="str">
        <f t="shared" si="14"/>
        <v>Our Cost</v>
      </c>
    </row>
    <row r="307" spans="1:11">
      <c r="A307" t="s">
        <v>3697</v>
      </c>
      <c r="B307" t="s">
        <v>2668</v>
      </c>
      <c r="C307" t="s">
        <v>2248</v>
      </c>
      <c r="D307" t="s">
        <v>2537</v>
      </c>
      <c r="E307">
        <f t="shared" si="12"/>
        <v>19.698250000000002</v>
      </c>
      <c r="I307">
        <f t="shared" si="13"/>
        <v>19.698250000000002</v>
      </c>
      <c r="J307" t="str">
        <f t="shared" si="14"/>
        <v>Our Cost</v>
      </c>
    </row>
    <row r="308" spans="1:11">
      <c r="A308" t="s">
        <v>3698</v>
      </c>
      <c r="B308" t="s">
        <v>2669</v>
      </c>
      <c r="C308" t="s">
        <v>2248</v>
      </c>
      <c r="D308" t="s">
        <v>2664</v>
      </c>
      <c r="E308">
        <f t="shared" si="12"/>
        <v>22.415249999999997</v>
      </c>
      <c r="I308">
        <f t="shared" si="13"/>
        <v>22.415249999999997</v>
      </c>
      <c r="J308" t="str">
        <f t="shared" si="14"/>
        <v>Our Cost</v>
      </c>
    </row>
    <row r="309" spans="1:11">
      <c r="A309" t="s">
        <v>3699</v>
      </c>
      <c r="B309" t="s">
        <v>2670</v>
      </c>
      <c r="C309" t="s">
        <v>2248</v>
      </c>
      <c r="D309" t="s">
        <v>2284</v>
      </c>
      <c r="E309">
        <f t="shared" si="12"/>
        <v>0.67925000000000002</v>
      </c>
      <c r="I309">
        <f t="shared" si="13"/>
        <v>0.67925000000000002</v>
      </c>
      <c r="J309" t="str">
        <f t="shared" si="14"/>
        <v>Our Cost</v>
      </c>
    </row>
    <row r="310" spans="1:11">
      <c r="A310" t="s">
        <v>3700</v>
      </c>
      <c r="B310" t="s">
        <v>2671</v>
      </c>
      <c r="C310" t="s">
        <v>2248</v>
      </c>
      <c r="D310" t="s">
        <v>2383</v>
      </c>
      <c r="E310">
        <f t="shared" si="12"/>
        <v>6.1132499999999999</v>
      </c>
      <c r="I310">
        <f t="shared" si="13"/>
        <v>6.1132499999999999</v>
      </c>
      <c r="J310" t="str">
        <f t="shared" si="14"/>
        <v>Our Cost</v>
      </c>
    </row>
    <row r="311" spans="1:11">
      <c r="A311" t="s">
        <v>3701</v>
      </c>
      <c r="B311" t="s">
        <v>2672</v>
      </c>
      <c r="C311" t="s">
        <v>2248</v>
      </c>
      <c r="D311" t="s">
        <v>2511</v>
      </c>
      <c r="E311">
        <f t="shared" si="12"/>
        <v>33.962499999999999</v>
      </c>
      <c r="I311">
        <f t="shared" si="13"/>
        <v>33.962499999999999</v>
      </c>
      <c r="J311" t="str">
        <f t="shared" si="14"/>
        <v>Our Cost</v>
      </c>
    </row>
    <row r="312" spans="1:11">
      <c r="A312" t="s">
        <v>3702</v>
      </c>
      <c r="B312" t="s">
        <v>2673</v>
      </c>
      <c r="C312" t="s">
        <v>2248</v>
      </c>
      <c r="D312" t="s">
        <v>2566</v>
      </c>
      <c r="E312">
        <f t="shared" si="12"/>
        <v>36.679499999999997</v>
      </c>
      <c r="I312">
        <f t="shared" si="13"/>
        <v>36.679499999999997</v>
      </c>
      <c r="J312" t="str">
        <f t="shared" si="14"/>
        <v>Our Cost</v>
      </c>
    </row>
    <row r="313" spans="1:11">
      <c r="A313" t="s">
        <v>3703</v>
      </c>
      <c r="B313" t="s">
        <v>2674</v>
      </c>
      <c r="C313" t="s">
        <v>2248</v>
      </c>
      <c r="D313" t="s">
        <v>2675</v>
      </c>
      <c r="E313">
        <f t="shared" si="12"/>
        <v>42.792749999999998</v>
      </c>
      <c r="I313">
        <f t="shared" si="13"/>
        <v>42.792749999999998</v>
      </c>
      <c r="J313" t="str">
        <f t="shared" si="14"/>
        <v>Our Cost</v>
      </c>
    </row>
    <row r="314" spans="1:11">
      <c r="A314" t="s">
        <v>3704</v>
      </c>
      <c r="B314" t="s">
        <v>2676</v>
      </c>
      <c r="C314" t="s">
        <v>2248</v>
      </c>
      <c r="D314" t="s">
        <v>2511</v>
      </c>
      <c r="E314">
        <f t="shared" si="12"/>
        <v>33.962499999999999</v>
      </c>
      <c r="I314">
        <f t="shared" si="13"/>
        <v>33.962499999999999</v>
      </c>
      <c r="J314" t="str">
        <f t="shared" si="14"/>
        <v>Our Cost</v>
      </c>
    </row>
    <row r="315" spans="1:11">
      <c r="A315" t="s">
        <v>3705</v>
      </c>
      <c r="B315" t="s">
        <v>2677</v>
      </c>
      <c r="C315" t="s">
        <v>2248</v>
      </c>
      <c r="D315" t="s">
        <v>2588</v>
      </c>
      <c r="E315">
        <f t="shared" si="12"/>
        <v>25.811499999999999</v>
      </c>
      <c r="H315">
        <v>32.659999999999997</v>
      </c>
      <c r="I315">
        <f t="shared" si="13"/>
        <v>25.811499999999999</v>
      </c>
      <c r="J315" t="str">
        <f t="shared" si="14"/>
        <v>Our Cost</v>
      </c>
    </row>
    <row r="316" spans="1:11">
      <c r="A316" t="s">
        <v>3706</v>
      </c>
      <c r="B316" t="s">
        <v>2678</v>
      </c>
      <c r="C316" t="s">
        <v>2248</v>
      </c>
      <c r="D316" t="s">
        <v>2527</v>
      </c>
      <c r="E316">
        <f t="shared" si="12"/>
        <v>47.547499999999999</v>
      </c>
      <c r="G316">
        <v>107.95</v>
      </c>
      <c r="H316">
        <v>64.400000000000006</v>
      </c>
      <c r="I316">
        <f t="shared" si="13"/>
        <v>47.547499999999999</v>
      </c>
      <c r="J316" t="str">
        <f t="shared" si="14"/>
        <v>Our Cost</v>
      </c>
    </row>
    <row r="317" spans="1:11">
      <c r="A317" t="s">
        <v>3707</v>
      </c>
      <c r="B317" t="s">
        <v>2679</v>
      </c>
      <c r="C317" t="s">
        <v>2248</v>
      </c>
      <c r="D317" t="s">
        <v>2511</v>
      </c>
      <c r="E317">
        <f t="shared" si="12"/>
        <v>33.962499999999999</v>
      </c>
      <c r="H317">
        <v>46</v>
      </c>
      <c r="I317">
        <f t="shared" si="13"/>
        <v>33.962499999999999</v>
      </c>
      <c r="J317" t="str">
        <f t="shared" si="14"/>
        <v>Our Cost</v>
      </c>
    </row>
    <row r="318" spans="1:11">
      <c r="A318" t="s">
        <v>3708</v>
      </c>
      <c r="B318" t="s">
        <v>2680</v>
      </c>
      <c r="C318" t="s">
        <v>2248</v>
      </c>
      <c r="D318" t="s">
        <v>2681</v>
      </c>
      <c r="E318">
        <f t="shared" si="12"/>
        <v>50.264499999999998</v>
      </c>
      <c r="G318">
        <v>107.95</v>
      </c>
      <c r="H318">
        <v>68.08</v>
      </c>
      <c r="I318">
        <f t="shared" si="13"/>
        <v>50.264499999999998</v>
      </c>
      <c r="J318" t="str">
        <f t="shared" si="14"/>
        <v>Our Cost</v>
      </c>
    </row>
    <row r="319" spans="1:11">
      <c r="A319" t="s">
        <v>3709</v>
      </c>
      <c r="B319" t="s">
        <v>2682</v>
      </c>
      <c r="C319" t="s">
        <v>2248</v>
      </c>
      <c r="D319" t="s">
        <v>2619</v>
      </c>
      <c r="E319">
        <f t="shared" si="12"/>
        <v>10.188749999999999</v>
      </c>
      <c r="H319">
        <v>13.8</v>
      </c>
      <c r="I319">
        <f t="shared" si="13"/>
        <v>10.188749999999999</v>
      </c>
      <c r="J319" t="str">
        <f t="shared" si="14"/>
        <v>Our Cost</v>
      </c>
      <c r="K319" t="s">
        <v>3395</v>
      </c>
    </row>
    <row r="320" spans="1:11">
      <c r="A320" t="s">
        <v>3710</v>
      </c>
      <c r="B320" t="s">
        <v>2683</v>
      </c>
      <c r="C320" t="s">
        <v>2248</v>
      </c>
      <c r="D320" t="s">
        <v>2566</v>
      </c>
      <c r="E320">
        <f t="shared" si="12"/>
        <v>36.679499999999997</v>
      </c>
      <c r="H320">
        <v>49.68</v>
      </c>
      <c r="I320">
        <f t="shared" si="13"/>
        <v>36.679499999999997</v>
      </c>
      <c r="J320" t="str">
        <f t="shared" si="14"/>
        <v>Our Cost</v>
      </c>
      <c r="K320" t="s">
        <v>3395</v>
      </c>
    </row>
    <row r="321" spans="1:11">
      <c r="A321" t="s">
        <v>3711</v>
      </c>
      <c r="B321" t="s">
        <v>2684</v>
      </c>
      <c r="C321" t="s">
        <v>2248</v>
      </c>
      <c r="D321" t="s">
        <v>2588</v>
      </c>
      <c r="E321">
        <f t="shared" si="12"/>
        <v>25.811499999999999</v>
      </c>
      <c r="G321">
        <v>31.45</v>
      </c>
      <c r="H321">
        <v>34.96</v>
      </c>
      <c r="I321">
        <f t="shared" si="13"/>
        <v>25.811499999999999</v>
      </c>
      <c r="J321" t="str">
        <f t="shared" si="14"/>
        <v>Our Cost</v>
      </c>
      <c r="K321" t="s">
        <v>3394</v>
      </c>
    </row>
    <row r="322" spans="1:11">
      <c r="A322" t="s">
        <v>3712</v>
      </c>
      <c r="B322" t="s">
        <v>2685</v>
      </c>
      <c r="C322" t="s">
        <v>2248</v>
      </c>
      <c r="D322" t="s">
        <v>2259</v>
      </c>
      <c r="E322">
        <f t="shared" si="12"/>
        <v>23.77375</v>
      </c>
      <c r="G322">
        <v>31.45</v>
      </c>
      <c r="H322">
        <v>32.200000000000003</v>
      </c>
      <c r="I322">
        <f t="shared" si="13"/>
        <v>23.77375</v>
      </c>
      <c r="J322" t="str">
        <f t="shared" si="14"/>
        <v>Our Cost</v>
      </c>
      <c r="K322" t="s">
        <v>3394</v>
      </c>
    </row>
    <row r="323" spans="1:11">
      <c r="A323" t="s">
        <v>3713</v>
      </c>
      <c r="B323" t="s">
        <v>2686</v>
      </c>
      <c r="C323" t="s">
        <v>2248</v>
      </c>
      <c r="D323" t="s">
        <v>2687</v>
      </c>
      <c r="E323">
        <f t="shared" ref="E323:E386" si="15">+D323*0.65*1.045</f>
        <v>21.056750000000001</v>
      </c>
      <c r="H323">
        <v>28.52</v>
      </c>
      <c r="I323">
        <f t="shared" ref="I323:I386" si="16">+MIN(E323:H323)</f>
        <v>21.056750000000001</v>
      </c>
      <c r="J323" t="str">
        <f t="shared" ref="J323:J386" si="17">+_xlfn.SINGLE(_xlfn.XLOOKUP(I323,E323:H323,$E$1:$H$1))</f>
        <v>Our Cost</v>
      </c>
      <c r="K323" t="s">
        <v>3395</v>
      </c>
    </row>
    <row r="324" spans="1:11">
      <c r="A324" t="s">
        <v>3714</v>
      </c>
      <c r="B324" t="s">
        <v>2688</v>
      </c>
      <c r="C324" t="s">
        <v>2248</v>
      </c>
      <c r="D324" t="s">
        <v>2520</v>
      </c>
      <c r="E324">
        <f t="shared" si="15"/>
        <v>29.207749999999997</v>
      </c>
      <c r="H324">
        <v>39.56</v>
      </c>
      <c r="I324">
        <f t="shared" si="16"/>
        <v>29.207749999999997</v>
      </c>
      <c r="J324" t="str">
        <f t="shared" si="17"/>
        <v>Our Cost</v>
      </c>
      <c r="K324" t="s">
        <v>3395</v>
      </c>
    </row>
    <row r="325" spans="1:11">
      <c r="A325" t="s">
        <v>3715</v>
      </c>
      <c r="B325" t="s">
        <v>2689</v>
      </c>
      <c r="C325" t="s">
        <v>2248</v>
      </c>
      <c r="D325" t="s">
        <v>2690</v>
      </c>
      <c r="E325">
        <f t="shared" si="15"/>
        <v>54.339999999999996</v>
      </c>
      <c r="H325">
        <v>73.599999999999994</v>
      </c>
      <c r="I325">
        <f t="shared" si="16"/>
        <v>54.339999999999996</v>
      </c>
      <c r="J325" t="str">
        <f t="shared" si="17"/>
        <v>Our Cost</v>
      </c>
    </row>
    <row r="326" spans="1:11">
      <c r="A326" t="s">
        <v>3716</v>
      </c>
      <c r="B326" t="s">
        <v>2691</v>
      </c>
      <c r="C326" t="s">
        <v>2248</v>
      </c>
      <c r="D326" t="s">
        <v>2493</v>
      </c>
      <c r="E326">
        <f t="shared" si="15"/>
        <v>14.264249999999999</v>
      </c>
      <c r="I326">
        <f t="shared" si="16"/>
        <v>14.264249999999999</v>
      </c>
      <c r="J326" t="str">
        <f t="shared" si="17"/>
        <v>Our Cost</v>
      </c>
    </row>
    <row r="327" spans="1:11">
      <c r="A327" t="s">
        <v>3717</v>
      </c>
      <c r="B327" t="s">
        <v>2525</v>
      </c>
      <c r="C327" t="s">
        <v>2248</v>
      </c>
      <c r="D327" t="s">
        <v>2350</v>
      </c>
      <c r="E327">
        <f t="shared" si="15"/>
        <v>14.9435</v>
      </c>
      <c r="H327">
        <v>20.239999999999998</v>
      </c>
      <c r="I327">
        <f t="shared" si="16"/>
        <v>14.9435</v>
      </c>
      <c r="J327" t="str">
        <f t="shared" si="17"/>
        <v>Our Cost</v>
      </c>
    </row>
    <row r="328" spans="1:11">
      <c r="A328" t="s">
        <v>3718</v>
      </c>
      <c r="B328" t="s">
        <v>2692</v>
      </c>
      <c r="C328" t="s">
        <v>2248</v>
      </c>
      <c r="D328" t="s">
        <v>2693</v>
      </c>
      <c r="E328">
        <f t="shared" si="15"/>
        <v>27.849250000000001</v>
      </c>
      <c r="H328">
        <v>37.72</v>
      </c>
      <c r="I328">
        <f t="shared" si="16"/>
        <v>27.849250000000001</v>
      </c>
      <c r="J328" t="str">
        <f t="shared" si="17"/>
        <v>Our Cost</v>
      </c>
    </row>
    <row r="329" spans="1:11">
      <c r="A329" t="s">
        <v>3719</v>
      </c>
      <c r="B329" t="s">
        <v>2694</v>
      </c>
      <c r="C329" t="s">
        <v>2248</v>
      </c>
      <c r="D329" t="s">
        <v>2477</v>
      </c>
      <c r="E329">
        <f t="shared" si="15"/>
        <v>52.302250000000001</v>
      </c>
      <c r="I329">
        <f t="shared" si="16"/>
        <v>52.302250000000001</v>
      </c>
      <c r="J329" t="str">
        <f t="shared" si="17"/>
        <v>Our Cost</v>
      </c>
    </row>
    <row r="330" spans="1:11">
      <c r="A330" t="s">
        <v>3720</v>
      </c>
      <c r="B330" t="s">
        <v>2695</v>
      </c>
      <c r="C330" t="s">
        <v>2248</v>
      </c>
      <c r="D330" t="s">
        <v>2693</v>
      </c>
      <c r="E330">
        <f t="shared" si="15"/>
        <v>27.849250000000001</v>
      </c>
      <c r="H330">
        <v>37.72</v>
      </c>
      <c r="I330">
        <f t="shared" si="16"/>
        <v>27.849250000000001</v>
      </c>
      <c r="J330" t="str">
        <f t="shared" si="17"/>
        <v>Our Cost</v>
      </c>
    </row>
    <row r="331" spans="1:11">
      <c r="A331" t="s">
        <v>3721</v>
      </c>
      <c r="B331" t="s">
        <v>2696</v>
      </c>
      <c r="C331" t="s">
        <v>2248</v>
      </c>
      <c r="D331" t="s">
        <v>2477</v>
      </c>
      <c r="E331">
        <f t="shared" si="15"/>
        <v>52.302250000000001</v>
      </c>
      <c r="I331">
        <f t="shared" si="16"/>
        <v>52.302250000000001</v>
      </c>
      <c r="J331" t="str">
        <f t="shared" si="17"/>
        <v>Our Cost</v>
      </c>
    </row>
    <row r="332" spans="1:11">
      <c r="A332" t="s">
        <v>3722</v>
      </c>
      <c r="B332" t="s">
        <v>2697</v>
      </c>
      <c r="C332" t="s">
        <v>2248</v>
      </c>
      <c r="D332" t="s">
        <v>2667</v>
      </c>
      <c r="E332">
        <f t="shared" si="15"/>
        <v>27.169999999999998</v>
      </c>
      <c r="I332">
        <f t="shared" si="16"/>
        <v>27.169999999999998</v>
      </c>
      <c r="J332" t="str">
        <f t="shared" si="17"/>
        <v>Our Cost</v>
      </c>
    </row>
    <row r="333" spans="1:11">
      <c r="A333" t="s">
        <v>3723</v>
      </c>
      <c r="B333" t="s">
        <v>2698</v>
      </c>
      <c r="C333" t="s">
        <v>2248</v>
      </c>
      <c r="D333" t="s">
        <v>2466</v>
      </c>
      <c r="E333">
        <f t="shared" si="15"/>
        <v>8.8302500000000013</v>
      </c>
      <c r="H333">
        <v>11.96</v>
      </c>
      <c r="I333">
        <f t="shared" si="16"/>
        <v>8.8302500000000013</v>
      </c>
      <c r="J333" t="str">
        <f t="shared" si="17"/>
        <v>Our Cost</v>
      </c>
    </row>
    <row r="334" spans="1:11">
      <c r="A334" t="s">
        <v>3724</v>
      </c>
      <c r="B334" t="s">
        <v>2699</v>
      </c>
      <c r="C334" t="s">
        <v>2248</v>
      </c>
      <c r="D334" t="s">
        <v>2700</v>
      </c>
      <c r="E334">
        <f t="shared" si="15"/>
        <v>87.623249999999999</v>
      </c>
      <c r="H334">
        <v>118.68</v>
      </c>
      <c r="I334">
        <f t="shared" si="16"/>
        <v>87.623249999999999</v>
      </c>
      <c r="J334" t="str">
        <f t="shared" si="17"/>
        <v>Our Cost</v>
      </c>
    </row>
    <row r="335" spans="1:11">
      <c r="A335" t="s">
        <v>3725</v>
      </c>
      <c r="B335" t="s">
        <v>2492</v>
      </c>
      <c r="C335" t="s">
        <v>2248</v>
      </c>
      <c r="D335" t="s">
        <v>2681</v>
      </c>
      <c r="E335">
        <f t="shared" si="15"/>
        <v>50.264499999999998</v>
      </c>
      <c r="I335">
        <f t="shared" si="16"/>
        <v>50.264499999999998</v>
      </c>
      <c r="J335" t="str">
        <f t="shared" si="17"/>
        <v>Our Cost</v>
      </c>
    </row>
    <row r="336" spans="1:11">
      <c r="A336" t="s">
        <v>3726</v>
      </c>
      <c r="B336" t="s">
        <v>2701</v>
      </c>
      <c r="C336" t="s">
        <v>2248</v>
      </c>
      <c r="D336" t="s">
        <v>2452</v>
      </c>
      <c r="E336">
        <f t="shared" si="15"/>
        <v>9.5094999999999992</v>
      </c>
      <c r="H336">
        <v>12.88</v>
      </c>
      <c r="I336">
        <f t="shared" si="16"/>
        <v>9.5094999999999992</v>
      </c>
      <c r="J336" t="str">
        <f t="shared" si="17"/>
        <v>Our Cost</v>
      </c>
    </row>
    <row r="337" spans="1:11">
      <c r="A337" t="s">
        <v>3727</v>
      </c>
      <c r="B337" t="s">
        <v>2702</v>
      </c>
      <c r="C337" t="s">
        <v>2248</v>
      </c>
      <c r="D337" t="s">
        <v>2703</v>
      </c>
      <c r="E337">
        <f t="shared" si="15"/>
        <v>20.377499999999998</v>
      </c>
      <c r="I337">
        <f t="shared" si="16"/>
        <v>20.377499999999998</v>
      </c>
      <c r="J337" t="str">
        <f t="shared" si="17"/>
        <v>Our Cost</v>
      </c>
    </row>
    <row r="338" spans="1:11">
      <c r="A338" t="s">
        <v>2171</v>
      </c>
      <c r="B338" t="s">
        <v>2172</v>
      </c>
      <c r="C338" t="s">
        <v>2248</v>
      </c>
      <c r="D338" t="s">
        <v>2660</v>
      </c>
      <c r="E338">
        <f t="shared" si="15"/>
        <v>31.92475</v>
      </c>
      <c r="H338">
        <v>43.24</v>
      </c>
      <c r="I338">
        <f t="shared" si="16"/>
        <v>31.92475</v>
      </c>
      <c r="J338" t="str">
        <f t="shared" si="17"/>
        <v>Our Cost</v>
      </c>
    </row>
    <row r="339" spans="1:11">
      <c r="A339" t="s">
        <v>3728</v>
      </c>
      <c r="B339" t="s">
        <v>2704</v>
      </c>
      <c r="C339" t="s">
        <v>2248</v>
      </c>
      <c r="D339" t="s">
        <v>2442</v>
      </c>
      <c r="E339">
        <f t="shared" si="15"/>
        <v>5.4340000000000002</v>
      </c>
      <c r="I339">
        <f t="shared" si="16"/>
        <v>5.4340000000000002</v>
      </c>
      <c r="J339" t="str">
        <f t="shared" si="17"/>
        <v>Our Cost</v>
      </c>
    </row>
    <row r="340" spans="1:11">
      <c r="A340" t="s">
        <v>3729</v>
      </c>
      <c r="B340" t="s">
        <v>2705</v>
      </c>
      <c r="C340" t="s">
        <v>2248</v>
      </c>
      <c r="D340" t="s">
        <v>2667</v>
      </c>
      <c r="E340">
        <f t="shared" si="15"/>
        <v>27.169999999999998</v>
      </c>
      <c r="I340">
        <f t="shared" si="16"/>
        <v>27.169999999999998</v>
      </c>
      <c r="J340" t="str">
        <f t="shared" si="17"/>
        <v>Our Cost</v>
      </c>
    </row>
    <row r="341" spans="1:11">
      <c r="A341" t="s">
        <v>3730</v>
      </c>
      <c r="B341" t="s">
        <v>2706</v>
      </c>
      <c r="C341" t="s">
        <v>2248</v>
      </c>
      <c r="D341" t="s">
        <v>2361</v>
      </c>
      <c r="E341">
        <f t="shared" si="15"/>
        <v>16.981249999999999</v>
      </c>
      <c r="G341">
        <v>18.7</v>
      </c>
      <c r="H341">
        <v>23</v>
      </c>
      <c r="I341">
        <f t="shared" si="16"/>
        <v>16.981249999999999</v>
      </c>
      <c r="J341" t="str">
        <f t="shared" si="17"/>
        <v>Our Cost</v>
      </c>
      <c r="K341" t="s">
        <v>3395</v>
      </c>
    </row>
    <row r="342" spans="1:11">
      <c r="A342" t="s">
        <v>3731</v>
      </c>
      <c r="B342" t="s">
        <v>2707</v>
      </c>
      <c r="C342" t="s">
        <v>2248</v>
      </c>
      <c r="D342" t="s">
        <v>2440</v>
      </c>
      <c r="E342">
        <f t="shared" si="15"/>
        <v>6.7924999999999995</v>
      </c>
      <c r="I342">
        <f t="shared" si="16"/>
        <v>6.7924999999999995</v>
      </c>
      <c r="J342" t="str">
        <f t="shared" si="17"/>
        <v>Our Cost</v>
      </c>
    </row>
    <row r="343" spans="1:11">
      <c r="A343" t="s">
        <v>3732</v>
      </c>
      <c r="B343" t="s">
        <v>2708</v>
      </c>
      <c r="C343" t="s">
        <v>2248</v>
      </c>
      <c r="D343" t="s">
        <v>2272</v>
      </c>
      <c r="E343">
        <f t="shared" si="15"/>
        <v>65.207999999999998</v>
      </c>
      <c r="I343">
        <f t="shared" si="16"/>
        <v>65.207999999999998</v>
      </c>
      <c r="J343" t="str">
        <f t="shared" si="17"/>
        <v>Our Cost</v>
      </c>
    </row>
    <row r="344" spans="1:11">
      <c r="A344" t="s">
        <v>3733</v>
      </c>
      <c r="B344" t="s">
        <v>2708</v>
      </c>
      <c r="C344" t="s">
        <v>2248</v>
      </c>
      <c r="D344" t="s">
        <v>2272</v>
      </c>
      <c r="E344">
        <f t="shared" si="15"/>
        <v>65.207999999999998</v>
      </c>
      <c r="I344">
        <f t="shared" si="16"/>
        <v>65.207999999999998</v>
      </c>
      <c r="J344" t="str">
        <f t="shared" si="17"/>
        <v>Our Cost</v>
      </c>
    </row>
    <row r="345" spans="1:11">
      <c r="A345" t="s">
        <v>3734</v>
      </c>
      <c r="B345" t="s">
        <v>2709</v>
      </c>
      <c r="C345" t="s">
        <v>2248</v>
      </c>
      <c r="D345" t="s">
        <v>2281</v>
      </c>
      <c r="E345">
        <f t="shared" si="15"/>
        <v>12.2265</v>
      </c>
      <c r="I345">
        <f t="shared" si="16"/>
        <v>12.2265</v>
      </c>
      <c r="J345" t="str">
        <f t="shared" si="17"/>
        <v>Our Cost</v>
      </c>
    </row>
    <row r="346" spans="1:11">
      <c r="A346" t="s">
        <v>3735</v>
      </c>
      <c r="B346" t="s">
        <v>2710</v>
      </c>
      <c r="C346" t="s">
        <v>2248</v>
      </c>
      <c r="D346" t="s">
        <v>2477</v>
      </c>
      <c r="E346">
        <f t="shared" si="15"/>
        <v>52.302250000000001</v>
      </c>
      <c r="H346">
        <v>70.84</v>
      </c>
      <c r="I346">
        <f t="shared" si="16"/>
        <v>52.302250000000001</v>
      </c>
      <c r="J346" t="str">
        <f t="shared" si="17"/>
        <v>Our Cost</v>
      </c>
    </row>
    <row r="347" spans="1:11">
      <c r="A347" t="s">
        <v>3736</v>
      </c>
      <c r="B347" t="s">
        <v>2711</v>
      </c>
      <c r="C347" t="s">
        <v>2248</v>
      </c>
      <c r="D347" t="s">
        <v>2712</v>
      </c>
      <c r="E347">
        <f t="shared" si="15"/>
        <v>44.830499999999994</v>
      </c>
      <c r="I347">
        <f t="shared" si="16"/>
        <v>44.830499999999994</v>
      </c>
      <c r="J347" t="str">
        <f t="shared" si="17"/>
        <v>Our Cost</v>
      </c>
    </row>
    <row r="348" spans="1:11">
      <c r="A348" t="s">
        <v>3737</v>
      </c>
      <c r="B348" t="s">
        <v>2713</v>
      </c>
      <c r="C348" t="s">
        <v>2248</v>
      </c>
      <c r="D348" t="s">
        <v>2344</v>
      </c>
      <c r="E348">
        <f t="shared" si="15"/>
        <v>70.64200000000001</v>
      </c>
      <c r="I348">
        <f t="shared" si="16"/>
        <v>70.64200000000001</v>
      </c>
      <c r="J348" t="str">
        <f t="shared" si="17"/>
        <v>Our Cost</v>
      </c>
    </row>
    <row r="349" spans="1:11">
      <c r="A349" t="s">
        <v>3738</v>
      </c>
      <c r="B349" t="s">
        <v>2714</v>
      </c>
      <c r="C349" t="s">
        <v>2248</v>
      </c>
      <c r="D349" t="s">
        <v>2617</v>
      </c>
      <c r="E349">
        <f t="shared" si="15"/>
        <v>63.849499999999999</v>
      </c>
      <c r="H349">
        <v>86.48</v>
      </c>
      <c r="I349">
        <f t="shared" si="16"/>
        <v>63.849499999999999</v>
      </c>
      <c r="J349" t="str">
        <f t="shared" si="17"/>
        <v>Our Cost</v>
      </c>
    </row>
    <row r="350" spans="1:11">
      <c r="A350" t="s">
        <v>3739</v>
      </c>
      <c r="B350" t="s">
        <v>2715</v>
      </c>
      <c r="C350" t="s">
        <v>2248</v>
      </c>
      <c r="D350" t="s">
        <v>2716</v>
      </c>
      <c r="E350">
        <f t="shared" si="15"/>
        <v>32.603999999999999</v>
      </c>
      <c r="H350">
        <v>44.16</v>
      </c>
      <c r="I350">
        <f t="shared" si="16"/>
        <v>32.603999999999999</v>
      </c>
      <c r="J350" t="str">
        <f t="shared" si="17"/>
        <v>Our Cost</v>
      </c>
    </row>
    <row r="351" spans="1:11">
      <c r="A351" t="s">
        <v>3740</v>
      </c>
      <c r="B351" t="s">
        <v>2717</v>
      </c>
      <c r="C351" t="s">
        <v>2248</v>
      </c>
      <c r="D351" t="s">
        <v>2281</v>
      </c>
      <c r="E351">
        <f t="shared" si="15"/>
        <v>12.2265</v>
      </c>
      <c r="I351">
        <f t="shared" si="16"/>
        <v>12.2265</v>
      </c>
      <c r="J351" t="str">
        <f t="shared" si="17"/>
        <v>Our Cost</v>
      </c>
    </row>
    <row r="352" spans="1:11">
      <c r="A352" t="s">
        <v>3741</v>
      </c>
      <c r="B352" t="s">
        <v>2718</v>
      </c>
      <c r="C352" t="s">
        <v>2248</v>
      </c>
      <c r="D352" t="s">
        <v>2520</v>
      </c>
      <c r="E352">
        <f t="shared" si="15"/>
        <v>29.207749999999997</v>
      </c>
      <c r="I352">
        <f t="shared" si="16"/>
        <v>29.207749999999997</v>
      </c>
      <c r="J352" t="str">
        <f t="shared" si="17"/>
        <v>Our Cost</v>
      </c>
    </row>
    <row r="353" spans="1:11">
      <c r="A353" t="s">
        <v>3742</v>
      </c>
      <c r="B353" t="s">
        <v>2719</v>
      </c>
      <c r="C353" t="s">
        <v>2248</v>
      </c>
      <c r="D353" t="s">
        <v>2469</v>
      </c>
      <c r="E353">
        <f t="shared" si="15"/>
        <v>17.660500000000003</v>
      </c>
      <c r="H353">
        <v>23.92</v>
      </c>
      <c r="I353">
        <f t="shared" si="16"/>
        <v>17.660500000000003</v>
      </c>
      <c r="J353" t="str">
        <f t="shared" si="17"/>
        <v>Our Cost</v>
      </c>
    </row>
    <row r="354" spans="1:11">
      <c r="A354" t="s">
        <v>3743</v>
      </c>
      <c r="B354" t="s">
        <v>2720</v>
      </c>
      <c r="C354" t="s">
        <v>2248</v>
      </c>
      <c r="D354" t="s">
        <v>2270</v>
      </c>
      <c r="E354">
        <f t="shared" si="15"/>
        <v>39.396500000000003</v>
      </c>
      <c r="I354">
        <f t="shared" si="16"/>
        <v>39.396500000000003</v>
      </c>
      <c r="J354" t="str">
        <f t="shared" si="17"/>
        <v>Our Cost</v>
      </c>
    </row>
    <row r="355" spans="1:11">
      <c r="A355" t="s">
        <v>3744</v>
      </c>
      <c r="B355" t="s">
        <v>2721</v>
      </c>
      <c r="C355" t="s">
        <v>2248</v>
      </c>
      <c r="D355" t="s">
        <v>2514</v>
      </c>
      <c r="E355">
        <f t="shared" si="15"/>
        <v>44.151249999999997</v>
      </c>
      <c r="G355">
        <v>49.3</v>
      </c>
      <c r="H355">
        <v>59.8</v>
      </c>
      <c r="I355">
        <f t="shared" si="16"/>
        <v>44.151249999999997</v>
      </c>
      <c r="J355" t="str">
        <f t="shared" si="17"/>
        <v>Our Cost</v>
      </c>
    </row>
    <row r="356" spans="1:11">
      <c r="A356" t="s">
        <v>3745</v>
      </c>
      <c r="B356" t="s">
        <v>2722</v>
      </c>
      <c r="C356" t="s">
        <v>2248</v>
      </c>
      <c r="D356" t="s">
        <v>2700</v>
      </c>
      <c r="E356">
        <f t="shared" si="15"/>
        <v>87.623249999999999</v>
      </c>
      <c r="H356">
        <v>118.68</v>
      </c>
      <c r="I356">
        <f t="shared" si="16"/>
        <v>87.623249999999999</v>
      </c>
      <c r="J356" t="str">
        <f t="shared" si="17"/>
        <v>Our Cost</v>
      </c>
    </row>
    <row r="357" spans="1:11">
      <c r="A357" t="s">
        <v>3746</v>
      </c>
      <c r="B357" t="s">
        <v>2723</v>
      </c>
      <c r="C357" t="s">
        <v>2248</v>
      </c>
      <c r="D357" t="s">
        <v>2514</v>
      </c>
      <c r="E357">
        <f t="shared" si="15"/>
        <v>44.151249999999997</v>
      </c>
      <c r="I357">
        <f t="shared" si="16"/>
        <v>44.151249999999997</v>
      </c>
      <c r="J357" t="str">
        <f t="shared" si="17"/>
        <v>Our Cost</v>
      </c>
    </row>
    <row r="358" spans="1:11">
      <c r="A358" t="s">
        <v>3747</v>
      </c>
      <c r="B358" t="s">
        <v>2724</v>
      </c>
      <c r="C358" t="s">
        <v>2248</v>
      </c>
      <c r="D358" t="s">
        <v>2725</v>
      </c>
      <c r="E358">
        <f t="shared" si="15"/>
        <v>57.056999999999995</v>
      </c>
      <c r="I358">
        <f t="shared" si="16"/>
        <v>57.056999999999995</v>
      </c>
      <c r="J358" t="str">
        <f t="shared" si="17"/>
        <v>Our Cost</v>
      </c>
    </row>
    <row r="359" spans="1:11">
      <c r="A359" t="s">
        <v>3748</v>
      </c>
      <c r="B359" t="s">
        <v>2726</v>
      </c>
      <c r="C359" t="s">
        <v>2248</v>
      </c>
      <c r="D359" t="s">
        <v>2283</v>
      </c>
      <c r="E359">
        <f t="shared" si="15"/>
        <v>3.3962499999999998</v>
      </c>
      <c r="H359">
        <v>4.5999999999999996</v>
      </c>
      <c r="I359">
        <f t="shared" si="16"/>
        <v>3.3962499999999998</v>
      </c>
      <c r="J359" t="str">
        <f t="shared" si="17"/>
        <v>Our Cost</v>
      </c>
    </row>
    <row r="360" spans="1:11">
      <c r="A360" t="s">
        <v>3749</v>
      </c>
      <c r="B360" t="s">
        <v>2727</v>
      </c>
      <c r="C360" t="s">
        <v>2248</v>
      </c>
      <c r="D360" t="s">
        <v>2350</v>
      </c>
      <c r="E360">
        <f t="shared" si="15"/>
        <v>14.9435</v>
      </c>
      <c r="H360">
        <v>20.239999999999998</v>
      </c>
      <c r="I360">
        <f t="shared" si="16"/>
        <v>14.9435</v>
      </c>
      <c r="J360" t="str">
        <f t="shared" si="17"/>
        <v>Our Cost</v>
      </c>
    </row>
    <row r="361" spans="1:11">
      <c r="A361" t="s">
        <v>3750</v>
      </c>
      <c r="B361" t="s">
        <v>2728</v>
      </c>
      <c r="C361" t="s">
        <v>2248</v>
      </c>
      <c r="D361" t="s">
        <v>2535</v>
      </c>
      <c r="E361">
        <f t="shared" si="15"/>
        <v>82.868499999999997</v>
      </c>
      <c r="I361">
        <f t="shared" si="16"/>
        <v>82.868499999999997</v>
      </c>
      <c r="J361" t="str">
        <f t="shared" si="17"/>
        <v>Our Cost</v>
      </c>
    </row>
    <row r="362" spans="1:11">
      <c r="A362" t="s">
        <v>3751</v>
      </c>
      <c r="B362" t="s">
        <v>2729</v>
      </c>
      <c r="C362" t="s">
        <v>2248</v>
      </c>
      <c r="D362" t="s">
        <v>2312</v>
      </c>
      <c r="E362">
        <f t="shared" si="15"/>
        <v>84.90625</v>
      </c>
      <c r="I362">
        <f t="shared" si="16"/>
        <v>84.90625</v>
      </c>
      <c r="J362" t="str">
        <f t="shared" si="17"/>
        <v>Our Cost</v>
      </c>
    </row>
    <row r="363" spans="1:11">
      <c r="A363" t="s">
        <v>3752</v>
      </c>
      <c r="B363" t="s">
        <v>2730</v>
      </c>
      <c r="C363" t="s">
        <v>2248</v>
      </c>
      <c r="D363" t="s">
        <v>2731</v>
      </c>
      <c r="E363">
        <f t="shared" si="15"/>
        <v>620.15525000000002</v>
      </c>
      <c r="I363">
        <f t="shared" si="16"/>
        <v>620.15525000000002</v>
      </c>
      <c r="J363" t="str">
        <f t="shared" si="17"/>
        <v>Our Cost</v>
      </c>
    </row>
    <row r="364" spans="1:11">
      <c r="A364" t="s">
        <v>3753</v>
      </c>
      <c r="B364" t="s">
        <v>2484</v>
      </c>
      <c r="C364" t="s">
        <v>2248</v>
      </c>
      <c r="D364" t="s">
        <v>2485</v>
      </c>
      <c r="E364">
        <f t="shared" si="15"/>
        <v>277.13399999999996</v>
      </c>
      <c r="G364">
        <v>334.05</v>
      </c>
      <c r="H364">
        <v>353.83</v>
      </c>
      <c r="I364">
        <f t="shared" si="16"/>
        <v>277.13399999999996</v>
      </c>
      <c r="J364" t="str">
        <f t="shared" si="17"/>
        <v>Our Cost</v>
      </c>
      <c r="K364" t="s">
        <v>3395</v>
      </c>
    </row>
    <row r="365" spans="1:11">
      <c r="A365" t="s">
        <v>3754</v>
      </c>
      <c r="B365" t="s">
        <v>2486</v>
      </c>
      <c r="C365" t="s">
        <v>2248</v>
      </c>
      <c r="D365" t="s">
        <v>2485</v>
      </c>
      <c r="E365">
        <f t="shared" si="15"/>
        <v>277.13399999999996</v>
      </c>
      <c r="G365">
        <v>334.05</v>
      </c>
      <c r="H365">
        <v>375.36</v>
      </c>
      <c r="I365">
        <f t="shared" si="16"/>
        <v>277.13399999999996</v>
      </c>
      <c r="J365" t="str">
        <f t="shared" si="17"/>
        <v>Our Cost</v>
      </c>
      <c r="K365" t="s">
        <v>3395</v>
      </c>
    </row>
    <row r="366" spans="1:11">
      <c r="A366" t="s">
        <v>3755</v>
      </c>
      <c r="B366" t="s">
        <v>2615</v>
      </c>
      <c r="C366" t="s">
        <v>2248</v>
      </c>
      <c r="D366" t="s">
        <v>2251</v>
      </c>
      <c r="E366">
        <f t="shared" si="15"/>
        <v>53.66075</v>
      </c>
      <c r="I366">
        <f t="shared" si="16"/>
        <v>53.66075</v>
      </c>
      <c r="J366" t="str">
        <f t="shared" si="17"/>
        <v>Our Cost</v>
      </c>
    </row>
    <row r="367" spans="1:11">
      <c r="A367" t="s">
        <v>3756</v>
      </c>
      <c r="B367" t="s">
        <v>2732</v>
      </c>
      <c r="C367" t="s">
        <v>2248</v>
      </c>
      <c r="D367" t="s">
        <v>2700</v>
      </c>
      <c r="E367">
        <f t="shared" si="15"/>
        <v>87.623249999999999</v>
      </c>
      <c r="H367">
        <v>118.68</v>
      </c>
      <c r="I367">
        <f t="shared" si="16"/>
        <v>87.623249999999999</v>
      </c>
      <c r="J367" t="str">
        <f t="shared" si="17"/>
        <v>Our Cost</v>
      </c>
    </row>
    <row r="368" spans="1:11">
      <c r="A368" t="s">
        <v>3757</v>
      </c>
      <c r="B368" t="s">
        <v>2733</v>
      </c>
      <c r="C368" t="s">
        <v>2248</v>
      </c>
      <c r="D368" t="s">
        <v>2511</v>
      </c>
      <c r="E368">
        <f t="shared" si="15"/>
        <v>33.962499999999999</v>
      </c>
      <c r="I368">
        <f t="shared" si="16"/>
        <v>33.962499999999999</v>
      </c>
      <c r="J368" t="str">
        <f t="shared" si="17"/>
        <v>Our Cost</v>
      </c>
    </row>
    <row r="369" spans="1:10">
      <c r="A369" t="s">
        <v>3758</v>
      </c>
      <c r="B369" t="s">
        <v>2734</v>
      </c>
      <c r="C369" t="s">
        <v>2248</v>
      </c>
      <c r="D369" t="s">
        <v>2511</v>
      </c>
      <c r="E369">
        <f t="shared" si="15"/>
        <v>33.962499999999999</v>
      </c>
      <c r="I369">
        <f t="shared" si="16"/>
        <v>33.962499999999999</v>
      </c>
      <c r="J369" t="str">
        <f t="shared" si="17"/>
        <v>Our Cost</v>
      </c>
    </row>
    <row r="370" spans="1:10">
      <c r="A370" t="s">
        <v>3759</v>
      </c>
      <c r="B370" t="s">
        <v>2735</v>
      </c>
      <c r="C370" t="s">
        <v>2248</v>
      </c>
      <c r="D370" t="s">
        <v>2537</v>
      </c>
      <c r="E370">
        <f t="shared" si="15"/>
        <v>19.698250000000002</v>
      </c>
      <c r="H370">
        <v>25.67</v>
      </c>
      <c r="I370">
        <f t="shared" si="16"/>
        <v>19.698250000000002</v>
      </c>
      <c r="J370" t="str">
        <f t="shared" si="17"/>
        <v>Our Cost</v>
      </c>
    </row>
    <row r="371" spans="1:10">
      <c r="A371" t="s">
        <v>3760</v>
      </c>
      <c r="B371" t="s">
        <v>2736</v>
      </c>
      <c r="C371" t="s">
        <v>2248</v>
      </c>
      <c r="D371" t="s">
        <v>2279</v>
      </c>
      <c r="E371">
        <f t="shared" si="15"/>
        <v>31.2455</v>
      </c>
      <c r="I371">
        <f t="shared" si="16"/>
        <v>31.2455</v>
      </c>
      <c r="J371" t="str">
        <f t="shared" si="17"/>
        <v>Our Cost</v>
      </c>
    </row>
    <row r="372" spans="1:10">
      <c r="A372" t="s">
        <v>3761</v>
      </c>
      <c r="B372" t="s">
        <v>2737</v>
      </c>
      <c r="C372" t="s">
        <v>2248</v>
      </c>
      <c r="D372" t="s">
        <v>2279</v>
      </c>
      <c r="E372">
        <f t="shared" si="15"/>
        <v>31.2455</v>
      </c>
      <c r="I372">
        <f t="shared" si="16"/>
        <v>31.2455</v>
      </c>
      <c r="J372" t="str">
        <f t="shared" si="17"/>
        <v>Our Cost</v>
      </c>
    </row>
    <row r="373" spans="1:10">
      <c r="A373" t="s">
        <v>3762</v>
      </c>
      <c r="B373" t="s">
        <v>2738</v>
      </c>
      <c r="C373" t="s">
        <v>2248</v>
      </c>
      <c r="D373" t="s">
        <v>2716</v>
      </c>
      <c r="E373">
        <f t="shared" si="15"/>
        <v>32.603999999999999</v>
      </c>
      <c r="I373">
        <f t="shared" si="16"/>
        <v>32.603999999999999</v>
      </c>
      <c r="J373" t="str">
        <f t="shared" si="17"/>
        <v>Our Cost</v>
      </c>
    </row>
    <row r="374" spans="1:10">
      <c r="A374" t="s">
        <v>3763</v>
      </c>
      <c r="B374" t="s">
        <v>2739</v>
      </c>
      <c r="C374" t="s">
        <v>2248</v>
      </c>
      <c r="D374" t="s">
        <v>2716</v>
      </c>
      <c r="E374">
        <f t="shared" si="15"/>
        <v>32.603999999999999</v>
      </c>
      <c r="I374">
        <f t="shared" si="16"/>
        <v>32.603999999999999</v>
      </c>
      <c r="J374" t="str">
        <f t="shared" si="17"/>
        <v>Our Cost</v>
      </c>
    </row>
    <row r="375" spans="1:10">
      <c r="A375" t="s">
        <v>3764</v>
      </c>
      <c r="B375" t="s">
        <v>2740</v>
      </c>
      <c r="C375" t="s">
        <v>2248</v>
      </c>
      <c r="D375" t="s">
        <v>2660</v>
      </c>
      <c r="E375">
        <f t="shared" si="15"/>
        <v>31.92475</v>
      </c>
      <c r="I375">
        <f t="shared" si="16"/>
        <v>31.92475</v>
      </c>
      <c r="J375" t="str">
        <f t="shared" si="17"/>
        <v>Our Cost</v>
      </c>
    </row>
    <row r="376" spans="1:10">
      <c r="A376" t="s">
        <v>3765</v>
      </c>
      <c r="B376" t="s">
        <v>2741</v>
      </c>
      <c r="C376" t="s">
        <v>2248</v>
      </c>
      <c r="D376" t="s">
        <v>2660</v>
      </c>
      <c r="E376">
        <f t="shared" si="15"/>
        <v>31.92475</v>
      </c>
      <c r="I376">
        <f t="shared" si="16"/>
        <v>31.92475</v>
      </c>
      <c r="J376" t="str">
        <f t="shared" si="17"/>
        <v>Our Cost</v>
      </c>
    </row>
    <row r="377" spans="1:10">
      <c r="A377" t="s">
        <v>3766</v>
      </c>
      <c r="B377" t="s">
        <v>2742</v>
      </c>
      <c r="C377" t="s">
        <v>2248</v>
      </c>
      <c r="D377" t="s">
        <v>2511</v>
      </c>
      <c r="E377">
        <f t="shared" si="15"/>
        <v>33.962499999999999</v>
      </c>
      <c r="I377">
        <f t="shared" si="16"/>
        <v>33.962499999999999</v>
      </c>
      <c r="J377" t="str">
        <f t="shared" si="17"/>
        <v>Our Cost</v>
      </c>
    </row>
    <row r="378" spans="1:10">
      <c r="A378" t="s">
        <v>3767</v>
      </c>
      <c r="B378" t="s">
        <v>2743</v>
      </c>
      <c r="C378" t="s">
        <v>2248</v>
      </c>
      <c r="D378" t="s">
        <v>2566</v>
      </c>
      <c r="E378">
        <f t="shared" si="15"/>
        <v>36.679499999999997</v>
      </c>
      <c r="I378">
        <f t="shared" si="16"/>
        <v>36.679499999999997</v>
      </c>
      <c r="J378" t="str">
        <f t="shared" si="17"/>
        <v>Our Cost</v>
      </c>
    </row>
    <row r="379" spans="1:10">
      <c r="A379" t="s">
        <v>3768</v>
      </c>
      <c r="B379" t="s">
        <v>2744</v>
      </c>
      <c r="C379" t="s">
        <v>2248</v>
      </c>
      <c r="D379" t="s">
        <v>2745</v>
      </c>
      <c r="E379">
        <f t="shared" si="15"/>
        <v>38.037999999999997</v>
      </c>
      <c r="I379">
        <f t="shared" si="16"/>
        <v>38.037999999999997</v>
      </c>
      <c r="J379" t="str">
        <f t="shared" si="17"/>
        <v>Our Cost</v>
      </c>
    </row>
    <row r="380" spans="1:10">
      <c r="A380" t="s">
        <v>3769</v>
      </c>
      <c r="B380" t="s">
        <v>2746</v>
      </c>
      <c r="C380" t="s">
        <v>2248</v>
      </c>
      <c r="D380" t="s">
        <v>2745</v>
      </c>
      <c r="E380">
        <f t="shared" si="15"/>
        <v>38.037999999999997</v>
      </c>
      <c r="I380">
        <f t="shared" si="16"/>
        <v>38.037999999999997</v>
      </c>
      <c r="J380" t="str">
        <f t="shared" si="17"/>
        <v>Our Cost</v>
      </c>
    </row>
    <row r="381" spans="1:10">
      <c r="A381" t="s">
        <v>3770</v>
      </c>
      <c r="B381" t="s">
        <v>2747</v>
      </c>
      <c r="C381" t="s">
        <v>2248</v>
      </c>
      <c r="D381" t="s">
        <v>2305</v>
      </c>
      <c r="E381">
        <f t="shared" si="15"/>
        <v>41.434249999999999</v>
      </c>
      <c r="I381">
        <f t="shared" si="16"/>
        <v>41.434249999999999</v>
      </c>
      <c r="J381" t="str">
        <f t="shared" si="17"/>
        <v>Our Cost</v>
      </c>
    </row>
    <row r="382" spans="1:10">
      <c r="A382" t="s">
        <v>3771</v>
      </c>
      <c r="B382" t="s">
        <v>2748</v>
      </c>
      <c r="C382" t="s">
        <v>2248</v>
      </c>
      <c r="D382" t="s">
        <v>2305</v>
      </c>
      <c r="E382">
        <f t="shared" si="15"/>
        <v>41.434249999999999</v>
      </c>
      <c r="I382">
        <f t="shared" si="16"/>
        <v>41.434249999999999</v>
      </c>
      <c r="J382" t="str">
        <f t="shared" si="17"/>
        <v>Our Cost</v>
      </c>
    </row>
    <row r="383" spans="1:10">
      <c r="A383" t="s">
        <v>3772</v>
      </c>
      <c r="B383" t="s">
        <v>2749</v>
      </c>
      <c r="C383" t="s">
        <v>2249</v>
      </c>
      <c r="D383" t="s">
        <v>2452</v>
      </c>
      <c r="E383">
        <f t="shared" si="15"/>
        <v>9.5094999999999992</v>
      </c>
      <c r="I383">
        <f t="shared" si="16"/>
        <v>9.5094999999999992</v>
      </c>
      <c r="J383" t="str">
        <f t="shared" si="17"/>
        <v>Our Cost</v>
      </c>
    </row>
    <row r="384" spans="1:10">
      <c r="A384" t="s">
        <v>3773</v>
      </c>
      <c r="B384" t="s">
        <v>2750</v>
      </c>
      <c r="C384" t="s">
        <v>2249</v>
      </c>
      <c r="D384" t="s">
        <v>2454</v>
      </c>
      <c r="E384">
        <f t="shared" si="15"/>
        <v>10.868</v>
      </c>
      <c r="I384">
        <f t="shared" si="16"/>
        <v>10.868</v>
      </c>
      <c r="J384" t="str">
        <f t="shared" si="17"/>
        <v>Our Cost</v>
      </c>
    </row>
    <row r="385" spans="1:11">
      <c r="A385" t="s">
        <v>3774</v>
      </c>
      <c r="B385" t="s">
        <v>2751</v>
      </c>
      <c r="C385" t="s">
        <v>2248</v>
      </c>
      <c r="D385" t="s">
        <v>2600</v>
      </c>
      <c r="E385">
        <f t="shared" si="15"/>
        <v>285.96424999999999</v>
      </c>
      <c r="I385">
        <f t="shared" si="16"/>
        <v>285.96424999999999</v>
      </c>
      <c r="J385" t="str">
        <f t="shared" si="17"/>
        <v>Our Cost</v>
      </c>
    </row>
    <row r="386" spans="1:11">
      <c r="A386" t="s">
        <v>2222</v>
      </c>
      <c r="B386" t="s">
        <v>2223</v>
      </c>
      <c r="C386" t="s">
        <v>2248</v>
      </c>
      <c r="D386" t="s">
        <v>2600</v>
      </c>
      <c r="E386">
        <f t="shared" si="15"/>
        <v>285.96424999999999</v>
      </c>
      <c r="I386">
        <f t="shared" si="16"/>
        <v>285.96424999999999</v>
      </c>
      <c r="J386" t="str">
        <f t="shared" si="17"/>
        <v>Our Cost</v>
      </c>
    </row>
    <row r="387" spans="1:11">
      <c r="A387" t="s">
        <v>3775</v>
      </c>
      <c r="B387" t="s">
        <v>2752</v>
      </c>
      <c r="C387" t="s">
        <v>2248</v>
      </c>
      <c r="D387" t="s">
        <v>2600</v>
      </c>
      <c r="E387">
        <f t="shared" ref="E387:E450" si="18">+D387*0.65*1.045</f>
        <v>285.96424999999999</v>
      </c>
      <c r="H387">
        <v>217.87</v>
      </c>
      <c r="I387">
        <f t="shared" ref="I387:I450" si="19">+MIN(E387:H387)</f>
        <v>217.87</v>
      </c>
      <c r="J387" t="str">
        <f t="shared" ref="J387:J450" si="20">+_xlfn.SINGLE(_xlfn.XLOOKUP(I387,E387:H387,$E$1:$H$1))</f>
        <v>DC</v>
      </c>
      <c r="K387" t="s">
        <v>3394</v>
      </c>
    </row>
    <row r="388" spans="1:11">
      <c r="A388" t="s">
        <v>3776</v>
      </c>
      <c r="B388" t="s">
        <v>2753</v>
      </c>
      <c r="C388" t="s">
        <v>2248</v>
      </c>
      <c r="D388" t="s">
        <v>2754</v>
      </c>
      <c r="E388">
        <f t="shared" si="18"/>
        <v>345.73824999999999</v>
      </c>
      <c r="H388">
        <v>468.28</v>
      </c>
      <c r="I388">
        <f t="shared" si="19"/>
        <v>345.73824999999999</v>
      </c>
      <c r="J388" t="str">
        <f t="shared" si="20"/>
        <v>Our Cost</v>
      </c>
      <c r="K388" t="s">
        <v>3394</v>
      </c>
    </row>
    <row r="389" spans="1:11">
      <c r="A389" t="s">
        <v>3777</v>
      </c>
      <c r="B389" t="s">
        <v>2755</v>
      </c>
      <c r="C389" t="s">
        <v>2248</v>
      </c>
      <c r="D389" t="s">
        <v>2754</v>
      </c>
      <c r="E389">
        <f t="shared" si="18"/>
        <v>345.73824999999999</v>
      </c>
      <c r="H389">
        <v>468.28</v>
      </c>
      <c r="I389">
        <f t="shared" si="19"/>
        <v>345.73824999999999</v>
      </c>
      <c r="J389" t="str">
        <f t="shared" si="20"/>
        <v>Our Cost</v>
      </c>
      <c r="K389" t="s">
        <v>3394</v>
      </c>
    </row>
    <row r="390" spans="1:11">
      <c r="A390" t="s">
        <v>3778</v>
      </c>
      <c r="B390" t="s">
        <v>2756</v>
      </c>
      <c r="C390" t="s">
        <v>2248</v>
      </c>
      <c r="D390" t="s">
        <v>2757</v>
      </c>
      <c r="E390">
        <f t="shared" si="18"/>
        <v>178.64275000000001</v>
      </c>
      <c r="I390">
        <f t="shared" si="19"/>
        <v>178.64275000000001</v>
      </c>
      <c r="J390" t="str">
        <f t="shared" si="20"/>
        <v>Our Cost</v>
      </c>
      <c r="K390" t="s">
        <v>3394</v>
      </c>
    </row>
    <row r="391" spans="1:11">
      <c r="A391" t="s">
        <v>3779</v>
      </c>
      <c r="B391" t="s">
        <v>2756</v>
      </c>
      <c r="C391" t="s">
        <v>2248</v>
      </c>
      <c r="D391" t="s">
        <v>2758</v>
      </c>
      <c r="E391">
        <f t="shared" si="18"/>
        <v>186.79374999999999</v>
      </c>
      <c r="H391">
        <v>253</v>
      </c>
      <c r="I391">
        <f t="shared" si="19"/>
        <v>186.79374999999999</v>
      </c>
      <c r="J391" t="str">
        <f t="shared" si="20"/>
        <v>Our Cost</v>
      </c>
      <c r="K391" t="s">
        <v>3394</v>
      </c>
    </row>
    <row r="392" spans="1:11">
      <c r="A392" t="s">
        <v>3780</v>
      </c>
      <c r="B392" t="s">
        <v>2759</v>
      </c>
      <c r="C392" t="s">
        <v>2248</v>
      </c>
      <c r="D392" t="s">
        <v>2760</v>
      </c>
      <c r="E392">
        <f t="shared" si="18"/>
        <v>152.83124999999998</v>
      </c>
      <c r="I392">
        <f t="shared" si="19"/>
        <v>152.83124999999998</v>
      </c>
      <c r="J392" t="str">
        <f t="shared" si="20"/>
        <v>Our Cost</v>
      </c>
    </row>
    <row r="393" spans="1:11">
      <c r="A393" t="s">
        <v>3781</v>
      </c>
      <c r="B393" t="s">
        <v>2761</v>
      </c>
      <c r="C393" t="s">
        <v>2248</v>
      </c>
      <c r="D393" t="s">
        <v>2760</v>
      </c>
      <c r="E393">
        <f t="shared" si="18"/>
        <v>152.83124999999998</v>
      </c>
      <c r="H393">
        <v>207</v>
      </c>
      <c r="I393">
        <f t="shared" si="19"/>
        <v>152.83124999999998</v>
      </c>
      <c r="J393" t="str">
        <f t="shared" si="20"/>
        <v>Our Cost</v>
      </c>
      <c r="K393" t="s">
        <v>3394</v>
      </c>
    </row>
    <row r="394" spans="1:11">
      <c r="A394" t="s">
        <v>3782</v>
      </c>
      <c r="B394" t="s">
        <v>2762</v>
      </c>
      <c r="C394" t="s">
        <v>2248</v>
      </c>
      <c r="D394" t="s">
        <v>2763</v>
      </c>
      <c r="E394">
        <f t="shared" si="18"/>
        <v>95.774249999999995</v>
      </c>
      <c r="H394">
        <v>129.72</v>
      </c>
      <c r="I394">
        <f t="shared" si="19"/>
        <v>95.774249999999995</v>
      </c>
      <c r="J394" t="str">
        <f t="shared" si="20"/>
        <v>Our Cost</v>
      </c>
      <c r="K394" t="s">
        <v>3394</v>
      </c>
    </row>
    <row r="395" spans="1:11">
      <c r="A395" t="s">
        <v>3783</v>
      </c>
      <c r="B395" t="s">
        <v>2764</v>
      </c>
      <c r="C395" t="s">
        <v>2248</v>
      </c>
      <c r="D395" t="s">
        <v>2566</v>
      </c>
      <c r="E395">
        <f t="shared" si="18"/>
        <v>36.679499999999997</v>
      </c>
      <c r="G395">
        <v>46.75</v>
      </c>
      <c r="H395">
        <v>49.68</v>
      </c>
      <c r="I395">
        <f t="shared" si="19"/>
        <v>36.679499999999997</v>
      </c>
      <c r="J395" t="str">
        <f t="shared" si="20"/>
        <v>Our Cost</v>
      </c>
      <c r="K395" t="s">
        <v>3394</v>
      </c>
    </row>
    <row r="396" spans="1:11">
      <c r="A396" t="s">
        <v>3784</v>
      </c>
      <c r="B396" t="s">
        <v>2765</v>
      </c>
      <c r="C396" t="s">
        <v>2248</v>
      </c>
      <c r="D396" t="s">
        <v>2766</v>
      </c>
      <c r="E396">
        <f t="shared" si="18"/>
        <v>15.62275</v>
      </c>
      <c r="I396">
        <f t="shared" si="19"/>
        <v>15.62275</v>
      </c>
      <c r="J396" t="str">
        <f t="shared" si="20"/>
        <v>Our Cost</v>
      </c>
    </row>
    <row r="397" spans="1:11">
      <c r="A397" t="s">
        <v>3785</v>
      </c>
      <c r="B397" t="s">
        <v>2767</v>
      </c>
      <c r="C397" t="s">
        <v>2248</v>
      </c>
      <c r="D397" t="s">
        <v>2766</v>
      </c>
      <c r="E397">
        <f t="shared" si="18"/>
        <v>15.62275</v>
      </c>
      <c r="I397">
        <f t="shared" si="19"/>
        <v>15.62275</v>
      </c>
      <c r="J397" t="str">
        <f t="shared" si="20"/>
        <v>Our Cost</v>
      </c>
    </row>
    <row r="398" spans="1:11">
      <c r="A398" t="s">
        <v>3786</v>
      </c>
      <c r="B398" t="s">
        <v>2768</v>
      </c>
      <c r="C398" t="s">
        <v>2248</v>
      </c>
      <c r="D398" t="s">
        <v>2511</v>
      </c>
      <c r="E398">
        <f t="shared" si="18"/>
        <v>33.962499999999999</v>
      </c>
      <c r="H398">
        <v>46</v>
      </c>
      <c r="I398">
        <f t="shared" si="19"/>
        <v>33.962499999999999</v>
      </c>
      <c r="J398" t="str">
        <f t="shared" si="20"/>
        <v>Our Cost</v>
      </c>
      <c r="K398" t="s">
        <v>3394</v>
      </c>
    </row>
    <row r="399" spans="1:11">
      <c r="A399" t="s">
        <v>3787</v>
      </c>
      <c r="B399" t="s">
        <v>2769</v>
      </c>
      <c r="C399" t="s">
        <v>2248</v>
      </c>
      <c r="D399" t="s">
        <v>2520</v>
      </c>
      <c r="E399">
        <f t="shared" si="18"/>
        <v>29.207749999999997</v>
      </c>
      <c r="I399">
        <f t="shared" si="19"/>
        <v>29.207749999999997</v>
      </c>
      <c r="J399" t="str">
        <f t="shared" si="20"/>
        <v>Our Cost</v>
      </c>
    </row>
    <row r="400" spans="1:11">
      <c r="A400" t="s">
        <v>3788</v>
      </c>
      <c r="B400" t="s">
        <v>2770</v>
      </c>
      <c r="C400" t="s">
        <v>2248</v>
      </c>
      <c r="D400" t="s">
        <v>2305</v>
      </c>
      <c r="E400">
        <f t="shared" si="18"/>
        <v>41.434249999999999</v>
      </c>
      <c r="H400">
        <v>52.9</v>
      </c>
      <c r="I400">
        <f t="shared" si="19"/>
        <v>41.434249999999999</v>
      </c>
      <c r="J400" t="str">
        <f t="shared" si="20"/>
        <v>Our Cost</v>
      </c>
    </row>
    <row r="401" spans="1:11">
      <c r="A401" t="s">
        <v>3789</v>
      </c>
      <c r="B401" t="s">
        <v>2771</v>
      </c>
      <c r="C401" t="s">
        <v>2248</v>
      </c>
      <c r="D401" t="s">
        <v>2330</v>
      </c>
      <c r="E401">
        <f t="shared" si="18"/>
        <v>7.4717500000000001</v>
      </c>
      <c r="I401">
        <f t="shared" si="19"/>
        <v>7.4717500000000001</v>
      </c>
      <c r="J401" t="str">
        <f t="shared" si="20"/>
        <v>Our Cost</v>
      </c>
      <c r="K401" t="s">
        <v>3394</v>
      </c>
    </row>
    <row r="402" spans="1:11">
      <c r="A402" t="s">
        <v>3790</v>
      </c>
      <c r="B402" t="s">
        <v>2772</v>
      </c>
      <c r="C402" t="s">
        <v>2248</v>
      </c>
      <c r="D402" t="s">
        <v>2263</v>
      </c>
      <c r="E402">
        <f t="shared" si="18"/>
        <v>119.548</v>
      </c>
      <c r="I402">
        <f t="shared" si="19"/>
        <v>119.548</v>
      </c>
      <c r="J402" t="str">
        <f t="shared" si="20"/>
        <v>Our Cost</v>
      </c>
    </row>
    <row r="403" spans="1:11">
      <c r="A403" t="s">
        <v>3791</v>
      </c>
      <c r="B403" t="s">
        <v>2773</v>
      </c>
      <c r="C403" t="s">
        <v>2248</v>
      </c>
      <c r="D403" t="s">
        <v>2493</v>
      </c>
      <c r="E403">
        <f t="shared" si="18"/>
        <v>14.264249999999999</v>
      </c>
      <c r="H403">
        <v>25.29</v>
      </c>
      <c r="I403">
        <f t="shared" si="19"/>
        <v>14.264249999999999</v>
      </c>
      <c r="J403" t="str">
        <f t="shared" si="20"/>
        <v>Our Cost</v>
      </c>
      <c r="K403" t="s">
        <v>3395</v>
      </c>
    </row>
    <row r="404" spans="1:11">
      <c r="A404" t="s">
        <v>3792</v>
      </c>
      <c r="B404" t="s">
        <v>2774</v>
      </c>
      <c r="C404" t="s">
        <v>2248</v>
      </c>
      <c r="D404" t="s">
        <v>2703</v>
      </c>
      <c r="E404">
        <f t="shared" si="18"/>
        <v>20.377499999999998</v>
      </c>
      <c r="I404">
        <f t="shared" si="19"/>
        <v>20.377499999999998</v>
      </c>
      <c r="J404" t="str">
        <f t="shared" si="20"/>
        <v>Our Cost</v>
      </c>
    </row>
    <row r="405" spans="1:11">
      <c r="A405" t="s">
        <v>3793</v>
      </c>
      <c r="B405" t="s">
        <v>2775</v>
      </c>
      <c r="C405" t="s">
        <v>2248</v>
      </c>
      <c r="D405" t="s">
        <v>2566</v>
      </c>
      <c r="E405">
        <f t="shared" si="18"/>
        <v>36.679499999999997</v>
      </c>
      <c r="H405">
        <v>49.68</v>
      </c>
      <c r="I405">
        <f t="shared" si="19"/>
        <v>36.679499999999997</v>
      </c>
      <c r="J405" t="str">
        <f t="shared" si="20"/>
        <v>Our Cost</v>
      </c>
      <c r="K405" t="s">
        <v>3394</v>
      </c>
    </row>
    <row r="406" spans="1:11">
      <c r="A406" t="s">
        <v>3794</v>
      </c>
      <c r="B406" t="s">
        <v>2776</v>
      </c>
      <c r="C406" t="s">
        <v>2248</v>
      </c>
      <c r="D406" t="s">
        <v>2471</v>
      </c>
      <c r="E406">
        <f t="shared" si="18"/>
        <v>49.585250000000002</v>
      </c>
      <c r="G406">
        <v>55.25</v>
      </c>
      <c r="H406">
        <v>41.98</v>
      </c>
      <c r="I406">
        <f t="shared" si="19"/>
        <v>41.98</v>
      </c>
      <c r="J406" t="str">
        <f t="shared" si="20"/>
        <v>DC</v>
      </c>
      <c r="K406" t="s">
        <v>3394</v>
      </c>
    </row>
    <row r="407" spans="1:11">
      <c r="A407" t="s">
        <v>3795</v>
      </c>
      <c r="B407" t="s">
        <v>2777</v>
      </c>
      <c r="C407" t="s">
        <v>2248</v>
      </c>
      <c r="D407" t="s">
        <v>2763</v>
      </c>
      <c r="E407">
        <f t="shared" si="18"/>
        <v>95.774249999999995</v>
      </c>
      <c r="H407">
        <v>129.72</v>
      </c>
      <c r="I407">
        <f t="shared" si="19"/>
        <v>95.774249999999995</v>
      </c>
      <c r="J407" t="str">
        <f t="shared" si="20"/>
        <v>Our Cost</v>
      </c>
      <c r="K407" t="s">
        <v>3395</v>
      </c>
    </row>
    <row r="408" spans="1:11">
      <c r="A408" t="s">
        <v>3796</v>
      </c>
      <c r="B408" t="s">
        <v>2778</v>
      </c>
      <c r="C408" t="s">
        <v>2248</v>
      </c>
      <c r="D408" t="s">
        <v>2303</v>
      </c>
      <c r="E408">
        <f t="shared" si="18"/>
        <v>28.528499999999998</v>
      </c>
      <c r="I408">
        <f t="shared" si="19"/>
        <v>28.528499999999998</v>
      </c>
      <c r="J408" t="str">
        <f t="shared" si="20"/>
        <v>Our Cost</v>
      </c>
    </row>
    <row r="409" spans="1:11">
      <c r="A409" t="s">
        <v>3797</v>
      </c>
      <c r="B409" t="s">
        <v>2779</v>
      </c>
      <c r="C409" t="s">
        <v>2248</v>
      </c>
      <c r="D409" t="s">
        <v>2780</v>
      </c>
      <c r="E409">
        <f t="shared" si="18"/>
        <v>19.018999999999998</v>
      </c>
      <c r="I409">
        <f t="shared" si="19"/>
        <v>19.018999999999998</v>
      </c>
      <c r="J409" t="str">
        <f t="shared" si="20"/>
        <v>Our Cost</v>
      </c>
    </row>
    <row r="410" spans="1:11">
      <c r="A410" t="s">
        <v>3798</v>
      </c>
      <c r="B410" t="s">
        <v>2781</v>
      </c>
      <c r="C410" t="s">
        <v>2248</v>
      </c>
      <c r="D410" t="s">
        <v>2782</v>
      </c>
      <c r="E410">
        <f t="shared" si="18"/>
        <v>1033.1392499999999</v>
      </c>
      <c r="I410">
        <f t="shared" si="19"/>
        <v>1033.1392499999999</v>
      </c>
      <c r="J410" t="str">
        <f t="shared" si="20"/>
        <v>Our Cost</v>
      </c>
    </row>
    <row r="411" spans="1:11">
      <c r="A411" t="s">
        <v>3799</v>
      </c>
      <c r="B411" t="s">
        <v>2783</v>
      </c>
      <c r="C411" t="s">
        <v>2248</v>
      </c>
      <c r="D411" t="s">
        <v>2784</v>
      </c>
      <c r="E411">
        <f t="shared" si="18"/>
        <v>828.68499999999995</v>
      </c>
      <c r="I411">
        <f t="shared" si="19"/>
        <v>828.68499999999995</v>
      </c>
      <c r="J411" t="str">
        <f t="shared" si="20"/>
        <v>Our Cost</v>
      </c>
    </row>
    <row r="412" spans="1:11">
      <c r="A412" t="s">
        <v>3800</v>
      </c>
      <c r="B412" t="s">
        <v>2785</v>
      </c>
      <c r="C412" t="s">
        <v>2248</v>
      </c>
      <c r="D412" t="s">
        <v>2786</v>
      </c>
      <c r="E412">
        <f t="shared" si="18"/>
        <v>848.38324999999998</v>
      </c>
      <c r="I412">
        <f t="shared" si="19"/>
        <v>848.38324999999998</v>
      </c>
      <c r="J412" t="str">
        <f t="shared" si="20"/>
        <v>Our Cost</v>
      </c>
    </row>
    <row r="413" spans="1:11">
      <c r="A413" t="s">
        <v>3801</v>
      </c>
      <c r="B413" t="s">
        <v>2787</v>
      </c>
      <c r="C413" t="s">
        <v>2248</v>
      </c>
      <c r="D413" t="s">
        <v>2788</v>
      </c>
      <c r="E413">
        <f t="shared" si="18"/>
        <v>1768.7670000000001</v>
      </c>
      <c r="I413">
        <f t="shared" si="19"/>
        <v>1768.7670000000001</v>
      </c>
      <c r="J413" t="str">
        <f t="shared" si="20"/>
        <v>Our Cost</v>
      </c>
    </row>
    <row r="414" spans="1:11">
      <c r="A414" t="s">
        <v>3802</v>
      </c>
      <c r="B414" t="s">
        <v>2789</v>
      </c>
      <c r="C414" t="s">
        <v>2248</v>
      </c>
      <c r="D414" t="s">
        <v>2790</v>
      </c>
      <c r="E414">
        <f t="shared" si="18"/>
        <v>1569.0674999999999</v>
      </c>
      <c r="I414">
        <f t="shared" si="19"/>
        <v>1569.0674999999999</v>
      </c>
      <c r="J414" t="str">
        <f t="shared" si="20"/>
        <v>Our Cost</v>
      </c>
    </row>
    <row r="415" spans="1:11">
      <c r="A415" t="s">
        <v>3803</v>
      </c>
      <c r="B415" t="s">
        <v>2791</v>
      </c>
      <c r="C415" t="s">
        <v>2248</v>
      </c>
      <c r="D415" t="s">
        <v>2792</v>
      </c>
      <c r="E415">
        <f t="shared" si="18"/>
        <v>1583.3317500000001</v>
      </c>
      <c r="I415">
        <f t="shared" si="19"/>
        <v>1583.3317500000001</v>
      </c>
      <c r="J415" t="str">
        <f t="shared" si="20"/>
        <v>Our Cost</v>
      </c>
    </row>
    <row r="416" spans="1:11">
      <c r="A416" t="s">
        <v>3804</v>
      </c>
      <c r="B416" t="s">
        <v>2793</v>
      </c>
      <c r="C416" t="s">
        <v>2248</v>
      </c>
      <c r="D416" t="s">
        <v>2794</v>
      </c>
      <c r="E416">
        <f t="shared" si="18"/>
        <v>173.20874999999998</v>
      </c>
      <c r="H416">
        <v>234.6</v>
      </c>
      <c r="I416">
        <f t="shared" si="19"/>
        <v>173.20874999999998</v>
      </c>
      <c r="J416" t="str">
        <f t="shared" si="20"/>
        <v>Our Cost</v>
      </c>
    </row>
    <row r="417" spans="1:11">
      <c r="A417" t="s">
        <v>3805</v>
      </c>
      <c r="B417" t="s">
        <v>2795</v>
      </c>
      <c r="C417" t="s">
        <v>2248</v>
      </c>
      <c r="D417" t="s">
        <v>2796</v>
      </c>
      <c r="E417">
        <f t="shared" si="18"/>
        <v>438.11624999999998</v>
      </c>
      <c r="I417">
        <f t="shared" si="19"/>
        <v>438.11624999999998</v>
      </c>
      <c r="J417" t="str">
        <f t="shared" si="20"/>
        <v>Our Cost</v>
      </c>
    </row>
    <row r="418" spans="1:11">
      <c r="A418" t="s">
        <v>3806</v>
      </c>
      <c r="B418" t="s">
        <v>2797</v>
      </c>
      <c r="C418" t="s">
        <v>2248</v>
      </c>
      <c r="D418" t="s">
        <v>2378</v>
      </c>
      <c r="E418">
        <f t="shared" si="18"/>
        <v>183.39749999999998</v>
      </c>
      <c r="H418">
        <v>248.4</v>
      </c>
      <c r="I418">
        <f t="shared" si="19"/>
        <v>183.39749999999998</v>
      </c>
      <c r="J418" t="str">
        <f t="shared" si="20"/>
        <v>Our Cost</v>
      </c>
    </row>
    <row r="419" spans="1:11">
      <c r="A419" t="s">
        <v>3807</v>
      </c>
      <c r="B419" t="s">
        <v>2798</v>
      </c>
      <c r="C419" t="s">
        <v>2248</v>
      </c>
      <c r="D419" t="s">
        <v>2378</v>
      </c>
      <c r="E419">
        <f t="shared" si="18"/>
        <v>183.39749999999998</v>
      </c>
      <c r="G419">
        <v>199.75</v>
      </c>
      <c r="H419">
        <v>248.4</v>
      </c>
      <c r="I419">
        <f t="shared" si="19"/>
        <v>183.39749999999998</v>
      </c>
      <c r="J419" t="str">
        <f t="shared" si="20"/>
        <v>Our Cost</v>
      </c>
      <c r="K419" t="s">
        <v>3394</v>
      </c>
    </row>
    <row r="420" spans="1:11">
      <c r="A420" t="s">
        <v>3808</v>
      </c>
      <c r="B420" t="s">
        <v>2799</v>
      </c>
      <c r="C420" t="s">
        <v>2248</v>
      </c>
      <c r="D420" t="s">
        <v>2800</v>
      </c>
      <c r="E420">
        <f t="shared" si="18"/>
        <v>124.30274999999999</v>
      </c>
      <c r="I420">
        <f t="shared" si="19"/>
        <v>124.30274999999999</v>
      </c>
      <c r="J420" t="str">
        <f t="shared" si="20"/>
        <v>Our Cost</v>
      </c>
    </row>
    <row r="421" spans="1:11">
      <c r="A421" t="s">
        <v>3809</v>
      </c>
      <c r="B421" t="s">
        <v>2801</v>
      </c>
      <c r="C421" t="s">
        <v>2248</v>
      </c>
      <c r="D421" t="s">
        <v>2802</v>
      </c>
      <c r="E421">
        <f t="shared" si="18"/>
        <v>305.66249999999997</v>
      </c>
      <c r="I421">
        <f t="shared" si="19"/>
        <v>305.66249999999997</v>
      </c>
      <c r="J421" t="str">
        <f t="shared" si="20"/>
        <v>Our Cost</v>
      </c>
    </row>
    <row r="422" spans="1:11">
      <c r="A422" t="s">
        <v>3810</v>
      </c>
      <c r="B422" t="s">
        <v>2803</v>
      </c>
      <c r="C422" t="s">
        <v>2248</v>
      </c>
      <c r="D422" t="s">
        <v>2804</v>
      </c>
      <c r="E422">
        <f t="shared" si="18"/>
        <v>449.6635</v>
      </c>
      <c r="H422">
        <v>609.04</v>
      </c>
      <c r="I422">
        <f t="shared" si="19"/>
        <v>449.6635</v>
      </c>
      <c r="J422" t="str">
        <f t="shared" si="20"/>
        <v>Our Cost</v>
      </c>
    </row>
    <row r="423" spans="1:11">
      <c r="A423" t="s">
        <v>3811</v>
      </c>
      <c r="B423" t="s">
        <v>2805</v>
      </c>
      <c r="C423" t="s">
        <v>2248</v>
      </c>
      <c r="D423" t="s">
        <v>2760</v>
      </c>
      <c r="E423">
        <f t="shared" si="18"/>
        <v>152.83124999999998</v>
      </c>
      <c r="H423">
        <v>207</v>
      </c>
      <c r="I423">
        <f t="shared" si="19"/>
        <v>152.83124999999998</v>
      </c>
      <c r="J423" t="str">
        <f t="shared" si="20"/>
        <v>Our Cost</v>
      </c>
    </row>
    <row r="424" spans="1:11">
      <c r="A424" t="s">
        <v>3812</v>
      </c>
      <c r="B424" t="s">
        <v>2701</v>
      </c>
      <c r="C424" t="s">
        <v>2248</v>
      </c>
      <c r="D424" t="s">
        <v>2664</v>
      </c>
      <c r="E424">
        <f t="shared" si="18"/>
        <v>22.415249999999997</v>
      </c>
      <c r="I424">
        <f t="shared" si="19"/>
        <v>22.415249999999997</v>
      </c>
      <c r="J424" t="str">
        <f t="shared" si="20"/>
        <v>Our Cost</v>
      </c>
      <c r="K424" t="s">
        <v>3394</v>
      </c>
    </row>
    <row r="425" spans="1:11">
      <c r="A425" t="s">
        <v>3813</v>
      </c>
      <c r="B425" t="s">
        <v>2806</v>
      </c>
      <c r="C425" t="s">
        <v>2248</v>
      </c>
      <c r="D425" t="s">
        <v>2807</v>
      </c>
      <c r="E425">
        <f t="shared" si="18"/>
        <v>750.57124999999996</v>
      </c>
      <c r="I425">
        <f t="shared" si="19"/>
        <v>750.57124999999996</v>
      </c>
      <c r="J425" t="str">
        <f t="shared" si="20"/>
        <v>Our Cost</v>
      </c>
    </row>
    <row r="426" spans="1:11">
      <c r="A426" t="s">
        <v>3814</v>
      </c>
      <c r="B426" t="s">
        <v>2808</v>
      </c>
      <c r="C426" t="s">
        <v>2248</v>
      </c>
      <c r="D426" t="s">
        <v>2809</v>
      </c>
      <c r="E426">
        <f t="shared" si="18"/>
        <v>550.87174999999991</v>
      </c>
      <c r="I426">
        <f t="shared" si="19"/>
        <v>550.87174999999991</v>
      </c>
      <c r="J426" t="str">
        <f t="shared" si="20"/>
        <v>Our Cost</v>
      </c>
    </row>
    <row r="427" spans="1:11">
      <c r="A427" t="s">
        <v>3815</v>
      </c>
      <c r="B427" t="s">
        <v>2810</v>
      </c>
      <c r="C427" t="s">
        <v>2248</v>
      </c>
      <c r="D427" t="s">
        <v>2811</v>
      </c>
      <c r="E427">
        <f t="shared" si="18"/>
        <v>565.81524999999999</v>
      </c>
      <c r="I427">
        <f t="shared" si="19"/>
        <v>565.81524999999999</v>
      </c>
      <c r="J427" t="str">
        <f t="shared" si="20"/>
        <v>Our Cost</v>
      </c>
    </row>
    <row r="428" spans="1:11">
      <c r="A428" t="s">
        <v>3816</v>
      </c>
      <c r="B428" t="s">
        <v>2812</v>
      </c>
      <c r="C428" t="s">
        <v>2248</v>
      </c>
      <c r="D428" t="s">
        <v>2813</v>
      </c>
      <c r="E428">
        <f t="shared" si="18"/>
        <v>1217.2159999999999</v>
      </c>
      <c r="I428">
        <f t="shared" si="19"/>
        <v>1217.2159999999999</v>
      </c>
      <c r="J428" t="str">
        <f t="shared" si="20"/>
        <v>Our Cost</v>
      </c>
    </row>
    <row r="429" spans="1:11">
      <c r="A429" t="s">
        <v>3817</v>
      </c>
      <c r="B429" t="s">
        <v>2814</v>
      </c>
      <c r="C429" t="s">
        <v>2248</v>
      </c>
      <c r="D429" t="s">
        <v>2815</v>
      </c>
      <c r="E429">
        <f t="shared" si="18"/>
        <v>1000.53525</v>
      </c>
      <c r="I429">
        <f t="shared" si="19"/>
        <v>1000.53525</v>
      </c>
      <c r="J429" t="str">
        <f t="shared" si="20"/>
        <v>Our Cost</v>
      </c>
    </row>
    <row r="430" spans="1:11">
      <c r="A430" t="s">
        <v>3818</v>
      </c>
      <c r="B430" t="s">
        <v>2816</v>
      </c>
      <c r="C430" t="s">
        <v>2248</v>
      </c>
      <c r="D430" t="s">
        <v>2817</v>
      </c>
      <c r="E430">
        <f t="shared" si="18"/>
        <v>1032.46</v>
      </c>
      <c r="I430">
        <f t="shared" si="19"/>
        <v>1032.46</v>
      </c>
      <c r="J430" t="str">
        <f t="shared" si="20"/>
        <v>Our Cost</v>
      </c>
    </row>
    <row r="431" spans="1:11">
      <c r="A431" t="s">
        <v>3819</v>
      </c>
      <c r="B431" t="s">
        <v>2818</v>
      </c>
      <c r="C431" t="s">
        <v>2248</v>
      </c>
      <c r="D431" t="s">
        <v>2400</v>
      </c>
      <c r="E431">
        <f t="shared" si="18"/>
        <v>24.452999999999999</v>
      </c>
      <c r="I431">
        <f t="shared" si="19"/>
        <v>24.452999999999999</v>
      </c>
      <c r="J431" t="str">
        <f t="shared" si="20"/>
        <v>Our Cost</v>
      </c>
    </row>
    <row r="432" spans="1:11">
      <c r="A432" t="s">
        <v>3820</v>
      </c>
      <c r="B432" t="s">
        <v>2819</v>
      </c>
      <c r="C432" t="s">
        <v>2248</v>
      </c>
      <c r="D432" t="s">
        <v>2820</v>
      </c>
      <c r="E432">
        <f t="shared" si="18"/>
        <v>48.905999999999999</v>
      </c>
      <c r="I432">
        <f t="shared" si="19"/>
        <v>48.905999999999999</v>
      </c>
      <c r="J432" t="str">
        <f t="shared" si="20"/>
        <v>Our Cost</v>
      </c>
    </row>
    <row r="433" spans="1:11">
      <c r="A433" t="s">
        <v>3821</v>
      </c>
      <c r="B433" t="s">
        <v>2821</v>
      </c>
      <c r="C433" t="s">
        <v>2248</v>
      </c>
      <c r="D433" t="s">
        <v>2822</v>
      </c>
      <c r="E433">
        <f t="shared" si="18"/>
        <v>417.05950000000001</v>
      </c>
      <c r="H433">
        <v>564.88</v>
      </c>
      <c r="I433">
        <f t="shared" si="19"/>
        <v>417.05950000000001</v>
      </c>
      <c r="J433" t="str">
        <f t="shared" si="20"/>
        <v>Our Cost</v>
      </c>
      <c r="K433" t="s">
        <v>3395</v>
      </c>
    </row>
    <row r="434" spans="1:11">
      <c r="A434" t="s">
        <v>2224</v>
      </c>
      <c r="B434" t="s">
        <v>2225</v>
      </c>
      <c r="C434" t="s">
        <v>2248</v>
      </c>
      <c r="D434" t="s">
        <v>2823</v>
      </c>
      <c r="E434">
        <f t="shared" si="18"/>
        <v>501.96575000000001</v>
      </c>
      <c r="H434">
        <v>679.88</v>
      </c>
      <c r="I434">
        <f t="shared" si="19"/>
        <v>501.96575000000001</v>
      </c>
      <c r="J434" t="str">
        <f t="shared" si="20"/>
        <v>Our Cost</v>
      </c>
    </row>
    <row r="435" spans="1:11">
      <c r="A435" t="s">
        <v>3822</v>
      </c>
      <c r="B435" t="s">
        <v>2824</v>
      </c>
      <c r="C435" t="s">
        <v>2248</v>
      </c>
      <c r="D435" t="s">
        <v>2823</v>
      </c>
      <c r="E435">
        <f t="shared" si="18"/>
        <v>501.96575000000001</v>
      </c>
      <c r="H435">
        <v>679.88</v>
      </c>
      <c r="I435">
        <f t="shared" si="19"/>
        <v>501.96575000000001</v>
      </c>
      <c r="J435" t="str">
        <f t="shared" si="20"/>
        <v>Our Cost</v>
      </c>
    </row>
    <row r="436" spans="1:11">
      <c r="A436" t="s">
        <v>3823</v>
      </c>
      <c r="B436" t="s">
        <v>2825</v>
      </c>
      <c r="C436" t="s">
        <v>2248</v>
      </c>
      <c r="D436" t="s">
        <v>2826</v>
      </c>
      <c r="E436">
        <f t="shared" si="18"/>
        <v>93.057249999999996</v>
      </c>
      <c r="I436">
        <f t="shared" si="19"/>
        <v>93.057249999999996</v>
      </c>
      <c r="J436" t="str">
        <f t="shared" si="20"/>
        <v>Our Cost</v>
      </c>
    </row>
    <row r="437" spans="1:11">
      <c r="A437" t="s">
        <v>3824</v>
      </c>
      <c r="B437" t="s">
        <v>2827</v>
      </c>
      <c r="C437" t="s">
        <v>2248</v>
      </c>
      <c r="D437" t="s">
        <v>2828</v>
      </c>
      <c r="E437">
        <f t="shared" si="18"/>
        <v>3272.6264999999999</v>
      </c>
      <c r="G437">
        <v>584.79999999999995</v>
      </c>
      <c r="I437">
        <f t="shared" si="19"/>
        <v>584.79999999999995</v>
      </c>
      <c r="J437" t="str">
        <f t="shared" si="20"/>
        <v>Addison</v>
      </c>
    </row>
    <row r="438" spans="1:11">
      <c r="A438" t="s">
        <v>3825</v>
      </c>
      <c r="B438" t="s">
        <v>2829</v>
      </c>
      <c r="C438" t="s">
        <v>2248</v>
      </c>
      <c r="D438" t="s">
        <v>2830</v>
      </c>
      <c r="E438">
        <f t="shared" si="18"/>
        <v>3409.8349999999996</v>
      </c>
      <c r="I438">
        <f t="shared" si="19"/>
        <v>3409.8349999999996</v>
      </c>
      <c r="J438" t="str">
        <f t="shared" si="20"/>
        <v>Our Cost</v>
      </c>
    </row>
    <row r="439" spans="1:11">
      <c r="A439" t="s">
        <v>3826</v>
      </c>
      <c r="B439" t="s">
        <v>2831</v>
      </c>
      <c r="C439" t="s">
        <v>2248</v>
      </c>
      <c r="D439" t="s">
        <v>2832</v>
      </c>
      <c r="E439">
        <f t="shared" si="18"/>
        <v>120.90649999999999</v>
      </c>
      <c r="I439">
        <f t="shared" si="19"/>
        <v>120.90649999999999</v>
      </c>
      <c r="J439" t="str">
        <f t="shared" si="20"/>
        <v>Our Cost</v>
      </c>
    </row>
    <row r="440" spans="1:11">
      <c r="A440" t="s">
        <v>3827</v>
      </c>
      <c r="B440" t="s">
        <v>2833</v>
      </c>
      <c r="C440" t="s">
        <v>2248</v>
      </c>
      <c r="D440" t="s">
        <v>2834</v>
      </c>
      <c r="E440">
        <f t="shared" si="18"/>
        <v>816.45850000000007</v>
      </c>
      <c r="I440">
        <f t="shared" si="19"/>
        <v>816.45850000000007</v>
      </c>
      <c r="J440" t="str">
        <f t="shared" si="20"/>
        <v>Our Cost</v>
      </c>
    </row>
    <row r="441" spans="1:11">
      <c r="A441" t="s">
        <v>3828</v>
      </c>
      <c r="B441" t="s">
        <v>2835</v>
      </c>
      <c r="C441" t="s">
        <v>2248</v>
      </c>
      <c r="D441" t="s">
        <v>2836</v>
      </c>
      <c r="E441">
        <f t="shared" si="18"/>
        <v>333.51175000000001</v>
      </c>
      <c r="I441">
        <f t="shared" si="19"/>
        <v>333.51175000000001</v>
      </c>
      <c r="J441" t="str">
        <f t="shared" si="20"/>
        <v>Our Cost</v>
      </c>
    </row>
    <row r="442" spans="1:11">
      <c r="A442" t="s">
        <v>3829</v>
      </c>
      <c r="B442" t="s">
        <v>2837</v>
      </c>
      <c r="C442" t="s">
        <v>2248</v>
      </c>
      <c r="D442" t="s">
        <v>2838</v>
      </c>
      <c r="E442">
        <f t="shared" si="18"/>
        <v>180.68049999999999</v>
      </c>
      <c r="H442">
        <v>244.72</v>
      </c>
      <c r="I442">
        <f t="shared" si="19"/>
        <v>180.68049999999999</v>
      </c>
      <c r="J442" t="str">
        <f t="shared" si="20"/>
        <v>Our Cost</v>
      </c>
    </row>
    <row r="443" spans="1:11">
      <c r="A443" t="s">
        <v>3830</v>
      </c>
      <c r="B443" t="s">
        <v>2555</v>
      </c>
      <c r="C443" t="s">
        <v>2248</v>
      </c>
      <c r="D443" t="s">
        <v>2303</v>
      </c>
      <c r="E443">
        <f t="shared" si="18"/>
        <v>28.528499999999998</v>
      </c>
      <c r="I443">
        <f t="shared" si="19"/>
        <v>28.528499999999998</v>
      </c>
      <c r="J443" t="str">
        <f t="shared" si="20"/>
        <v>Our Cost</v>
      </c>
    </row>
    <row r="444" spans="1:11">
      <c r="A444" t="s">
        <v>3831</v>
      </c>
      <c r="B444" t="s">
        <v>2839</v>
      </c>
      <c r="C444" t="s">
        <v>2248</v>
      </c>
      <c r="D444" t="s">
        <v>2840</v>
      </c>
      <c r="E444">
        <f t="shared" si="18"/>
        <v>267.62450000000001</v>
      </c>
      <c r="I444">
        <f t="shared" si="19"/>
        <v>267.62450000000001</v>
      </c>
      <c r="J444" t="str">
        <f t="shared" si="20"/>
        <v>Our Cost</v>
      </c>
    </row>
    <row r="445" spans="1:11">
      <c r="A445" t="s">
        <v>3832</v>
      </c>
      <c r="B445" t="s">
        <v>2841</v>
      </c>
      <c r="C445" t="s">
        <v>2248</v>
      </c>
      <c r="D445" t="s">
        <v>2842</v>
      </c>
      <c r="E445">
        <f t="shared" si="18"/>
        <v>150.11425</v>
      </c>
      <c r="I445">
        <f t="shared" si="19"/>
        <v>150.11425</v>
      </c>
      <c r="J445" t="str">
        <f t="shared" si="20"/>
        <v>Our Cost</v>
      </c>
    </row>
    <row r="446" spans="1:11">
      <c r="A446" t="s">
        <v>3833</v>
      </c>
      <c r="B446" t="s">
        <v>2843</v>
      </c>
      <c r="C446" t="s">
        <v>2248</v>
      </c>
      <c r="D446" t="s">
        <v>2511</v>
      </c>
      <c r="E446">
        <f t="shared" si="18"/>
        <v>33.962499999999999</v>
      </c>
      <c r="H446">
        <v>46</v>
      </c>
      <c r="I446">
        <f t="shared" si="19"/>
        <v>33.962499999999999</v>
      </c>
      <c r="J446" t="str">
        <f t="shared" si="20"/>
        <v>Our Cost</v>
      </c>
    </row>
    <row r="447" spans="1:11">
      <c r="A447" t="s">
        <v>3834</v>
      </c>
      <c r="B447" t="s">
        <v>2844</v>
      </c>
      <c r="C447" t="s">
        <v>2248</v>
      </c>
      <c r="D447" t="s">
        <v>2845</v>
      </c>
      <c r="E447">
        <f t="shared" si="18"/>
        <v>79.472249999999988</v>
      </c>
      <c r="I447">
        <f t="shared" si="19"/>
        <v>79.472249999999988</v>
      </c>
      <c r="J447" t="str">
        <f t="shared" si="20"/>
        <v>Our Cost</v>
      </c>
    </row>
    <row r="448" spans="1:11">
      <c r="A448" t="s">
        <v>3835</v>
      </c>
      <c r="B448" t="s">
        <v>2846</v>
      </c>
      <c r="C448" t="s">
        <v>2248</v>
      </c>
      <c r="D448" t="s">
        <v>2562</v>
      </c>
      <c r="E448">
        <f t="shared" si="18"/>
        <v>21.736000000000001</v>
      </c>
      <c r="I448">
        <f t="shared" si="19"/>
        <v>21.736000000000001</v>
      </c>
      <c r="J448" t="str">
        <f t="shared" si="20"/>
        <v>Our Cost</v>
      </c>
    </row>
    <row r="449" spans="1:10">
      <c r="A449" t="s">
        <v>3836</v>
      </c>
      <c r="B449" t="s">
        <v>2847</v>
      </c>
      <c r="C449" t="s">
        <v>2248</v>
      </c>
      <c r="D449" t="s">
        <v>2848</v>
      </c>
      <c r="E449">
        <f t="shared" si="18"/>
        <v>136.52924999999999</v>
      </c>
      <c r="I449">
        <f t="shared" si="19"/>
        <v>136.52924999999999</v>
      </c>
      <c r="J449" t="str">
        <f t="shared" si="20"/>
        <v>Our Cost</v>
      </c>
    </row>
    <row r="450" spans="1:10">
      <c r="A450" t="s">
        <v>3837</v>
      </c>
      <c r="B450" t="s">
        <v>2849</v>
      </c>
      <c r="C450" t="s">
        <v>2248</v>
      </c>
      <c r="D450" t="s">
        <v>2703</v>
      </c>
      <c r="E450">
        <f t="shared" si="18"/>
        <v>20.377499999999998</v>
      </c>
      <c r="H450">
        <v>27.6</v>
      </c>
      <c r="I450">
        <f t="shared" si="19"/>
        <v>20.377499999999998</v>
      </c>
      <c r="J450" t="str">
        <f t="shared" si="20"/>
        <v>Our Cost</v>
      </c>
    </row>
    <row r="451" spans="1:10">
      <c r="A451" t="s">
        <v>3838</v>
      </c>
      <c r="B451" t="s">
        <v>2850</v>
      </c>
      <c r="C451" t="s">
        <v>2248</v>
      </c>
      <c r="D451" t="s">
        <v>2469</v>
      </c>
      <c r="E451">
        <f t="shared" ref="E451:E514" si="21">+D451*0.65*1.045</f>
        <v>17.660500000000003</v>
      </c>
      <c r="I451">
        <f t="shared" ref="I451:I514" si="22">+MIN(E451:H451)</f>
        <v>17.660500000000003</v>
      </c>
      <c r="J451" t="str">
        <f t="shared" ref="J451:J514" si="23">+_xlfn.SINGLE(_xlfn.XLOOKUP(I451,E451:H451,$E$1:$H$1))</f>
        <v>Our Cost</v>
      </c>
    </row>
    <row r="452" spans="1:10">
      <c r="A452" t="s">
        <v>3839</v>
      </c>
      <c r="B452" t="s">
        <v>2851</v>
      </c>
      <c r="C452" t="s">
        <v>2248</v>
      </c>
      <c r="D452" t="s">
        <v>2535</v>
      </c>
      <c r="E452">
        <f t="shared" si="21"/>
        <v>82.868499999999997</v>
      </c>
      <c r="I452">
        <f t="shared" si="22"/>
        <v>82.868499999999997</v>
      </c>
      <c r="J452" t="str">
        <f t="shared" si="23"/>
        <v>Our Cost</v>
      </c>
    </row>
    <row r="453" spans="1:10">
      <c r="A453" t="s">
        <v>3840</v>
      </c>
      <c r="B453" t="s">
        <v>2851</v>
      </c>
      <c r="C453" t="s">
        <v>2248</v>
      </c>
      <c r="D453" t="s">
        <v>2312</v>
      </c>
      <c r="E453">
        <f t="shared" si="21"/>
        <v>84.90625</v>
      </c>
      <c r="I453">
        <f t="shared" si="22"/>
        <v>84.90625</v>
      </c>
      <c r="J453" t="str">
        <f t="shared" si="23"/>
        <v>Our Cost</v>
      </c>
    </row>
    <row r="454" spans="1:10">
      <c r="A454" t="s">
        <v>3841</v>
      </c>
      <c r="B454" t="s">
        <v>2852</v>
      </c>
      <c r="C454" t="s">
        <v>2248</v>
      </c>
      <c r="D454" t="s">
        <v>2535</v>
      </c>
      <c r="E454">
        <f t="shared" si="21"/>
        <v>82.868499999999997</v>
      </c>
      <c r="I454">
        <f t="shared" si="22"/>
        <v>82.868499999999997</v>
      </c>
      <c r="J454" t="str">
        <f t="shared" si="23"/>
        <v>Our Cost</v>
      </c>
    </row>
    <row r="455" spans="1:10">
      <c r="A455" t="s">
        <v>3842</v>
      </c>
      <c r="B455" t="s">
        <v>2852</v>
      </c>
      <c r="C455" t="s">
        <v>2248</v>
      </c>
      <c r="D455" t="s">
        <v>2312</v>
      </c>
      <c r="E455">
        <f t="shared" si="21"/>
        <v>84.90625</v>
      </c>
      <c r="I455">
        <f t="shared" si="22"/>
        <v>84.90625</v>
      </c>
      <c r="J455" t="str">
        <f t="shared" si="23"/>
        <v>Our Cost</v>
      </c>
    </row>
    <row r="456" spans="1:10">
      <c r="A456" t="s">
        <v>3843</v>
      </c>
      <c r="B456" t="s">
        <v>2853</v>
      </c>
      <c r="C456" t="s">
        <v>2248</v>
      </c>
      <c r="D456" t="s">
        <v>2854</v>
      </c>
      <c r="E456">
        <f t="shared" si="21"/>
        <v>131.77449999999999</v>
      </c>
      <c r="I456">
        <f t="shared" si="22"/>
        <v>131.77449999999999</v>
      </c>
      <c r="J456" t="str">
        <f t="shared" si="23"/>
        <v>Our Cost</v>
      </c>
    </row>
    <row r="457" spans="1:10">
      <c r="A457" t="s">
        <v>3844</v>
      </c>
      <c r="B457" t="s">
        <v>2853</v>
      </c>
      <c r="C457" t="s">
        <v>2248</v>
      </c>
      <c r="D457" t="s">
        <v>2855</v>
      </c>
      <c r="E457">
        <f t="shared" si="21"/>
        <v>141.28400000000002</v>
      </c>
      <c r="I457">
        <f t="shared" si="22"/>
        <v>141.28400000000002</v>
      </c>
      <c r="J457" t="str">
        <f t="shared" si="23"/>
        <v>Our Cost</v>
      </c>
    </row>
    <row r="458" spans="1:10">
      <c r="A458" t="s">
        <v>3845</v>
      </c>
      <c r="B458" t="s">
        <v>2856</v>
      </c>
      <c r="C458" t="s">
        <v>2248</v>
      </c>
      <c r="D458" t="s">
        <v>2800</v>
      </c>
      <c r="E458">
        <f t="shared" si="21"/>
        <v>124.30274999999999</v>
      </c>
      <c r="I458">
        <f t="shared" si="22"/>
        <v>124.30274999999999</v>
      </c>
      <c r="J458" t="str">
        <f t="shared" si="23"/>
        <v>Our Cost</v>
      </c>
    </row>
    <row r="459" spans="1:10">
      <c r="A459" t="s">
        <v>3846</v>
      </c>
      <c r="B459" t="s">
        <v>2857</v>
      </c>
      <c r="C459" t="s">
        <v>2248</v>
      </c>
      <c r="D459" t="s">
        <v>2858</v>
      </c>
      <c r="E459">
        <f t="shared" si="21"/>
        <v>154.18975</v>
      </c>
      <c r="I459">
        <f t="shared" si="22"/>
        <v>154.18975</v>
      </c>
      <c r="J459" t="str">
        <f t="shared" si="23"/>
        <v>Our Cost</v>
      </c>
    </row>
    <row r="460" spans="1:10">
      <c r="A460" t="s">
        <v>3847</v>
      </c>
      <c r="B460" t="s">
        <v>2859</v>
      </c>
      <c r="C460" t="s">
        <v>2248</v>
      </c>
      <c r="D460" t="s">
        <v>2320</v>
      </c>
      <c r="E460">
        <f t="shared" si="21"/>
        <v>12.905749999999999</v>
      </c>
      <c r="H460">
        <v>10.24</v>
      </c>
      <c r="I460">
        <f t="shared" si="22"/>
        <v>10.24</v>
      </c>
      <c r="J460" t="str">
        <f t="shared" si="23"/>
        <v>DC</v>
      </c>
    </row>
    <row r="461" spans="1:10">
      <c r="A461" t="s">
        <v>3848</v>
      </c>
      <c r="B461" t="s">
        <v>2860</v>
      </c>
      <c r="C461" t="s">
        <v>2248</v>
      </c>
      <c r="D461" t="s">
        <v>2294</v>
      </c>
      <c r="E461">
        <f t="shared" si="21"/>
        <v>76.755250000000004</v>
      </c>
      <c r="I461">
        <f t="shared" si="22"/>
        <v>76.755250000000004</v>
      </c>
      <c r="J461" t="str">
        <f t="shared" si="23"/>
        <v>Our Cost</v>
      </c>
    </row>
    <row r="462" spans="1:10">
      <c r="A462" t="s">
        <v>3849</v>
      </c>
      <c r="B462" t="s">
        <v>2861</v>
      </c>
      <c r="C462" t="s">
        <v>2248</v>
      </c>
      <c r="D462" t="s">
        <v>2862</v>
      </c>
      <c r="E462">
        <f t="shared" si="21"/>
        <v>147.39725000000001</v>
      </c>
      <c r="I462">
        <f t="shared" si="22"/>
        <v>147.39725000000001</v>
      </c>
      <c r="J462" t="str">
        <f t="shared" si="23"/>
        <v>Our Cost</v>
      </c>
    </row>
    <row r="463" spans="1:10">
      <c r="A463" t="s">
        <v>3850</v>
      </c>
      <c r="B463" t="s">
        <v>2863</v>
      </c>
      <c r="C463" t="s">
        <v>2249</v>
      </c>
      <c r="D463" t="s">
        <v>2514</v>
      </c>
      <c r="E463">
        <f t="shared" si="21"/>
        <v>44.151249999999997</v>
      </c>
      <c r="H463">
        <v>59.8</v>
      </c>
      <c r="I463">
        <f t="shared" si="22"/>
        <v>44.151249999999997</v>
      </c>
      <c r="J463" t="str">
        <f t="shared" si="23"/>
        <v>Our Cost</v>
      </c>
    </row>
    <row r="464" spans="1:10">
      <c r="A464" t="s">
        <v>3851</v>
      </c>
      <c r="B464" t="s">
        <v>2864</v>
      </c>
      <c r="C464" t="s">
        <v>2249</v>
      </c>
      <c r="D464" t="s">
        <v>2303</v>
      </c>
      <c r="E464">
        <f t="shared" si="21"/>
        <v>28.528499999999998</v>
      </c>
      <c r="H464">
        <v>38.64</v>
      </c>
      <c r="I464">
        <f t="shared" si="22"/>
        <v>28.528499999999998</v>
      </c>
      <c r="J464" t="str">
        <f t="shared" si="23"/>
        <v>Our Cost</v>
      </c>
    </row>
    <row r="465" spans="1:10">
      <c r="A465" t="s">
        <v>3852</v>
      </c>
      <c r="B465" t="s">
        <v>2865</v>
      </c>
      <c r="C465" t="s">
        <v>2249</v>
      </c>
      <c r="D465" t="s">
        <v>2588</v>
      </c>
      <c r="E465">
        <f t="shared" si="21"/>
        <v>25.811499999999999</v>
      </c>
      <c r="I465">
        <f t="shared" si="22"/>
        <v>25.811499999999999</v>
      </c>
      <c r="J465" t="str">
        <f t="shared" si="23"/>
        <v>Our Cost</v>
      </c>
    </row>
    <row r="466" spans="1:10">
      <c r="A466" t="s">
        <v>3853</v>
      </c>
      <c r="B466" t="s">
        <v>2866</v>
      </c>
      <c r="C466" t="s">
        <v>2249</v>
      </c>
      <c r="D466" t="s">
        <v>2588</v>
      </c>
      <c r="E466">
        <f t="shared" si="21"/>
        <v>25.811499999999999</v>
      </c>
      <c r="I466">
        <f t="shared" si="22"/>
        <v>25.811499999999999</v>
      </c>
      <c r="J466" t="str">
        <f t="shared" si="23"/>
        <v>Our Cost</v>
      </c>
    </row>
    <row r="467" spans="1:10">
      <c r="A467" t="s">
        <v>3854</v>
      </c>
      <c r="B467" t="s">
        <v>2865</v>
      </c>
      <c r="C467" t="s">
        <v>2249</v>
      </c>
      <c r="D467" t="s">
        <v>2667</v>
      </c>
      <c r="E467">
        <f t="shared" si="21"/>
        <v>27.169999999999998</v>
      </c>
      <c r="I467">
        <f t="shared" si="22"/>
        <v>27.169999999999998</v>
      </c>
      <c r="J467" t="str">
        <f t="shared" si="23"/>
        <v>Our Cost</v>
      </c>
    </row>
    <row r="468" spans="1:10">
      <c r="A468" t="s">
        <v>3855</v>
      </c>
      <c r="B468" t="s">
        <v>2866</v>
      </c>
      <c r="C468" t="s">
        <v>2249</v>
      </c>
      <c r="D468" t="s">
        <v>2667</v>
      </c>
      <c r="E468">
        <f t="shared" si="21"/>
        <v>27.169999999999998</v>
      </c>
      <c r="I468">
        <f t="shared" si="22"/>
        <v>27.169999999999998</v>
      </c>
      <c r="J468" t="str">
        <f t="shared" si="23"/>
        <v>Our Cost</v>
      </c>
    </row>
    <row r="469" spans="1:10">
      <c r="A469" t="s">
        <v>3856</v>
      </c>
      <c r="B469" t="s">
        <v>2867</v>
      </c>
      <c r="C469" t="s">
        <v>2249</v>
      </c>
      <c r="D469" t="s">
        <v>2664</v>
      </c>
      <c r="E469">
        <f t="shared" si="21"/>
        <v>22.415249999999997</v>
      </c>
      <c r="I469">
        <f t="shared" si="22"/>
        <v>22.415249999999997</v>
      </c>
      <c r="J469" t="str">
        <f t="shared" si="23"/>
        <v>Our Cost</v>
      </c>
    </row>
    <row r="470" spans="1:10">
      <c r="A470" t="s">
        <v>3857</v>
      </c>
      <c r="B470" t="s">
        <v>2868</v>
      </c>
      <c r="C470" t="s">
        <v>2249</v>
      </c>
      <c r="D470" t="s">
        <v>2400</v>
      </c>
      <c r="E470">
        <f t="shared" si="21"/>
        <v>24.452999999999999</v>
      </c>
      <c r="I470">
        <f t="shared" si="22"/>
        <v>24.452999999999999</v>
      </c>
      <c r="J470" t="str">
        <f t="shared" si="23"/>
        <v>Our Cost</v>
      </c>
    </row>
    <row r="471" spans="1:10">
      <c r="A471" t="s">
        <v>3858</v>
      </c>
      <c r="B471" t="s">
        <v>2869</v>
      </c>
      <c r="C471" t="s">
        <v>2249</v>
      </c>
      <c r="D471" t="s">
        <v>2400</v>
      </c>
      <c r="E471">
        <f t="shared" si="21"/>
        <v>24.452999999999999</v>
      </c>
      <c r="I471">
        <f t="shared" si="22"/>
        <v>24.452999999999999</v>
      </c>
      <c r="J471" t="str">
        <f t="shared" si="23"/>
        <v>Our Cost</v>
      </c>
    </row>
    <row r="472" spans="1:10">
      <c r="A472" t="s">
        <v>3859</v>
      </c>
      <c r="B472" t="s">
        <v>2868</v>
      </c>
      <c r="C472" t="s">
        <v>2249</v>
      </c>
      <c r="D472" t="s">
        <v>2870</v>
      </c>
      <c r="E472">
        <f t="shared" si="21"/>
        <v>26.490749999999998</v>
      </c>
      <c r="I472">
        <f t="shared" si="22"/>
        <v>26.490749999999998</v>
      </c>
      <c r="J472" t="str">
        <f t="shared" si="23"/>
        <v>Our Cost</v>
      </c>
    </row>
    <row r="473" spans="1:10">
      <c r="A473" t="s">
        <v>3860</v>
      </c>
      <c r="B473" t="s">
        <v>2869</v>
      </c>
      <c r="C473" t="s">
        <v>2249</v>
      </c>
      <c r="D473" t="s">
        <v>2870</v>
      </c>
      <c r="E473">
        <f t="shared" si="21"/>
        <v>26.490749999999998</v>
      </c>
      <c r="I473">
        <f t="shared" si="22"/>
        <v>26.490749999999998</v>
      </c>
      <c r="J473" t="str">
        <f t="shared" si="23"/>
        <v>Our Cost</v>
      </c>
    </row>
    <row r="474" spans="1:10">
      <c r="A474" t="s">
        <v>3861</v>
      </c>
      <c r="B474" t="s">
        <v>2871</v>
      </c>
      <c r="C474" t="s">
        <v>2249</v>
      </c>
      <c r="D474" t="s">
        <v>2703</v>
      </c>
      <c r="E474">
        <f t="shared" si="21"/>
        <v>20.377499999999998</v>
      </c>
      <c r="I474">
        <f t="shared" si="22"/>
        <v>20.377499999999998</v>
      </c>
      <c r="J474" t="str">
        <f t="shared" si="23"/>
        <v>Our Cost</v>
      </c>
    </row>
    <row r="475" spans="1:10">
      <c r="A475" t="s">
        <v>3862</v>
      </c>
      <c r="B475" t="s">
        <v>2872</v>
      </c>
      <c r="C475" t="s">
        <v>2249</v>
      </c>
      <c r="D475" t="s">
        <v>2279</v>
      </c>
      <c r="E475">
        <f t="shared" si="21"/>
        <v>31.2455</v>
      </c>
      <c r="I475">
        <f t="shared" si="22"/>
        <v>31.2455</v>
      </c>
      <c r="J475" t="str">
        <f t="shared" si="23"/>
        <v>Our Cost</v>
      </c>
    </row>
    <row r="476" spans="1:10">
      <c r="A476" t="s">
        <v>3863</v>
      </c>
      <c r="B476" t="s">
        <v>2872</v>
      </c>
      <c r="C476" t="s">
        <v>2249</v>
      </c>
      <c r="D476" t="s">
        <v>2660</v>
      </c>
      <c r="E476">
        <f t="shared" si="21"/>
        <v>31.92475</v>
      </c>
      <c r="I476">
        <f t="shared" si="22"/>
        <v>31.92475</v>
      </c>
      <c r="J476" t="str">
        <f t="shared" si="23"/>
        <v>Our Cost</v>
      </c>
    </row>
    <row r="477" spans="1:10">
      <c r="A477" t="s">
        <v>3864</v>
      </c>
      <c r="B477" t="s">
        <v>2873</v>
      </c>
      <c r="C477" t="s">
        <v>2249</v>
      </c>
      <c r="D477" t="s">
        <v>2469</v>
      </c>
      <c r="E477">
        <f t="shared" si="21"/>
        <v>17.660500000000003</v>
      </c>
      <c r="I477">
        <f t="shared" si="22"/>
        <v>17.660500000000003</v>
      </c>
      <c r="J477" t="str">
        <f t="shared" si="23"/>
        <v>Our Cost</v>
      </c>
    </row>
    <row r="478" spans="1:10">
      <c r="A478" t="s">
        <v>3865</v>
      </c>
      <c r="B478" t="s">
        <v>2874</v>
      </c>
      <c r="C478" t="s">
        <v>2249</v>
      </c>
      <c r="D478" t="s">
        <v>2559</v>
      </c>
      <c r="E478">
        <f t="shared" si="21"/>
        <v>16.302</v>
      </c>
      <c r="I478">
        <f t="shared" si="22"/>
        <v>16.302</v>
      </c>
      <c r="J478" t="str">
        <f t="shared" si="23"/>
        <v>Our Cost</v>
      </c>
    </row>
    <row r="479" spans="1:10">
      <c r="A479" t="s">
        <v>3866</v>
      </c>
      <c r="B479" t="s">
        <v>2875</v>
      </c>
      <c r="C479" t="s">
        <v>2249</v>
      </c>
      <c r="D479" t="s">
        <v>2520</v>
      </c>
      <c r="E479">
        <f t="shared" si="21"/>
        <v>29.207749999999997</v>
      </c>
      <c r="I479">
        <f t="shared" si="22"/>
        <v>29.207749999999997</v>
      </c>
      <c r="J479" t="str">
        <f t="shared" si="23"/>
        <v>Our Cost</v>
      </c>
    </row>
    <row r="480" spans="1:10">
      <c r="A480" t="s">
        <v>3867</v>
      </c>
      <c r="B480" t="s">
        <v>2875</v>
      </c>
      <c r="C480" t="s">
        <v>2249</v>
      </c>
      <c r="D480" t="s">
        <v>2876</v>
      </c>
      <c r="E480">
        <f t="shared" si="21"/>
        <v>30.566249999999997</v>
      </c>
      <c r="I480">
        <f t="shared" si="22"/>
        <v>30.566249999999997</v>
      </c>
      <c r="J480" t="str">
        <f t="shared" si="23"/>
        <v>Our Cost</v>
      </c>
    </row>
    <row r="481" spans="1:10">
      <c r="A481" t="s">
        <v>3868</v>
      </c>
      <c r="B481" t="s">
        <v>2877</v>
      </c>
      <c r="C481" t="s">
        <v>2249</v>
      </c>
      <c r="D481" t="s">
        <v>2559</v>
      </c>
      <c r="E481">
        <f t="shared" si="21"/>
        <v>16.302</v>
      </c>
      <c r="I481">
        <f t="shared" si="22"/>
        <v>16.302</v>
      </c>
      <c r="J481" t="str">
        <f t="shared" si="23"/>
        <v>Our Cost</v>
      </c>
    </row>
    <row r="482" spans="1:10">
      <c r="A482" t="s">
        <v>2226</v>
      </c>
      <c r="B482" t="s">
        <v>2227</v>
      </c>
      <c r="C482" t="s">
        <v>2249</v>
      </c>
      <c r="D482" t="s">
        <v>2350</v>
      </c>
      <c r="E482">
        <f t="shared" si="21"/>
        <v>14.9435</v>
      </c>
      <c r="I482">
        <f t="shared" si="22"/>
        <v>14.9435</v>
      </c>
      <c r="J482" t="str">
        <f t="shared" si="23"/>
        <v>Our Cost</v>
      </c>
    </row>
    <row r="483" spans="1:10">
      <c r="A483" t="s">
        <v>3869</v>
      </c>
      <c r="B483" t="s">
        <v>2878</v>
      </c>
      <c r="C483" t="s">
        <v>2249</v>
      </c>
      <c r="D483" t="s">
        <v>2383</v>
      </c>
      <c r="E483">
        <f t="shared" si="21"/>
        <v>6.1132499999999999</v>
      </c>
      <c r="I483">
        <f t="shared" si="22"/>
        <v>6.1132499999999999</v>
      </c>
      <c r="J483" t="str">
        <f t="shared" si="23"/>
        <v>Our Cost</v>
      </c>
    </row>
    <row r="484" spans="1:10">
      <c r="A484" t="s">
        <v>3870</v>
      </c>
      <c r="B484" t="s">
        <v>2878</v>
      </c>
      <c r="C484" t="s">
        <v>2249</v>
      </c>
      <c r="D484" t="s">
        <v>2330</v>
      </c>
      <c r="E484">
        <f t="shared" si="21"/>
        <v>7.4717500000000001</v>
      </c>
      <c r="I484">
        <f t="shared" si="22"/>
        <v>7.4717500000000001</v>
      </c>
      <c r="J484" t="str">
        <f t="shared" si="23"/>
        <v>Our Cost</v>
      </c>
    </row>
    <row r="485" spans="1:10">
      <c r="A485" t="s">
        <v>3871</v>
      </c>
      <c r="B485" t="s">
        <v>2879</v>
      </c>
      <c r="C485" t="s">
        <v>2249</v>
      </c>
      <c r="D485" t="s">
        <v>2283</v>
      </c>
      <c r="E485">
        <f t="shared" si="21"/>
        <v>3.3962499999999998</v>
      </c>
      <c r="I485">
        <f t="shared" si="22"/>
        <v>3.3962499999999998</v>
      </c>
      <c r="J485" t="str">
        <f t="shared" si="23"/>
        <v>Our Cost</v>
      </c>
    </row>
    <row r="486" spans="1:10">
      <c r="A486" t="s">
        <v>3872</v>
      </c>
      <c r="B486" t="s">
        <v>2880</v>
      </c>
      <c r="C486" t="s">
        <v>2249</v>
      </c>
      <c r="D486" t="s">
        <v>2440</v>
      </c>
      <c r="E486">
        <f t="shared" si="21"/>
        <v>6.7924999999999995</v>
      </c>
      <c r="I486">
        <f t="shared" si="22"/>
        <v>6.7924999999999995</v>
      </c>
      <c r="J486" t="str">
        <f t="shared" si="23"/>
        <v>Our Cost</v>
      </c>
    </row>
    <row r="487" spans="1:10">
      <c r="A487" t="s">
        <v>3873</v>
      </c>
      <c r="B487" t="s">
        <v>2880</v>
      </c>
      <c r="C487" t="s">
        <v>2249</v>
      </c>
      <c r="D487" t="s">
        <v>2330</v>
      </c>
      <c r="E487">
        <f t="shared" si="21"/>
        <v>7.4717500000000001</v>
      </c>
      <c r="I487">
        <f t="shared" si="22"/>
        <v>7.4717500000000001</v>
      </c>
      <c r="J487" t="str">
        <f t="shared" si="23"/>
        <v>Our Cost</v>
      </c>
    </row>
    <row r="488" spans="1:10">
      <c r="A488" t="s">
        <v>3874</v>
      </c>
      <c r="B488" t="s">
        <v>2880</v>
      </c>
      <c r="C488" t="s">
        <v>2249</v>
      </c>
      <c r="D488" t="s">
        <v>2383</v>
      </c>
      <c r="E488">
        <f t="shared" si="21"/>
        <v>6.1132499999999999</v>
      </c>
      <c r="I488">
        <f t="shared" si="22"/>
        <v>6.1132499999999999</v>
      </c>
      <c r="J488" t="str">
        <f t="shared" si="23"/>
        <v>Our Cost</v>
      </c>
    </row>
    <row r="489" spans="1:10">
      <c r="A489" t="s">
        <v>3875</v>
      </c>
      <c r="B489" t="s">
        <v>2881</v>
      </c>
      <c r="C489" t="s">
        <v>2249</v>
      </c>
      <c r="D489" t="s">
        <v>2493</v>
      </c>
      <c r="E489">
        <f t="shared" si="21"/>
        <v>14.264249999999999</v>
      </c>
      <c r="I489">
        <f t="shared" si="22"/>
        <v>14.264249999999999</v>
      </c>
      <c r="J489" t="str">
        <f t="shared" si="23"/>
        <v>Our Cost</v>
      </c>
    </row>
    <row r="490" spans="1:10">
      <c r="A490" t="s">
        <v>3876</v>
      </c>
      <c r="B490" t="s">
        <v>2881</v>
      </c>
      <c r="C490" t="s">
        <v>2249</v>
      </c>
      <c r="D490" t="s">
        <v>2350</v>
      </c>
      <c r="E490">
        <f t="shared" si="21"/>
        <v>14.9435</v>
      </c>
      <c r="I490">
        <f t="shared" si="22"/>
        <v>14.9435</v>
      </c>
      <c r="J490" t="str">
        <f t="shared" si="23"/>
        <v>Our Cost</v>
      </c>
    </row>
    <row r="491" spans="1:10">
      <c r="A491" t="s">
        <v>3877</v>
      </c>
      <c r="B491" t="s">
        <v>2882</v>
      </c>
      <c r="C491" t="s">
        <v>2249</v>
      </c>
      <c r="D491" t="s">
        <v>2281</v>
      </c>
      <c r="E491">
        <f t="shared" si="21"/>
        <v>12.2265</v>
      </c>
      <c r="I491">
        <f t="shared" si="22"/>
        <v>12.2265</v>
      </c>
      <c r="J491" t="str">
        <f t="shared" si="23"/>
        <v>Our Cost</v>
      </c>
    </row>
    <row r="492" spans="1:10">
      <c r="A492" t="s">
        <v>3878</v>
      </c>
      <c r="B492" t="s">
        <v>2883</v>
      </c>
      <c r="C492" t="s">
        <v>2249</v>
      </c>
      <c r="D492" t="s">
        <v>2870</v>
      </c>
      <c r="E492">
        <f t="shared" si="21"/>
        <v>26.490749999999998</v>
      </c>
      <c r="I492">
        <f t="shared" si="22"/>
        <v>26.490749999999998</v>
      </c>
      <c r="J492" t="str">
        <f t="shared" si="23"/>
        <v>Our Cost</v>
      </c>
    </row>
    <row r="493" spans="1:10">
      <c r="A493" t="s">
        <v>3879</v>
      </c>
      <c r="B493" t="s">
        <v>2883</v>
      </c>
      <c r="C493" t="s">
        <v>2249</v>
      </c>
      <c r="D493" t="s">
        <v>2693</v>
      </c>
      <c r="E493">
        <f t="shared" si="21"/>
        <v>27.849250000000001</v>
      </c>
      <c r="I493">
        <f t="shared" si="22"/>
        <v>27.849250000000001</v>
      </c>
      <c r="J493" t="str">
        <f t="shared" si="23"/>
        <v>Our Cost</v>
      </c>
    </row>
    <row r="494" spans="1:10">
      <c r="A494" t="s">
        <v>3880</v>
      </c>
      <c r="B494" t="s">
        <v>2884</v>
      </c>
      <c r="C494" t="s">
        <v>2249</v>
      </c>
      <c r="D494" t="s">
        <v>2664</v>
      </c>
      <c r="E494">
        <f t="shared" si="21"/>
        <v>22.415249999999997</v>
      </c>
      <c r="I494">
        <f t="shared" si="22"/>
        <v>22.415249999999997</v>
      </c>
      <c r="J494" t="str">
        <f t="shared" si="23"/>
        <v>Our Cost</v>
      </c>
    </row>
    <row r="495" spans="1:10">
      <c r="A495" t="s">
        <v>3881</v>
      </c>
      <c r="B495" t="s">
        <v>2885</v>
      </c>
      <c r="C495" t="s">
        <v>2249</v>
      </c>
      <c r="D495" t="s">
        <v>2520</v>
      </c>
      <c r="E495">
        <f t="shared" si="21"/>
        <v>29.207749999999997</v>
      </c>
      <c r="I495">
        <f t="shared" si="22"/>
        <v>29.207749999999997</v>
      </c>
      <c r="J495" t="str">
        <f t="shared" si="23"/>
        <v>Our Cost</v>
      </c>
    </row>
    <row r="496" spans="1:10">
      <c r="A496" t="s">
        <v>3882</v>
      </c>
      <c r="B496" t="s">
        <v>2886</v>
      </c>
      <c r="C496" t="s">
        <v>2249</v>
      </c>
      <c r="D496" t="s">
        <v>2876</v>
      </c>
      <c r="E496">
        <f t="shared" si="21"/>
        <v>30.566249999999997</v>
      </c>
      <c r="I496">
        <f t="shared" si="22"/>
        <v>30.566249999999997</v>
      </c>
      <c r="J496" t="str">
        <f t="shared" si="23"/>
        <v>Our Cost</v>
      </c>
    </row>
    <row r="497" spans="1:10">
      <c r="A497" t="s">
        <v>3883</v>
      </c>
      <c r="B497" t="s">
        <v>2887</v>
      </c>
      <c r="C497" t="s">
        <v>2249</v>
      </c>
      <c r="D497" t="s">
        <v>2380</v>
      </c>
      <c r="E497">
        <f t="shared" si="21"/>
        <v>25.132249999999999</v>
      </c>
      <c r="I497">
        <f t="shared" si="22"/>
        <v>25.132249999999999</v>
      </c>
      <c r="J497" t="str">
        <f t="shared" si="23"/>
        <v>Our Cost</v>
      </c>
    </row>
    <row r="498" spans="1:10">
      <c r="A498" t="s">
        <v>3884</v>
      </c>
      <c r="B498" t="s">
        <v>2888</v>
      </c>
      <c r="C498" t="s">
        <v>2249</v>
      </c>
      <c r="D498" t="s">
        <v>2520</v>
      </c>
      <c r="E498">
        <f t="shared" si="21"/>
        <v>29.207749999999997</v>
      </c>
      <c r="I498">
        <f t="shared" si="22"/>
        <v>29.207749999999997</v>
      </c>
      <c r="J498" t="str">
        <f t="shared" si="23"/>
        <v>Our Cost</v>
      </c>
    </row>
    <row r="499" spans="1:10">
      <c r="A499" t="s">
        <v>3885</v>
      </c>
      <c r="B499" t="s">
        <v>2888</v>
      </c>
      <c r="C499" t="s">
        <v>2249</v>
      </c>
      <c r="D499" t="s">
        <v>2279</v>
      </c>
      <c r="E499">
        <f t="shared" si="21"/>
        <v>31.2455</v>
      </c>
      <c r="I499">
        <f t="shared" si="22"/>
        <v>31.2455</v>
      </c>
      <c r="J499" t="str">
        <f t="shared" si="23"/>
        <v>Our Cost</v>
      </c>
    </row>
    <row r="500" spans="1:10">
      <c r="A500" t="s">
        <v>3886</v>
      </c>
      <c r="B500" t="s">
        <v>2889</v>
      </c>
      <c r="C500" t="s">
        <v>2249</v>
      </c>
      <c r="D500" t="s">
        <v>2664</v>
      </c>
      <c r="E500">
        <f t="shared" si="21"/>
        <v>22.415249999999997</v>
      </c>
      <c r="I500">
        <f t="shared" si="22"/>
        <v>22.415249999999997</v>
      </c>
      <c r="J500" t="str">
        <f t="shared" si="23"/>
        <v>Our Cost</v>
      </c>
    </row>
    <row r="501" spans="1:10">
      <c r="A501" t="s">
        <v>3887</v>
      </c>
      <c r="B501" t="s">
        <v>2890</v>
      </c>
      <c r="C501" t="s">
        <v>2249</v>
      </c>
      <c r="D501" t="s">
        <v>2891</v>
      </c>
      <c r="E501">
        <f t="shared" si="21"/>
        <v>29.887</v>
      </c>
      <c r="I501">
        <f t="shared" si="22"/>
        <v>29.887</v>
      </c>
      <c r="J501" t="str">
        <f t="shared" si="23"/>
        <v>Our Cost</v>
      </c>
    </row>
    <row r="502" spans="1:10">
      <c r="A502" t="s">
        <v>3888</v>
      </c>
      <c r="B502" t="s">
        <v>2890</v>
      </c>
      <c r="C502" t="s">
        <v>2249</v>
      </c>
      <c r="D502" t="s">
        <v>2716</v>
      </c>
      <c r="E502">
        <f t="shared" si="21"/>
        <v>32.603999999999999</v>
      </c>
      <c r="I502">
        <f t="shared" si="22"/>
        <v>32.603999999999999</v>
      </c>
      <c r="J502" t="str">
        <f t="shared" si="23"/>
        <v>Our Cost</v>
      </c>
    </row>
    <row r="503" spans="1:10">
      <c r="A503" t="s">
        <v>3889</v>
      </c>
      <c r="B503" t="s">
        <v>2892</v>
      </c>
      <c r="C503" t="s">
        <v>2249</v>
      </c>
      <c r="D503" t="s">
        <v>2380</v>
      </c>
      <c r="E503">
        <f t="shared" si="21"/>
        <v>25.132249999999999</v>
      </c>
      <c r="I503">
        <f t="shared" si="22"/>
        <v>25.132249999999999</v>
      </c>
      <c r="J503" t="str">
        <f t="shared" si="23"/>
        <v>Our Cost</v>
      </c>
    </row>
    <row r="504" spans="1:10">
      <c r="A504" t="s">
        <v>3890</v>
      </c>
      <c r="B504" t="s">
        <v>2893</v>
      </c>
      <c r="C504" t="s">
        <v>2249</v>
      </c>
      <c r="D504" t="s">
        <v>2586</v>
      </c>
      <c r="E504">
        <f t="shared" si="21"/>
        <v>46.189</v>
      </c>
      <c r="I504">
        <f t="shared" si="22"/>
        <v>46.189</v>
      </c>
      <c r="J504" t="str">
        <f t="shared" si="23"/>
        <v>Our Cost</v>
      </c>
    </row>
    <row r="505" spans="1:10">
      <c r="A505" t="s">
        <v>3891</v>
      </c>
      <c r="B505" t="s">
        <v>2893</v>
      </c>
      <c r="C505" t="s">
        <v>2249</v>
      </c>
      <c r="D505" t="s">
        <v>2527</v>
      </c>
      <c r="E505">
        <f t="shared" si="21"/>
        <v>47.547499999999999</v>
      </c>
      <c r="I505">
        <f t="shared" si="22"/>
        <v>47.547499999999999</v>
      </c>
      <c r="J505" t="str">
        <f t="shared" si="23"/>
        <v>Our Cost</v>
      </c>
    </row>
    <row r="506" spans="1:10">
      <c r="A506" t="s">
        <v>3892</v>
      </c>
      <c r="B506" t="s">
        <v>2894</v>
      </c>
      <c r="C506" t="s">
        <v>2249</v>
      </c>
      <c r="D506" t="s">
        <v>2279</v>
      </c>
      <c r="E506">
        <f t="shared" si="21"/>
        <v>31.2455</v>
      </c>
      <c r="I506">
        <f t="shared" si="22"/>
        <v>31.2455</v>
      </c>
      <c r="J506" t="str">
        <f t="shared" si="23"/>
        <v>Our Cost</v>
      </c>
    </row>
    <row r="507" spans="1:10">
      <c r="A507" t="s">
        <v>3893</v>
      </c>
      <c r="B507" t="s">
        <v>2895</v>
      </c>
      <c r="C507" t="s">
        <v>2249</v>
      </c>
      <c r="D507" t="s">
        <v>2440</v>
      </c>
      <c r="E507">
        <f t="shared" si="21"/>
        <v>6.7924999999999995</v>
      </c>
      <c r="I507">
        <f t="shared" si="22"/>
        <v>6.7924999999999995</v>
      </c>
      <c r="J507" t="str">
        <f t="shared" si="23"/>
        <v>Our Cost</v>
      </c>
    </row>
    <row r="508" spans="1:10">
      <c r="A508" t="s">
        <v>3894</v>
      </c>
      <c r="B508" t="s">
        <v>2895</v>
      </c>
      <c r="C508" t="s">
        <v>2249</v>
      </c>
      <c r="D508" t="s">
        <v>2330</v>
      </c>
      <c r="E508">
        <f t="shared" si="21"/>
        <v>7.4717500000000001</v>
      </c>
      <c r="I508">
        <f t="shared" si="22"/>
        <v>7.4717500000000001</v>
      </c>
      <c r="J508" t="str">
        <f t="shared" si="23"/>
        <v>Our Cost</v>
      </c>
    </row>
    <row r="509" spans="1:10">
      <c r="A509" t="s">
        <v>3895</v>
      </c>
      <c r="B509" t="s">
        <v>2896</v>
      </c>
      <c r="C509" t="s">
        <v>2249</v>
      </c>
      <c r="D509" t="s">
        <v>2442</v>
      </c>
      <c r="E509">
        <f t="shared" si="21"/>
        <v>5.4340000000000002</v>
      </c>
      <c r="I509">
        <f t="shared" si="22"/>
        <v>5.4340000000000002</v>
      </c>
      <c r="J509" t="str">
        <f t="shared" si="23"/>
        <v>Our Cost</v>
      </c>
    </row>
    <row r="510" spans="1:10">
      <c r="A510" t="s">
        <v>3896</v>
      </c>
      <c r="B510" t="s">
        <v>2896</v>
      </c>
      <c r="C510" t="s">
        <v>2249</v>
      </c>
      <c r="D510" t="s">
        <v>2442</v>
      </c>
      <c r="E510">
        <f t="shared" si="21"/>
        <v>5.4340000000000002</v>
      </c>
      <c r="I510">
        <f t="shared" si="22"/>
        <v>5.4340000000000002</v>
      </c>
      <c r="J510" t="str">
        <f t="shared" si="23"/>
        <v>Our Cost</v>
      </c>
    </row>
    <row r="511" spans="1:10">
      <c r="A511" t="s">
        <v>3897</v>
      </c>
      <c r="B511" t="s">
        <v>2897</v>
      </c>
      <c r="C511" t="s">
        <v>2249</v>
      </c>
      <c r="D511" t="s">
        <v>2466</v>
      </c>
      <c r="E511">
        <f t="shared" si="21"/>
        <v>8.8302500000000013</v>
      </c>
      <c r="G511">
        <v>10.199999999999999</v>
      </c>
      <c r="I511">
        <f t="shared" si="22"/>
        <v>8.8302500000000013</v>
      </c>
      <c r="J511" t="str">
        <f t="shared" si="23"/>
        <v>Our Cost</v>
      </c>
    </row>
    <row r="512" spans="1:10">
      <c r="A512" t="s">
        <v>3898</v>
      </c>
      <c r="B512" t="s">
        <v>2898</v>
      </c>
      <c r="C512" t="s">
        <v>2249</v>
      </c>
      <c r="D512" t="s">
        <v>2452</v>
      </c>
      <c r="E512">
        <f t="shared" si="21"/>
        <v>9.5094999999999992</v>
      </c>
      <c r="G512">
        <v>10.199999999999999</v>
      </c>
      <c r="I512">
        <f t="shared" si="22"/>
        <v>9.5094999999999992</v>
      </c>
      <c r="J512" t="str">
        <f t="shared" si="23"/>
        <v>Our Cost</v>
      </c>
    </row>
    <row r="513" spans="1:10">
      <c r="A513" t="s">
        <v>3899</v>
      </c>
      <c r="B513" t="s">
        <v>2899</v>
      </c>
      <c r="C513" t="s">
        <v>2249</v>
      </c>
      <c r="D513" t="s">
        <v>2330</v>
      </c>
      <c r="E513">
        <f t="shared" si="21"/>
        <v>7.4717500000000001</v>
      </c>
      <c r="I513">
        <f t="shared" si="22"/>
        <v>7.4717500000000001</v>
      </c>
      <c r="J513" t="str">
        <f t="shared" si="23"/>
        <v>Our Cost</v>
      </c>
    </row>
    <row r="514" spans="1:10">
      <c r="A514" t="s">
        <v>3900</v>
      </c>
      <c r="B514" t="s">
        <v>2900</v>
      </c>
      <c r="C514" t="s">
        <v>2249</v>
      </c>
      <c r="D514" t="s">
        <v>2442</v>
      </c>
      <c r="E514">
        <f t="shared" si="21"/>
        <v>5.4340000000000002</v>
      </c>
      <c r="G514">
        <v>8.5</v>
      </c>
      <c r="I514">
        <f t="shared" si="22"/>
        <v>5.4340000000000002</v>
      </c>
      <c r="J514" t="str">
        <f t="shared" si="23"/>
        <v>Our Cost</v>
      </c>
    </row>
    <row r="515" spans="1:10">
      <c r="A515" t="s">
        <v>3901</v>
      </c>
      <c r="B515" t="s">
        <v>2901</v>
      </c>
      <c r="C515" t="s">
        <v>2249</v>
      </c>
      <c r="D515" t="s">
        <v>2440</v>
      </c>
      <c r="E515">
        <f t="shared" ref="E515:E578" si="24">+D515*0.65*1.045</f>
        <v>6.7924999999999995</v>
      </c>
      <c r="G515">
        <v>8.5</v>
      </c>
      <c r="I515">
        <f t="shared" ref="I515:I578" si="25">+MIN(E515:H515)</f>
        <v>6.7924999999999995</v>
      </c>
      <c r="J515" t="str">
        <f t="shared" ref="J515:J578" si="26">+_xlfn.SINGLE(_xlfn.XLOOKUP(I515,E515:H515,$E$1:$H$1))</f>
        <v>Our Cost</v>
      </c>
    </row>
    <row r="516" spans="1:10">
      <c r="A516" t="s">
        <v>3902</v>
      </c>
      <c r="B516" t="s">
        <v>2902</v>
      </c>
      <c r="C516" t="s">
        <v>2249</v>
      </c>
      <c r="D516" t="s">
        <v>2257</v>
      </c>
      <c r="E516">
        <f t="shared" si="24"/>
        <v>4.7547499999999996</v>
      </c>
      <c r="I516">
        <f t="shared" si="25"/>
        <v>4.7547499999999996</v>
      </c>
      <c r="J516" t="str">
        <f t="shared" si="26"/>
        <v>Our Cost</v>
      </c>
    </row>
    <row r="517" spans="1:10">
      <c r="A517" t="s">
        <v>3903</v>
      </c>
      <c r="B517" t="s">
        <v>2903</v>
      </c>
      <c r="C517" t="s">
        <v>2249</v>
      </c>
      <c r="D517" t="s">
        <v>2330</v>
      </c>
      <c r="E517">
        <f t="shared" si="24"/>
        <v>7.4717500000000001</v>
      </c>
      <c r="I517">
        <f t="shared" si="25"/>
        <v>7.4717500000000001</v>
      </c>
      <c r="J517" t="str">
        <f t="shared" si="26"/>
        <v>Our Cost</v>
      </c>
    </row>
    <row r="518" spans="1:10">
      <c r="A518" t="s">
        <v>3904</v>
      </c>
      <c r="B518" t="s">
        <v>2904</v>
      </c>
      <c r="C518" t="s">
        <v>2249</v>
      </c>
      <c r="D518" t="s">
        <v>2456</v>
      </c>
      <c r="E518">
        <f t="shared" si="24"/>
        <v>8.1509999999999998</v>
      </c>
      <c r="I518">
        <f t="shared" si="25"/>
        <v>8.1509999999999998</v>
      </c>
      <c r="J518" t="str">
        <f t="shared" si="26"/>
        <v>Our Cost</v>
      </c>
    </row>
    <row r="519" spans="1:10">
      <c r="A519" t="s">
        <v>3905</v>
      </c>
      <c r="B519" t="s">
        <v>2905</v>
      </c>
      <c r="C519" t="s">
        <v>2249</v>
      </c>
      <c r="D519" t="s">
        <v>2383</v>
      </c>
      <c r="E519">
        <f t="shared" si="24"/>
        <v>6.1132499999999999</v>
      </c>
      <c r="I519">
        <f t="shared" si="25"/>
        <v>6.1132499999999999</v>
      </c>
      <c r="J519" t="str">
        <f t="shared" si="26"/>
        <v>Our Cost</v>
      </c>
    </row>
    <row r="520" spans="1:10">
      <c r="A520" t="s">
        <v>3906</v>
      </c>
      <c r="B520" t="s">
        <v>2906</v>
      </c>
      <c r="C520" t="s">
        <v>2249</v>
      </c>
      <c r="D520" t="s">
        <v>2257</v>
      </c>
      <c r="E520">
        <f t="shared" si="24"/>
        <v>4.7547499999999996</v>
      </c>
      <c r="I520">
        <f t="shared" si="25"/>
        <v>4.7547499999999996</v>
      </c>
      <c r="J520" t="str">
        <f t="shared" si="26"/>
        <v>Our Cost</v>
      </c>
    </row>
    <row r="521" spans="1:10">
      <c r="A521" t="s">
        <v>3907</v>
      </c>
      <c r="B521" t="s">
        <v>2907</v>
      </c>
      <c r="C521" t="s">
        <v>2249</v>
      </c>
      <c r="D521" t="s">
        <v>2442</v>
      </c>
      <c r="E521">
        <f t="shared" si="24"/>
        <v>5.4340000000000002</v>
      </c>
      <c r="I521">
        <f t="shared" si="25"/>
        <v>5.4340000000000002</v>
      </c>
      <c r="J521" t="str">
        <f t="shared" si="26"/>
        <v>Our Cost</v>
      </c>
    </row>
    <row r="522" spans="1:10">
      <c r="A522" t="s">
        <v>3908</v>
      </c>
      <c r="B522" t="s">
        <v>2908</v>
      </c>
      <c r="C522" t="s">
        <v>2249</v>
      </c>
      <c r="D522" t="s">
        <v>2333</v>
      </c>
      <c r="E522">
        <f t="shared" si="24"/>
        <v>4.0754999999999999</v>
      </c>
      <c r="I522">
        <f t="shared" si="25"/>
        <v>4.0754999999999999</v>
      </c>
      <c r="J522" t="str">
        <f t="shared" si="26"/>
        <v>Our Cost</v>
      </c>
    </row>
    <row r="523" spans="1:10">
      <c r="A523" t="s">
        <v>3909</v>
      </c>
      <c r="B523" t="s">
        <v>2909</v>
      </c>
      <c r="C523" t="s">
        <v>2249</v>
      </c>
      <c r="D523" t="s">
        <v>2466</v>
      </c>
      <c r="E523">
        <f t="shared" si="24"/>
        <v>8.8302500000000013</v>
      </c>
      <c r="I523">
        <f t="shared" si="25"/>
        <v>8.8302500000000013</v>
      </c>
      <c r="J523" t="str">
        <f t="shared" si="26"/>
        <v>Our Cost</v>
      </c>
    </row>
    <row r="524" spans="1:10">
      <c r="A524" t="s">
        <v>3910</v>
      </c>
      <c r="B524" t="s">
        <v>2910</v>
      </c>
      <c r="C524" t="s">
        <v>2249</v>
      </c>
      <c r="D524" t="s">
        <v>2452</v>
      </c>
      <c r="E524">
        <f t="shared" si="24"/>
        <v>9.5094999999999992</v>
      </c>
      <c r="I524">
        <f t="shared" si="25"/>
        <v>9.5094999999999992</v>
      </c>
      <c r="J524" t="str">
        <f t="shared" si="26"/>
        <v>Our Cost</v>
      </c>
    </row>
    <row r="525" spans="1:10">
      <c r="A525" t="s">
        <v>3911</v>
      </c>
      <c r="B525" t="s">
        <v>2911</v>
      </c>
      <c r="C525" t="s">
        <v>2249</v>
      </c>
      <c r="D525" t="s">
        <v>2330</v>
      </c>
      <c r="E525">
        <f t="shared" si="24"/>
        <v>7.4717500000000001</v>
      </c>
      <c r="I525">
        <f t="shared" si="25"/>
        <v>7.4717500000000001</v>
      </c>
      <c r="J525" t="str">
        <f t="shared" si="26"/>
        <v>Our Cost</v>
      </c>
    </row>
    <row r="526" spans="1:10">
      <c r="A526" t="s">
        <v>3912</v>
      </c>
      <c r="B526" t="s">
        <v>2912</v>
      </c>
      <c r="C526" t="s">
        <v>2249</v>
      </c>
      <c r="D526" t="s">
        <v>2766</v>
      </c>
      <c r="E526">
        <f t="shared" si="24"/>
        <v>15.62275</v>
      </c>
      <c r="I526">
        <f t="shared" si="25"/>
        <v>15.62275</v>
      </c>
      <c r="J526" t="str">
        <f t="shared" si="26"/>
        <v>Our Cost</v>
      </c>
    </row>
    <row r="527" spans="1:10">
      <c r="A527" t="s">
        <v>3913</v>
      </c>
      <c r="B527" t="s">
        <v>2913</v>
      </c>
      <c r="C527" t="s">
        <v>2249</v>
      </c>
      <c r="D527" t="s">
        <v>2559</v>
      </c>
      <c r="E527">
        <f t="shared" si="24"/>
        <v>16.302</v>
      </c>
      <c r="I527">
        <f t="shared" si="25"/>
        <v>16.302</v>
      </c>
      <c r="J527" t="str">
        <f t="shared" si="26"/>
        <v>Our Cost</v>
      </c>
    </row>
    <row r="528" spans="1:10">
      <c r="A528" t="s">
        <v>3914</v>
      </c>
      <c r="B528" t="s">
        <v>2914</v>
      </c>
      <c r="C528" t="s">
        <v>2249</v>
      </c>
      <c r="D528" t="s">
        <v>2619</v>
      </c>
      <c r="E528">
        <f t="shared" si="24"/>
        <v>10.188749999999999</v>
      </c>
      <c r="I528">
        <f t="shared" si="25"/>
        <v>10.188749999999999</v>
      </c>
      <c r="J528" t="str">
        <f t="shared" si="26"/>
        <v>Our Cost</v>
      </c>
    </row>
    <row r="529" spans="1:10">
      <c r="A529" t="s">
        <v>3915</v>
      </c>
      <c r="B529" t="s">
        <v>2915</v>
      </c>
      <c r="C529" t="s">
        <v>2249</v>
      </c>
      <c r="D529" t="s">
        <v>2320</v>
      </c>
      <c r="E529">
        <f t="shared" si="24"/>
        <v>12.905749999999999</v>
      </c>
      <c r="I529">
        <f t="shared" si="25"/>
        <v>12.905749999999999</v>
      </c>
      <c r="J529" t="str">
        <f t="shared" si="26"/>
        <v>Our Cost</v>
      </c>
    </row>
    <row r="530" spans="1:10">
      <c r="A530" t="s">
        <v>2228</v>
      </c>
      <c r="B530" t="s">
        <v>2229</v>
      </c>
      <c r="C530" t="s">
        <v>2249</v>
      </c>
      <c r="D530" t="s">
        <v>2766</v>
      </c>
      <c r="E530">
        <f t="shared" si="24"/>
        <v>15.62275</v>
      </c>
      <c r="I530">
        <f t="shared" si="25"/>
        <v>15.62275</v>
      </c>
      <c r="J530" t="str">
        <f t="shared" si="26"/>
        <v>Our Cost</v>
      </c>
    </row>
    <row r="531" spans="1:10">
      <c r="A531" t="s">
        <v>3916</v>
      </c>
      <c r="B531" t="s">
        <v>2916</v>
      </c>
      <c r="C531" t="s">
        <v>2249</v>
      </c>
      <c r="D531" t="s">
        <v>2917</v>
      </c>
      <c r="E531">
        <f t="shared" si="24"/>
        <v>127.01974999999999</v>
      </c>
      <c r="I531">
        <f t="shared" si="25"/>
        <v>127.01974999999999</v>
      </c>
      <c r="J531" t="str">
        <f t="shared" si="26"/>
        <v>Our Cost</v>
      </c>
    </row>
    <row r="532" spans="1:10">
      <c r="A532" t="s">
        <v>3917</v>
      </c>
      <c r="B532" t="s">
        <v>2916</v>
      </c>
      <c r="C532" t="s">
        <v>2249</v>
      </c>
      <c r="D532" t="s">
        <v>2416</v>
      </c>
      <c r="E532">
        <f t="shared" si="24"/>
        <v>130.416</v>
      </c>
      <c r="I532">
        <f t="shared" si="25"/>
        <v>130.416</v>
      </c>
      <c r="J532" t="str">
        <f t="shared" si="26"/>
        <v>Our Cost</v>
      </c>
    </row>
    <row r="533" spans="1:10">
      <c r="A533" t="s">
        <v>3918</v>
      </c>
      <c r="B533" t="s">
        <v>2918</v>
      </c>
      <c r="C533" t="s">
        <v>2249</v>
      </c>
      <c r="D533" t="s">
        <v>2919</v>
      </c>
      <c r="E533">
        <f t="shared" si="24"/>
        <v>75.396749999999997</v>
      </c>
      <c r="I533">
        <f t="shared" si="25"/>
        <v>75.396749999999997</v>
      </c>
      <c r="J533" t="str">
        <f t="shared" si="26"/>
        <v>Our Cost</v>
      </c>
    </row>
    <row r="534" spans="1:10">
      <c r="A534" t="s">
        <v>3919</v>
      </c>
      <c r="B534" t="s">
        <v>2920</v>
      </c>
      <c r="C534" t="s">
        <v>2249</v>
      </c>
      <c r="D534" t="s">
        <v>2527</v>
      </c>
      <c r="E534">
        <f t="shared" si="24"/>
        <v>47.547499999999999</v>
      </c>
      <c r="I534">
        <f t="shared" si="25"/>
        <v>47.547499999999999</v>
      </c>
      <c r="J534" t="str">
        <f t="shared" si="26"/>
        <v>Our Cost</v>
      </c>
    </row>
    <row r="535" spans="1:10">
      <c r="A535" t="s">
        <v>3920</v>
      </c>
      <c r="B535" t="s">
        <v>2921</v>
      </c>
      <c r="C535" t="s">
        <v>2249</v>
      </c>
      <c r="D535" t="s">
        <v>2474</v>
      </c>
      <c r="E535">
        <f t="shared" si="24"/>
        <v>50.943749999999994</v>
      </c>
      <c r="I535">
        <f t="shared" si="25"/>
        <v>50.943749999999994</v>
      </c>
      <c r="J535" t="str">
        <f t="shared" si="26"/>
        <v>Our Cost</v>
      </c>
    </row>
    <row r="536" spans="1:10">
      <c r="A536" t="s">
        <v>3921</v>
      </c>
      <c r="B536" t="s">
        <v>2922</v>
      </c>
      <c r="C536" t="s">
        <v>2249</v>
      </c>
      <c r="D536" t="s">
        <v>2870</v>
      </c>
      <c r="E536">
        <f t="shared" si="24"/>
        <v>26.490749999999998</v>
      </c>
      <c r="I536">
        <f t="shared" si="25"/>
        <v>26.490749999999998</v>
      </c>
      <c r="J536" t="str">
        <f t="shared" si="26"/>
        <v>Our Cost</v>
      </c>
    </row>
    <row r="537" spans="1:10">
      <c r="A537" t="s">
        <v>3922</v>
      </c>
      <c r="B537" t="s">
        <v>2923</v>
      </c>
      <c r="C537" t="s">
        <v>2249</v>
      </c>
      <c r="D537" t="s">
        <v>2361</v>
      </c>
      <c r="E537">
        <f t="shared" si="24"/>
        <v>16.981249999999999</v>
      </c>
      <c r="I537">
        <f t="shared" si="25"/>
        <v>16.981249999999999</v>
      </c>
      <c r="J537" t="str">
        <f t="shared" si="26"/>
        <v>Our Cost</v>
      </c>
    </row>
    <row r="538" spans="1:10">
      <c r="A538" t="s">
        <v>3923</v>
      </c>
      <c r="B538" t="s">
        <v>2923</v>
      </c>
      <c r="C538" t="s">
        <v>2249</v>
      </c>
      <c r="D538" t="s">
        <v>2469</v>
      </c>
      <c r="E538">
        <f t="shared" si="24"/>
        <v>17.660500000000003</v>
      </c>
      <c r="I538">
        <f t="shared" si="25"/>
        <v>17.660500000000003</v>
      </c>
      <c r="J538" t="str">
        <f t="shared" si="26"/>
        <v>Our Cost</v>
      </c>
    </row>
    <row r="539" spans="1:10">
      <c r="A539" t="s">
        <v>3924</v>
      </c>
      <c r="B539" t="s">
        <v>2924</v>
      </c>
      <c r="C539" t="s">
        <v>2249</v>
      </c>
      <c r="D539" t="s">
        <v>2619</v>
      </c>
      <c r="E539">
        <f t="shared" si="24"/>
        <v>10.188749999999999</v>
      </c>
      <c r="I539">
        <f t="shared" si="25"/>
        <v>10.188749999999999</v>
      </c>
      <c r="J539" t="str">
        <f t="shared" si="26"/>
        <v>Our Cost</v>
      </c>
    </row>
    <row r="540" spans="1:10">
      <c r="A540" t="s">
        <v>3925</v>
      </c>
      <c r="B540" t="s">
        <v>2925</v>
      </c>
      <c r="C540" t="s">
        <v>2249</v>
      </c>
      <c r="D540" t="s">
        <v>2259</v>
      </c>
      <c r="E540">
        <f t="shared" si="24"/>
        <v>23.77375</v>
      </c>
      <c r="I540">
        <f t="shared" si="25"/>
        <v>23.77375</v>
      </c>
      <c r="J540" t="str">
        <f t="shared" si="26"/>
        <v>Our Cost</v>
      </c>
    </row>
    <row r="541" spans="1:10">
      <c r="A541" t="s">
        <v>3926</v>
      </c>
      <c r="B541" t="s">
        <v>2925</v>
      </c>
      <c r="C541" t="s">
        <v>2249</v>
      </c>
      <c r="D541" t="s">
        <v>2380</v>
      </c>
      <c r="E541">
        <f t="shared" si="24"/>
        <v>25.132249999999999</v>
      </c>
      <c r="I541">
        <f t="shared" si="25"/>
        <v>25.132249999999999</v>
      </c>
      <c r="J541" t="str">
        <f t="shared" si="26"/>
        <v>Our Cost</v>
      </c>
    </row>
    <row r="542" spans="1:10">
      <c r="A542" t="s">
        <v>3927</v>
      </c>
      <c r="B542" t="s">
        <v>2926</v>
      </c>
      <c r="C542" t="s">
        <v>2249</v>
      </c>
      <c r="D542" t="s">
        <v>2766</v>
      </c>
      <c r="E542">
        <f t="shared" si="24"/>
        <v>15.62275</v>
      </c>
      <c r="I542">
        <f t="shared" si="25"/>
        <v>15.62275</v>
      </c>
      <c r="J542" t="str">
        <f t="shared" si="26"/>
        <v>Our Cost</v>
      </c>
    </row>
    <row r="543" spans="1:10">
      <c r="A543" t="s">
        <v>3928</v>
      </c>
      <c r="B543" t="s">
        <v>2927</v>
      </c>
      <c r="C543" t="s">
        <v>2249</v>
      </c>
      <c r="D543" t="s">
        <v>2281</v>
      </c>
      <c r="E543">
        <f t="shared" si="24"/>
        <v>12.2265</v>
      </c>
      <c r="I543">
        <f t="shared" si="25"/>
        <v>12.2265</v>
      </c>
      <c r="J543" t="str">
        <f t="shared" si="26"/>
        <v>Our Cost</v>
      </c>
    </row>
    <row r="544" spans="1:10">
      <c r="A544" t="s">
        <v>3929</v>
      </c>
      <c r="B544" t="s">
        <v>2928</v>
      </c>
      <c r="C544" t="s">
        <v>2249</v>
      </c>
      <c r="D544" t="s">
        <v>2320</v>
      </c>
      <c r="E544">
        <f t="shared" si="24"/>
        <v>12.905749999999999</v>
      </c>
      <c r="I544">
        <f t="shared" si="25"/>
        <v>12.905749999999999</v>
      </c>
      <c r="J544" t="str">
        <f t="shared" si="26"/>
        <v>Our Cost</v>
      </c>
    </row>
    <row r="545" spans="1:10">
      <c r="A545" t="s">
        <v>3930</v>
      </c>
      <c r="B545" t="s">
        <v>2929</v>
      </c>
      <c r="C545" t="s">
        <v>2249</v>
      </c>
      <c r="D545" t="s">
        <v>2330</v>
      </c>
      <c r="E545">
        <f t="shared" si="24"/>
        <v>7.4717500000000001</v>
      </c>
      <c r="I545">
        <f t="shared" si="25"/>
        <v>7.4717500000000001</v>
      </c>
      <c r="J545" t="str">
        <f t="shared" si="26"/>
        <v>Our Cost</v>
      </c>
    </row>
    <row r="546" spans="1:10">
      <c r="A546" t="s">
        <v>3931</v>
      </c>
      <c r="B546" t="s">
        <v>2930</v>
      </c>
      <c r="C546" t="s">
        <v>2249</v>
      </c>
      <c r="D546" t="s">
        <v>2493</v>
      </c>
      <c r="E546">
        <f t="shared" si="24"/>
        <v>14.264249999999999</v>
      </c>
      <c r="I546">
        <f t="shared" si="25"/>
        <v>14.264249999999999</v>
      </c>
      <c r="J546" t="str">
        <f t="shared" si="26"/>
        <v>Our Cost</v>
      </c>
    </row>
    <row r="547" spans="1:10">
      <c r="A547" t="s">
        <v>3932</v>
      </c>
      <c r="B547" t="s">
        <v>2930</v>
      </c>
      <c r="C547" t="s">
        <v>2249</v>
      </c>
      <c r="D547" t="s">
        <v>2493</v>
      </c>
      <c r="E547">
        <f t="shared" si="24"/>
        <v>14.264249999999999</v>
      </c>
      <c r="I547">
        <f t="shared" si="25"/>
        <v>14.264249999999999</v>
      </c>
      <c r="J547" t="str">
        <f t="shared" si="26"/>
        <v>Our Cost</v>
      </c>
    </row>
    <row r="548" spans="1:10">
      <c r="A548" t="s">
        <v>3933</v>
      </c>
      <c r="B548" t="s">
        <v>2931</v>
      </c>
      <c r="C548" t="s">
        <v>2249</v>
      </c>
      <c r="D548" t="s">
        <v>2456</v>
      </c>
      <c r="E548">
        <f t="shared" si="24"/>
        <v>8.1509999999999998</v>
      </c>
      <c r="I548">
        <f t="shared" si="25"/>
        <v>8.1509999999999998</v>
      </c>
      <c r="J548" t="str">
        <f t="shared" si="26"/>
        <v>Our Cost</v>
      </c>
    </row>
    <row r="549" spans="1:10">
      <c r="A549" t="s">
        <v>3934</v>
      </c>
      <c r="B549" t="s">
        <v>2932</v>
      </c>
      <c r="C549" t="s">
        <v>2249</v>
      </c>
      <c r="D549" t="s">
        <v>2537</v>
      </c>
      <c r="E549">
        <f t="shared" si="24"/>
        <v>19.698250000000002</v>
      </c>
      <c r="I549">
        <f t="shared" si="25"/>
        <v>19.698250000000002</v>
      </c>
      <c r="J549" t="str">
        <f t="shared" si="26"/>
        <v>Our Cost</v>
      </c>
    </row>
    <row r="550" spans="1:10">
      <c r="A550" t="s">
        <v>3935</v>
      </c>
      <c r="B550" t="s">
        <v>2932</v>
      </c>
      <c r="C550" t="s">
        <v>2249</v>
      </c>
      <c r="D550" t="s">
        <v>2687</v>
      </c>
      <c r="E550">
        <f t="shared" si="24"/>
        <v>21.056750000000001</v>
      </c>
      <c r="I550">
        <f t="shared" si="25"/>
        <v>21.056750000000001</v>
      </c>
      <c r="J550" t="str">
        <f t="shared" si="26"/>
        <v>Our Cost</v>
      </c>
    </row>
    <row r="551" spans="1:10">
      <c r="A551" t="s">
        <v>3936</v>
      </c>
      <c r="B551" t="s">
        <v>2933</v>
      </c>
      <c r="C551" t="s">
        <v>2249</v>
      </c>
      <c r="D551" t="s">
        <v>2454</v>
      </c>
      <c r="E551">
        <f t="shared" si="24"/>
        <v>10.868</v>
      </c>
      <c r="I551">
        <f t="shared" si="25"/>
        <v>10.868</v>
      </c>
      <c r="J551" t="str">
        <f t="shared" si="26"/>
        <v>Our Cost</v>
      </c>
    </row>
    <row r="552" spans="1:10">
      <c r="A552" t="s">
        <v>3937</v>
      </c>
      <c r="B552" t="s">
        <v>2934</v>
      </c>
      <c r="C552" t="s">
        <v>2249</v>
      </c>
      <c r="D552" t="s">
        <v>2350</v>
      </c>
      <c r="E552">
        <f t="shared" si="24"/>
        <v>14.9435</v>
      </c>
      <c r="I552">
        <f t="shared" si="25"/>
        <v>14.9435</v>
      </c>
      <c r="J552" t="str">
        <f t="shared" si="26"/>
        <v>Our Cost</v>
      </c>
    </row>
    <row r="553" spans="1:10">
      <c r="A553" t="s">
        <v>3938</v>
      </c>
      <c r="B553" t="s">
        <v>2934</v>
      </c>
      <c r="C553" t="s">
        <v>2249</v>
      </c>
      <c r="D553" t="s">
        <v>2766</v>
      </c>
      <c r="E553">
        <f t="shared" si="24"/>
        <v>15.62275</v>
      </c>
      <c r="I553">
        <f t="shared" si="25"/>
        <v>15.62275</v>
      </c>
      <c r="J553" t="str">
        <f t="shared" si="26"/>
        <v>Our Cost</v>
      </c>
    </row>
    <row r="554" spans="1:10">
      <c r="A554" t="s">
        <v>3939</v>
      </c>
      <c r="B554" t="s">
        <v>2935</v>
      </c>
      <c r="C554" t="s">
        <v>2249</v>
      </c>
      <c r="D554" t="s">
        <v>2456</v>
      </c>
      <c r="E554">
        <f t="shared" si="24"/>
        <v>8.1509999999999998</v>
      </c>
      <c r="I554">
        <f t="shared" si="25"/>
        <v>8.1509999999999998</v>
      </c>
      <c r="J554" t="str">
        <f t="shared" si="26"/>
        <v>Our Cost</v>
      </c>
    </row>
    <row r="555" spans="1:10">
      <c r="A555" t="s">
        <v>3940</v>
      </c>
      <c r="B555" t="s">
        <v>2936</v>
      </c>
      <c r="C555" t="s">
        <v>2249</v>
      </c>
      <c r="D555" t="s">
        <v>2586</v>
      </c>
      <c r="E555">
        <f t="shared" si="24"/>
        <v>46.189</v>
      </c>
      <c r="I555">
        <f t="shared" si="25"/>
        <v>46.189</v>
      </c>
      <c r="J555" t="str">
        <f t="shared" si="26"/>
        <v>Our Cost</v>
      </c>
    </row>
    <row r="556" spans="1:10">
      <c r="A556" t="s">
        <v>3941</v>
      </c>
      <c r="B556" t="s">
        <v>2936</v>
      </c>
      <c r="C556" t="s">
        <v>2249</v>
      </c>
      <c r="D556" t="s">
        <v>2271</v>
      </c>
      <c r="E556">
        <f t="shared" si="24"/>
        <v>48.226749999999996</v>
      </c>
      <c r="I556">
        <f t="shared" si="25"/>
        <v>48.226749999999996</v>
      </c>
      <c r="J556" t="str">
        <f t="shared" si="26"/>
        <v>Our Cost</v>
      </c>
    </row>
    <row r="557" spans="1:10">
      <c r="A557" t="s">
        <v>3942</v>
      </c>
      <c r="B557" t="s">
        <v>2937</v>
      </c>
      <c r="C557" t="s">
        <v>2249</v>
      </c>
      <c r="D557" t="s">
        <v>2520</v>
      </c>
      <c r="E557">
        <f t="shared" si="24"/>
        <v>29.207749999999997</v>
      </c>
      <c r="I557">
        <f t="shared" si="25"/>
        <v>29.207749999999997</v>
      </c>
      <c r="J557" t="str">
        <f t="shared" si="26"/>
        <v>Our Cost</v>
      </c>
    </row>
    <row r="558" spans="1:10">
      <c r="A558" t="s">
        <v>3943</v>
      </c>
      <c r="B558" t="s">
        <v>2937</v>
      </c>
      <c r="C558" t="s">
        <v>2249</v>
      </c>
      <c r="D558" t="s">
        <v>2891</v>
      </c>
      <c r="E558">
        <f t="shared" si="24"/>
        <v>29.887</v>
      </c>
      <c r="I558">
        <f t="shared" si="25"/>
        <v>29.887</v>
      </c>
      <c r="J558" t="str">
        <f t="shared" si="26"/>
        <v>Our Cost</v>
      </c>
    </row>
    <row r="559" spans="1:10">
      <c r="A559" t="s">
        <v>3944</v>
      </c>
      <c r="B559" t="s">
        <v>2938</v>
      </c>
      <c r="C559" t="s">
        <v>2249</v>
      </c>
      <c r="D559" t="s">
        <v>2939</v>
      </c>
      <c r="E559">
        <f t="shared" si="24"/>
        <v>108.67999999999999</v>
      </c>
      <c r="I559">
        <f t="shared" si="25"/>
        <v>108.67999999999999</v>
      </c>
      <c r="J559" t="str">
        <f t="shared" si="26"/>
        <v>Our Cost</v>
      </c>
    </row>
    <row r="560" spans="1:10">
      <c r="A560" t="s">
        <v>3945</v>
      </c>
      <c r="B560" t="s">
        <v>2940</v>
      </c>
      <c r="C560" t="s">
        <v>2249</v>
      </c>
      <c r="D560" t="s">
        <v>2939</v>
      </c>
      <c r="E560">
        <f t="shared" si="24"/>
        <v>108.67999999999999</v>
      </c>
      <c r="I560">
        <f t="shared" si="25"/>
        <v>108.67999999999999</v>
      </c>
      <c r="J560" t="str">
        <f t="shared" si="26"/>
        <v>Our Cost</v>
      </c>
    </row>
    <row r="561" spans="1:10">
      <c r="A561" t="s">
        <v>3946</v>
      </c>
      <c r="B561" t="s">
        <v>2938</v>
      </c>
      <c r="C561" t="s">
        <v>2249</v>
      </c>
      <c r="D561" t="s">
        <v>2483</v>
      </c>
      <c r="E561">
        <f t="shared" si="24"/>
        <v>110.03849999999998</v>
      </c>
      <c r="I561">
        <f t="shared" si="25"/>
        <v>110.03849999999998</v>
      </c>
      <c r="J561" t="str">
        <f t="shared" si="26"/>
        <v>Our Cost</v>
      </c>
    </row>
    <row r="562" spans="1:10">
      <c r="A562" t="s">
        <v>3947</v>
      </c>
      <c r="B562" t="s">
        <v>2940</v>
      </c>
      <c r="C562" t="s">
        <v>2249</v>
      </c>
      <c r="D562" t="s">
        <v>2483</v>
      </c>
      <c r="E562">
        <f t="shared" si="24"/>
        <v>110.03849999999998</v>
      </c>
      <c r="I562">
        <f t="shared" si="25"/>
        <v>110.03849999999998</v>
      </c>
      <c r="J562" t="str">
        <f t="shared" si="26"/>
        <v>Our Cost</v>
      </c>
    </row>
    <row r="563" spans="1:10">
      <c r="A563" t="s">
        <v>3948</v>
      </c>
      <c r="B563" t="s">
        <v>2941</v>
      </c>
      <c r="C563" t="s">
        <v>2249</v>
      </c>
      <c r="D563" t="s">
        <v>2763</v>
      </c>
      <c r="E563">
        <f t="shared" si="24"/>
        <v>95.774249999999995</v>
      </c>
      <c r="I563">
        <f t="shared" si="25"/>
        <v>95.774249999999995</v>
      </c>
      <c r="J563" t="str">
        <f t="shared" si="26"/>
        <v>Our Cost</v>
      </c>
    </row>
    <row r="564" spans="1:10">
      <c r="A564" t="s">
        <v>3949</v>
      </c>
      <c r="B564" t="s">
        <v>2942</v>
      </c>
      <c r="C564" t="s">
        <v>2249</v>
      </c>
      <c r="D564" t="s">
        <v>2763</v>
      </c>
      <c r="E564">
        <f t="shared" si="24"/>
        <v>95.774249999999995</v>
      </c>
      <c r="I564">
        <f t="shared" si="25"/>
        <v>95.774249999999995</v>
      </c>
      <c r="J564" t="str">
        <f t="shared" si="26"/>
        <v>Our Cost</v>
      </c>
    </row>
    <row r="565" spans="1:10">
      <c r="A565" t="s">
        <v>3950</v>
      </c>
      <c r="B565" t="s">
        <v>2943</v>
      </c>
      <c r="C565" t="s">
        <v>2249</v>
      </c>
      <c r="D565" t="s">
        <v>2745</v>
      </c>
      <c r="E565">
        <f t="shared" si="24"/>
        <v>38.037999999999997</v>
      </c>
      <c r="I565">
        <f t="shared" si="25"/>
        <v>38.037999999999997</v>
      </c>
      <c r="J565" t="str">
        <f t="shared" si="26"/>
        <v>Our Cost</v>
      </c>
    </row>
    <row r="566" spans="1:10">
      <c r="A566" t="s">
        <v>3951</v>
      </c>
      <c r="B566" t="s">
        <v>2943</v>
      </c>
      <c r="C566" t="s">
        <v>2249</v>
      </c>
      <c r="D566" t="s">
        <v>2270</v>
      </c>
      <c r="E566">
        <f t="shared" si="24"/>
        <v>39.396500000000003</v>
      </c>
      <c r="I566">
        <f t="shared" si="25"/>
        <v>39.396500000000003</v>
      </c>
      <c r="J566" t="str">
        <f t="shared" si="26"/>
        <v>Our Cost</v>
      </c>
    </row>
    <row r="567" spans="1:10">
      <c r="A567" t="s">
        <v>3952</v>
      </c>
      <c r="B567" t="s">
        <v>2944</v>
      </c>
      <c r="C567" t="s">
        <v>2249</v>
      </c>
      <c r="D567" t="s">
        <v>2270</v>
      </c>
      <c r="E567">
        <f t="shared" si="24"/>
        <v>39.396500000000003</v>
      </c>
      <c r="I567">
        <f t="shared" si="25"/>
        <v>39.396500000000003</v>
      </c>
      <c r="J567" t="str">
        <f t="shared" si="26"/>
        <v>Our Cost</v>
      </c>
    </row>
    <row r="568" spans="1:10">
      <c r="A568" t="s">
        <v>3953</v>
      </c>
      <c r="B568" t="s">
        <v>2945</v>
      </c>
      <c r="C568" t="s">
        <v>2249</v>
      </c>
      <c r="D568" t="s">
        <v>2946</v>
      </c>
      <c r="E568">
        <f t="shared" si="24"/>
        <v>37.358750000000001</v>
      </c>
      <c r="I568">
        <f t="shared" si="25"/>
        <v>37.358750000000001</v>
      </c>
      <c r="J568" t="str">
        <f t="shared" si="26"/>
        <v>Our Cost</v>
      </c>
    </row>
    <row r="569" spans="1:10">
      <c r="A569" t="s">
        <v>3954</v>
      </c>
      <c r="B569" t="s">
        <v>2947</v>
      </c>
      <c r="C569" t="s">
        <v>2249</v>
      </c>
      <c r="D569" t="s">
        <v>2333</v>
      </c>
      <c r="E569">
        <f t="shared" si="24"/>
        <v>4.0754999999999999</v>
      </c>
      <c r="I569">
        <f t="shared" si="25"/>
        <v>4.0754999999999999</v>
      </c>
      <c r="J569" t="str">
        <f t="shared" si="26"/>
        <v>Our Cost</v>
      </c>
    </row>
    <row r="570" spans="1:10">
      <c r="A570" t="s">
        <v>3955</v>
      </c>
      <c r="B570" t="s">
        <v>2947</v>
      </c>
      <c r="C570" t="s">
        <v>2249</v>
      </c>
      <c r="D570" t="s">
        <v>2442</v>
      </c>
      <c r="E570">
        <f t="shared" si="24"/>
        <v>5.4340000000000002</v>
      </c>
      <c r="I570">
        <f t="shared" si="25"/>
        <v>5.4340000000000002</v>
      </c>
      <c r="J570" t="str">
        <f t="shared" si="26"/>
        <v>Our Cost</v>
      </c>
    </row>
    <row r="571" spans="1:10">
      <c r="A571" t="s">
        <v>3956</v>
      </c>
      <c r="B571" t="s">
        <v>2948</v>
      </c>
      <c r="C571" t="s">
        <v>2249</v>
      </c>
      <c r="D571" t="s">
        <v>2283</v>
      </c>
      <c r="E571">
        <f t="shared" si="24"/>
        <v>3.3962499999999998</v>
      </c>
      <c r="I571">
        <f t="shared" si="25"/>
        <v>3.3962499999999998</v>
      </c>
      <c r="J571" t="str">
        <f t="shared" si="26"/>
        <v>Our Cost</v>
      </c>
    </row>
    <row r="572" spans="1:10">
      <c r="A572" t="s">
        <v>3957</v>
      </c>
      <c r="B572" t="s">
        <v>2949</v>
      </c>
      <c r="C572" t="s">
        <v>2249</v>
      </c>
      <c r="D572" t="s">
        <v>2383</v>
      </c>
      <c r="E572">
        <f t="shared" si="24"/>
        <v>6.1132499999999999</v>
      </c>
      <c r="G572">
        <v>59.5</v>
      </c>
      <c r="I572">
        <f t="shared" si="25"/>
        <v>6.1132499999999999</v>
      </c>
      <c r="J572" t="str">
        <f t="shared" si="26"/>
        <v>Our Cost</v>
      </c>
    </row>
    <row r="573" spans="1:10">
      <c r="A573" t="s">
        <v>3958</v>
      </c>
      <c r="B573" t="s">
        <v>2950</v>
      </c>
      <c r="C573" t="s">
        <v>2249</v>
      </c>
      <c r="D573" t="s">
        <v>2511</v>
      </c>
      <c r="E573">
        <f t="shared" si="24"/>
        <v>33.962499999999999</v>
      </c>
      <c r="I573">
        <f t="shared" si="25"/>
        <v>33.962499999999999</v>
      </c>
      <c r="J573" t="str">
        <f t="shared" si="26"/>
        <v>Our Cost</v>
      </c>
    </row>
    <row r="574" spans="1:10">
      <c r="A574" t="s">
        <v>3959</v>
      </c>
      <c r="B574" t="s">
        <v>2950</v>
      </c>
      <c r="C574" t="s">
        <v>2249</v>
      </c>
      <c r="D574" t="s">
        <v>2301</v>
      </c>
      <c r="E574">
        <f t="shared" si="24"/>
        <v>34.641749999999995</v>
      </c>
      <c r="I574">
        <f t="shared" si="25"/>
        <v>34.641749999999995</v>
      </c>
      <c r="J574" t="str">
        <f t="shared" si="26"/>
        <v>Our Cost</v>
      </c>
    </row>
    <row r="575" spans="1:10">
      <c r="A575" t="s">
        <v>3960</v>
      </c>
      <c r="B575" t="s">
        <v>2951</v>
      </c>
      <c r="C575" t="s">
        <v>2249</v>
      </c>
      <c r="D575" t="s">
        <v>2693</v>
      </c>
      <c r="E575">
        <f t="shared" si="24"/>
        <v>27.849250000000001</v>
      </c>
      <c r="I575">
        <f t="shared" si="25"/>
        <v>27.849250000000001</v>
      </c>
      <c r="J575" t="str">
        <f t="shared" si="26"/>
        <v>Our Cost</v>
      </c>
    </row>
    <row r="576" spans="1:10">
      <c r="A576" t="s">
        <v>3961</v>
      </c>
      <c r="B576" t="s">
        <v>2952</v>
      </c>
      <c r="C576" t="s">
        <v>2249</v>
      </c>
      <c r="D576" t="s">
        <v>2566</v>
      </c>
      <c r="E576">
        <f t="shared" si="24"/>
        <v>36.679499999999997</v>
      </c>
      <c r="I576">
        <f t="shared" si="25"/>
        <v>36.679499999999997</v>
      </c>
      <c r="J576" t="str">
        <f t="shared" si="26"/>
        <v>Our Cost</v>
      </c>
    </row>
    <row r="577" spans="1:10">
      <c r="A577" t="s">
        <v>3962</v>
      </c>
      <c r="B577" t="s">
        <v>2952</v>
      </c>
      <c r="C577" t="s">
        <v>2249</v>
      </c>
      <c r="D577" t="s">
        <v>2270</v>
      </c>
      <c r="E577">
        <f t="shared" si="24"/>
        <v>39.396500000000003</v>
      </c>
      <c r="I577">
        <f t="shared" si="25"/>
        <v>39.396500000000003</v>
      </c>
      <c r="J577" t="str">
        <f t="shared" si="26"/>
        <v>Our Cost</v>
      </c>
    </row>
    <row r="578" spans="1:10">
      <c r="A578" t="s">
        <v>2230</v>
      </c>
      <c r="B578" t="s">
        <v>2231</v>
      </c>
      <c r="C578" t="s">
        <v>2249</v>
      </c>
      <c r="D578" t="s">
        <v>2501</v>
      </c>
      <c r="E578">
        <f t="shared" si="24"/>
        <v>35.321000000000005</v>
      </c>
      <c r="I578">
        <f t="shared" si="25"/>
        <v>35.321000000000005</v>
      </c>
      <c r="J578" t="str">
        <f t="shared" si="26"/>
        <v>Our Cost</v>
      </c>
    </row>
    <row r="579" spans="1:10">
      <c r="A579" t="s">
        <v>3963</v>
      </c>
      <c r="B579" t="s">
        <v>2953</v>
      </c>
      <c r="C579" t="s">
        <v>2249</v>
      </c>
      <c r="D579" t="s">
        <v>2400</v>
      </c>
      <c r="E579">
        <f t="shared" ref="E579:E642" si="27">+D579*0.65*1.045</f>
        <v>24.452999999999999</v>
      </c>
      <c r="I579">
        <f t="shared" ref="I579:I642" si="28">+MIN(E579:H579)</f>
        <v>24.452999999999999</v>
      </c>
      <c r="J579" t="str">
        <f t="shared" ref="J579:J642" si="29">+_xlfn.SINGLE(_xlfn.XLOOKUP(I579,E579:H579,$E$1:$H$1))</f>
        <v>Our Cost</v>
      </c>
    </row>
    <row r="580" spans="1:10">
      <c r="A580" t="s">
        <v>3964</v>
      </c>
      <c r="B580" t="s">
        <v>2953</v>
      </c>
      <c r="C580" t="s">
        <v>2249</v>
      </c>
      <c r="D580" t="s">
        <v>2870</v>
      </c>
      <c r="E580">
        <f t="shared" si="27"/>
        <v>26.490749999999998</v>
      </c>
      <c r="I580">
        <f t="shared" si="28"/>
        <v>26.490749999999998</v>
      </c>
      <c r="J580" t="str">
        <f t="shared" si="29"/>
        <v>Our Cost</v>
      </c>
    </row>
    <row r="581" spans="1:10">
      <c r="A581" t="s">
        <v>3965</v>
      </c>
      <c r="B581" t="s">
        <v>2954</v>
      </c>
      <c r="C581" t="s">
        <v>2249</v>
      </c>
      <c r="D581" t="s">
        <v>2703</v>
      </c>
      <c r="E581">
        <f t="shared" si="27"/>
        <v>20.377499999999998</v>
      </c>
      <c r="I581">
        <f t="shared" si="28"/>
        <v>20.377499999999998</v>
      </c>
      <c r="J581" t="str">
        <f t="shared" si="29"/>
        <v>Our Cost</v>
      </c>
    </row>
    <row r="582" spans="1:10">
      <c r="A582" t="s">
        <v>3966</v>
      </c>
      <c r="B582" t="s">
        <v>2955</v>
      </c>
      <c r="C582" t="s">
        <v>2249</v>
      </c>
      <c r="D582" t="s">
        <v>2471</v>
      </c>
      <c r="E582">
        <f t="shared" si="27"/>
        <v>49.585250000000002</v>
      </c>
      <c r="I582">
        <f t="shared" si="28"/>
        <v>49.585250000000002</v>
      </c>
      <c r="J582" t="str">
        <f t="shared" si="29"/>
        <v>Our Cost</v>
      </c>
    </row>
    <row r="583" spans="1:10">
      <c r="A583" t="s">
        <v>3967</v>
      </c>
      <c r="B583" t="s">
        <v>2955</v>
      </c>
      <c r="C583" t="s">
        <v>2249</v>
      </c>
      <c r="D583" t="s">
        <v>2477</v>
      </c>
      <c r="E583">
        <f t="shared" si="27"/>
        <v>52.302250000000001</v>
      </c>
      <c r="I583">
        <f t="shared" si="28"/>
        <v>52.302250000000001</v>
      </c>
      <c r="J583" t="str">
        <f t="shared" si="29"/>
        <v>Our Cost</v>
      </c>
    </row>
    <row r="584" spans="1:10">
      <c r="A584" t="s">
        <v>3968</v>
      </c>
      <c r="B584" t="s">
        <v>2956</v>
      </c>
      <c r="C584" t="s">
        <v>2249</v>
      </c>
      <c r="D584" t="s">
        <v>2957</v>
      </c>
      <c r="E584">
        <f t="shared" si="27"/>
        <v>46.868249999999996</v>
      </c>
      <c r="I584">
        <f t="shared" si="28"/>
        <v>46.868249999999996</v>
      </c>
      <c r="J584" t="str">
        <f t="shared" si="29"/>
        <v>Our Cost</v>
      </c>
    </row>
    <row r="585" spans="1:10">
      <c r="A585" t="s">
        <v>3969</v>
      </c>
      <c r="B585" t="s">
        <v>2958</v>
      </c>
      <c r="C585" t="s">
        <v>2249</v>
      </c>
      <c r="D585" t="s">
        <v>2959</v>
      </c>
      <c r="E585">
        <f t="shared" si="27"/>
        <v>43.472000000000001</v>
      </c>
      <c r="I585">
        <f t="shared" si="28"/>
        <v>43.472000000000001</v>
      </c>
      <c r="J585" t="str">
        <f t="shared" si="29"/>
        <v>Our Cost</v>
      </c>
    </row>
    <row r="586" spans="1:10">
      <c r="A586" t="s">
        <v>3970</v>
      </c>
      <c r="B586" t="s">
        <v>2960</v>
      </c>
      <c r="C586" t="s">
        <v>2249</v>
      </c>
      <c r="D586" t="s">
        <v>2763</v>
      </c>
      <c r="E586">
        <f t="shared" si="27"/>
        <v>95.774249999999995</v>
      </c>
      <c r="I586">
        <f t="shared" si="28"/>
        <v>95.774249999999995</v>
      </c>
      <c r="J586" t="str">
        <f t="shared" si="29"/>
        <v>Our Cost</v>
      </c>
    </row>
    <row r="587" spans="1:10">
      <c r="A587" t="s">
        <v>3971</v>
      </c>
      <c r="B587" t="s">
        <v>2960</v>
      </c>
      <c r="C587" t="s">
        <v>2249</v>
      </c>
      <c r="D587" t="s">
        <v>2961</v>
      </c>
      <c r="E587">
        <f t="shared" si="27"/>
        <v>97.132750000000001</v>
      </c>
      <c r="I587">
        <f t="shared" si="28"/>
        <v>97.132750000000001</v>
      </c>
      <c r="J587" t="str">
        <f t="shared" si="29"/>
        <v>Our Cost</v>
      </c>
    </row>
    <row r="588" spans="1:10">
      <c r="A588" t="s">
        <v>3972</v>
      </c>
      <c r="B588" t="s">
        <v>2962</v>
      </c>
      <c r="C588" t="s">
        <v>2249</v>
      </c>
      <c r="D588" t="s">
        <v>2477</v>
      </c>
      <c r="E588">
        <f t="shared" si="27"/>
        <v>52.302250000000001</v>
      </c>
      <c r="I588">
        <f t="shared" si="28"/>
        <v>52.302250000000001</v>
      </c>
      <c r="J588" t="str">
        <f t="shared" si="29"/>
        <v>Our Cost</v>
      </c>
    </row>
    <row r="589" spans="1:10">
      <c r="A589" t="s">
        <v>3973</v>
      </c>
      <c r="B589" t="s">
        <v>2963</v>
      </c>
      <c r="C589" t="s">
        <v>2249</v>
      </c>
      <c r="D589" t="s">
        <v>2501</v>
      </c>
      <c r="E589">
        <f t="shared" si="27"/>
        <v>35.321000000000005</v>
      </c>
      <c r="I589">
        <f t="shared" si="28"/>
        <v>35.321000000000005</v>
      </c>
      <c r="J589" t="str">
        <f t="shared" si="29"/>
        <v>Our Cost</v>
      </c>
    </row>
    <row r="590" spans="1:10">
      <c r="A590" t="s">
        <v>3974</v>
      </c>
      <c r="B590" t="s">
        <v>2963</v>
      </c>
      <c r="C590" t="s">
        <v>2249</v>
      </c>
      <c r="D590" t="s">
        <v>2566</v>
      </c>
      <c r="E590">
        <f t="shared" si="27"/>
        <v>36.679499999999997</v>
      </c>
      <c r="I590">
        <f t="shared" si="28"/>
        <v>36.679499999999997</v>
      </c>
      <c r="J590" t="str">
        <f t="shared" si="29"/>
        <v>Our Cost</v>
      </c>
    </row>
    <row r="591" spans="1:10">
      <c r="A591" t="s">
        <v>3975</v>
      </c>
      <c r="B591" t="s">
        <v>2964</v>
      </c>
      <c r="C591" t="s">
        <v>2249</v>
      </c>
      <c r="D591" t="s">
        <v>2520</v>
      </c>
      <c r="E591">
        <f t="shared" si="27"/>
        <v>29.207749999999997</v>
      </c>
      <c r="I591">
        <f t="shared" si="28"/>
        <v>29.207749999999997</v>
      </c>
      <c r="J591" t="str">
        <f t="shared" si="29"/>
        <v>Our Cost</v>
      </c>
    </row>
    <row r="592" spans="1:10">
      <c r="A592" t="s">
        <v>3976</v>
      </c>
      <c r="B592" t="s">
        <v>2965</v>
      </c>
      <c r="C592" t="s">
        <v>2249</v>
      </c>
      <c r="D592" t="s">
        <v>2527</v>
      </c>
      <c r="E592">
        <f t="shared" si="27"/>
        <v>47.547499999999999</v>
      </c>
      <c r="I592">
        <f t="shared" si="28"/>
        <v>47.547499999999999</v>
      </c>
      <c r="J592" t="str">
        <f t="shared" si="29"/>
        <v>Our Cost</v>
      </c>
    </row>
    <row r="593" spans="1:10">
      <c r="A593" t="s">
        <v>3977</v>
      </c>
      <c r="B593" t="s">
        <v>2966</v>
      </c>
      <c r="C593" t="s">
        <v>2249</v>
      </c>
      <c r="D593" t="s">
        <v>2664</v>
      </c>
      <c r="E593">
        <f t="shared" si="27"/>
        <v>22.415249999999997</v>
      </c>
      <c r="G593">
        <v>28.9</v>
      </c>
      <c r="H593">
        <v>30.36</v>
      </c>
      <c r="I593">
        <f t="shared" si="28"/>
        <v>22.415249999999997</v>
      </c>
      <c r="J593" t="str">
        <f t="shared" si="29"/>
        <v>Our Cost</v>
      </c>
    </row>
    <row r="594" spans="1:10">
      <c r="A594" t="s">
        <v>3978</v>
      </c>
      <c r="B594" t="s">
        <v>2967</v>
      </c>
      <c r="C594" t="s">
        <v>2249</v>
      </c>
      <c r="D594" t="s">
        <v>2520</v>
      </c>
      <c r="E594">
        <f t="shared" si="27"/>
        <v>29.207749999999997</v>
      </c>
      <c r="I594">
        <f t="shared" si="28"/>
        <v>29.207749999999997</v>
      </c>
      <c r="J594" t="str">
        <f t="shared" si="29"/>
        <v>Our Cost</v>
      </c>
    </row>
    <row r="595" spans="1:10">
      <c r="A595" t="s">
        <v>3979</v>
      </c>
      <c r="B595" t="s">
        <v>2967</v>
      </c>
      <c r="C595" t="s">
        <v>2249</v>
      </c>
      <c r="D595" t="s">
        <v>2279</v>
      </c>
      <c r="E595">
        <f t="shared" si="27"/>
        <v>31.2455</v>
      </c>
      <c r="I595">
        <f t="shared" si="28"/>
        <v>31.2455</v>
      </c>
      <c r="J595" t="str">
        <f t="shared" si="29"/>
        <v>Our Cost</v>
      </c>
    </row>
    <row r="596" spans="1:10">
      <c r="A596" t="s">
        <v>3980</v>
      </c>
      <c r="B596" t="s">
        <v>2968</v>
      </c>
      <c r="C596" t="s">
        <v>2249</v>
      </c>
      <c r="D596" t="s">
        <v>2380</v>
      </c>
      <c r="E596">
        <f t="shared" si="27"/>
        <v>25.132249999999999</v>
      </c>
      <c r="I596">
        <f t="shared" si="28"/>
        <v>25.132249999999999</v>
      </c>
      <c r="J596" t="str">
        <f t="shared" si="29"/>
        <v>Our Cost</v>
      </c>
    </row>
    <row r="597" spans="1:10">
      <c r="A597" t="s">
        <v>3981</v>
      </c>
      <c r="B597" t="s">
        <v>2969</v>
      </c>
      <c r="C597" t="s">
        <v>2249</v>
      </c>
      <c r="D597" t="s">
        <v>2469</v>
      </c>
      <c r="E597">
        <f t="shared" si="27"/>
        <v>17.660500000000003</v>
      </c>
      <c r="I597">
        <f t="shared" si="28"/>
        <v>17.660500000000003</v>
      </c>
      <c r="J597" t="str">
        <f t="shared" si="29"/>
        <v>Our Cost</v>
      </c>
    </row>
    <row r="598" spans="1:10">
      <c r="A598" t="s">
        <v>3982</v>
      </c>
      <c r="B598" t="s">
        <v>2969</v>
      </c>
      <c r="C598" t="s">
        <v>2249</v>
      </c>
      <c r="D598" t="s">
        <v>2780</v>
      </c>
      <c r="E598">
        <f t="shared" si="27"/>
        <v>19.018999999999998</v>
      </c>
      <c r="I598">
        <f t="shared" si="28"/>
        <v>19.018999999999998</v>
      </c>
      <c r="J598" t="str">
        <f t="shared" si="29"/>
        <v>Our Cost</v>
      </c>
    </row>
    <row r="599" spans="1:10">
      <c r="A599" t="s">
        <v>3983</v>
      </c>
      <c r="B599" t="s">
        <v>2970</v>
      </c>
      <c r="C599" t="s">
        <v>2249</v>
      </c>
      <c r="D599" t="s">
        <v>2946</v>
      </c>
      <c r="E599">
        <f t="shared" si="27"/>
        <v>37.358750000000001</v>
      </c>
      <c r="I599">
        <f t="shared" si="28"/>
        <v>37.358750000000001</v>
      </c>
      <c r="J599" t="str">
        <f t="shared" si="29"/>
        <v>Our Cost</v>
      </c>
    </row>
    <row r="600" spans="1:10">
      <c r="A600" t="s">
        <v>3984</v>
      </c>
      <c r="B600" t="s">
        <v>2970</v>
      </c>
      <c r="C600" t="s">
        <v>2249</v>
      </c>
      <c r="D600" t="s">
        <v>2745</v>
      </c>
      <c r="E600">
        <f t="shared" si="27"/>
        <v>38.037999999999997</v>
      </c>
      <c r="I600">
        <f t="shared" si="28"/>
        <v>38.037999999999997</v>
      </c>
      <c r="J600" t="str">
        <f t="shared" si="29"/>
        <v>Our Cost</v>
      </c>
    </row>
    <row r="601" spans="1:10">
      <c r="A601" t="s">
        <v>3985</v>
      </c>
      <c r="B601" t="s">
        <v>2971</v>
      </c>
      <c r="C601" t="s">
        <v>2249</v>
      </c>
      <c r="D601" t="s">
        <v>2693</v>
      </c>
      <c r="E601">
        <f t="shared" si="27"/>
        <v>27.849250000000001</v>
      </c>
      <c r="I601">
        <f t="shared" si="28"/>
        <v>27.849250000000001</v>
      </c>
      <c r="J601" t="str">
        <f t="shared" si="29"/>
        <v>Our Cost</v>
      </c>
    </row>
    <row r="602" spans="1:10">
      <c r="A602" t="s">
        <v>3986</v>
      </c>
      <c r="B602" t="s">
        <v>2972</v>
      </c>
      <c r="C602" t="s">
        <v>2249</v>
      </c>
      <c r="D602" t="s">
        <v>2527</v>
      </c>
      <c r="E602">
        <f t="shared" si="27"/>
        <v>47.547499999999999</v>
      </c>
      <c r="I602">
        <f t="shared" si="28"/>
        <v>47.547499999999999</v>
      </c>
      <c r="J602" t="str">
        <f t="shared" si="29"/>
        <v>Our Cost</v>
      </c>
    </row>
    <row r="603" spans="1:10">
      <c r="A603" t="s">
        <v>3987</v>
      </c>
      <c r="B603" t="s">
        <v>2972</v>
      </c>
      <c r="C603" t="s">
        <v>2249</v>
      </c>
      <c r="D603" t="s">
        <v>2820</v>
      </c>
      <c r="E603">
        <f t="shared" si="27"/>
        <v>48.905999999999999</v>
      </c>
      <c r="I603">
        <f t="shared" si="28"/>
        <v>48.905999999999999</v>
      </c>
      <c r="J603" t="str">
        <f t="shared" si="29"/>
        <v>Our Cost</v>
      </c>
    </row>
    <row r="604" spans="1:10">
      <c r="A604" t="s">
        <v>3988</v>
      </c>
      <c r="B604" t="s">
        <v>2973</v>
      </c>
      <c r="C604" t="s">
        <v>2249</v>
      </c>
      <c r="D604" t="s">
        <v>2716</v>
      </c>
      <c r="E604">
        <f t="shared" si="27"/>
        <v>32.603999999999999</v>
      </c>
      <c r="I604">
        <f t="shared" si="28"/>
        <v>32.603999999999999</v>
      </c>
      <c r="J604" t="str">
        <f t="shared" si="29"/>
        <v>Our Cost</v>
      </c>
    </row>
    <row r="605" spans="1:10">
      <c r="A605" t="s">
        <v>3989</v>
      </c>
      <c r="B605" t="s">
        <v>2974</v>
      </c>
      <c r="C605" t="s">
        <v>2249</v>
      </c>
      <c r="D605" t="s">
        <v>2557</v>
      </c>
      <c r="E605">
        <f t="shared" si="27"/>
        <v>40.075749999999999</v>
      </c>
      <c r="I605">
        <f t="shared" si="28"/>
        <v>40.075749999999999</v>
      </c>
      <c r="J605" t="str">
        <f t="shared" si="29"/>
        <v>Our Cost</v>
      </c>
    </row>
    <row r="606" spans="1:10">
      <c r="A606" t="s">
        <v>3990</v>
      </c>
      <c r="B606" t="s">
        <v>2974</v>
      </c>
      <c r="C606" t="s">
        <v>2249</v>
      </c>
      <c r="D606" t="s">
        <v>2305</v>
      </c>
      <c r="E606">
        <f t="shared" si="27"/>
        <v>41.434249999999999</v>
      </c>
      <c r="I606">
        <f t="shared" si="28"/>
        <v>41.434249999999999</v>
      </c>
      <c r="J606" t="str">
        <f t="shared" si="29"/>
        <v>Our Cost</v>
      </c>
    </row>
    <row r="607" spans="1:10">
      <c r="A607" t="s">
        <v>3991</v>
      </c>
      <c r="B607" t="s">
        <v>2975</v>
      </c>
      <c r="C607" t="s">
        <v>2249</v>
      </c>
      <c r="D607" t="s">
        <v>2562</v>
      </c>
      <c r="E607">
        <f t="shared" si="27"/>
        <v>21.736000000000001</v>
      </c>
      <c r="I607">
        <f t="shared" si="28"/>
        <v>21.736000000000001</v>
      </c>
      <c r="J607" t="str">
        <f t="shared" si="29"/>
        <v>Our Cost</v>
      </c>
    </row>
    <row r="608" spans="1:10">
      <c r="A608" t="s">
        <v>3992</v>
      </c>
      <c r="B608" t="s">
        <v>2976</v>
      </c>
      <c r="C608" t="s">
        <v>2249</v>
      </c>
      <c r="D608" t="s">
        <v>2445</v>
      </c>
      <c r="E608">
        <f t="shared" si="27"/>
        <v>33.283250000000002</v>
      </c>
      <c r="I608">
        <f t="shared" si="28"/>
        <v>33.283250000000002</v>
      </c>
      <c r="J608" t="str">
        <f t="shared" si="29"/>
        <v>Our Cost</v>
      </c>
    </row>
    <row r="609" spans="1:10">
      <c r="A609" t="s">
        <v>3993</v>
      </c>
      <c r="B609" t="s">
        <v>2977</v>
      </c>
      <c r="C609" t="s">
        <v>2249</v>
      </c>
      <c r="D609" t="s">
        <v>2440</v>
      </c>
      <c r="E609">
        <f t="shared" si="27"/>
        <v>6.7924999999999995</v>
      </c>
      <c r="I609">
        <f t="shared" si="28"/>
        <v>6.7924999999999995</v>
      </c>
      <c r="J609" t="str">
        <f t="shared" si="29"/>
        <v>Our Cost</v>
      </c>
    </row>
    <row r="610" spans="1:10">
      <c r="A610" t="s">
        <v>3994</v>
      </c>
      <c r="B610" t="s">
        <v>2977</v>
      </c>
      <c r="C610" t="s">
        <v>2249</v>
      </c>
      <c r="D610" t="s">
        <v>2330</v>
      </c>
      <c r="E610">
        <f t="shared" si="27"/>
        <v>7.4717500000000001</v>
      </c>
      <c r="I610">
        <f t="shared" si="28"/>
        <v>7.4717500000000001</v>
      </c>
      <c r="J610" t="str">
        <f t="shared" si="29"/>
        <v>Our Cost</v>
      </c>
    </row>
    <row r="611" spans="1:10">
      <c r="A611" t="s">
        <v>3995</v>
      </c>
      <c r="B611" t="s">
        <v>2978</v>
      </c>
      <c r="C611" t="s">
        <v>2249</v>
      </c>
      <c r="D611" t="s">
        <v>2322</v>
      </c>
      <c r="E611">
        <f t="shared" si="27"/>
        <v>2.7170000000000001</v>
      </c>
      <c r="I611">
        <f t="shared" si="28"/>
        <v>2.7170000000000001</v>
      </c>
      <c r="J611" t="str">
        <f t="shared" si="29"/>
        <v>Our Cost</v>
      </c>
    </row>
    <row r="612" spans="1:10">
      <c r="A612" t="s">
        <v>3996</v>
      </c>
      <c r="B612" t="s">
        <v>2979</v>
      </c>
      <c r="C612" t="s">
        <v>2249</v>
      </c>
      <c r="D612" t="s">
        <v>2361</v>
      </c>
      <c r="E612">
        <f t="shared" si="27"/>
        <v>16.981249999999999</v>
      </c>
      <c r="I612">
        <f t="shared" si="28"/>
        <v>16.981249999999999</v>
      </c>
      <c r="J612" t="str">
        <f t="shared" si="29"/>
        <v>Our Cost</v>
      </c>
    </row>
    <row r="613" spans="1:10">
      <c r="A613" t="s">
        <v>3997</v>
      </c>
      <c r="B613" t="s">
        <v>2980</v>
      </c>
      <c r="C613" t="s">
        <v>2249</v>
      </c>
      <c r="D613" t="s">
        <v>2466</v>
      </c>
      <c r="E613">
        <f t="shared" si="27"/>
        <v>8.8302500000000013</v>
      </c>
      <c r="I613">
        <f t="shared" si="28"/>
        <v>8.8302500000000013</v>
      </c>
      <c r="J613" t="str">
        <f t="shared" si="29"/>
        <v>Our Cost</v>
      </c>
    </row>
    <row r="614" spans="1:10">
      <c r="A614" t="s">
        <v>3998</v>
      </c>
      <c r="B614" t="s">
        <v>2981</v>
      </c>
      <c r="C614" t="s">
        <v>2249</v>
      </c>
      <c r="D614" t="s">
        <v>2361</v>
      </c>
      <c r="E614">
        <f t="shared" si="27"/>
        <v>16.981249999999999</v>
      </c>
      <c r="I614">
        <f t="shared" si="28"/>
        <v>16.981249999999999</v>
      </c>
      <c r="J614" t="str">
        <f t="shared" si="29"/>
        <v>Our Cost</v>
      </c>
    </row>
    <row r="615" spans="1:10">
      <c r="A615" t="s">
        <v>3999</v>
      </c>
      <c r="B615" t="s">
        <v>2982</v>
      </c>
      <c r="C615" t="s">
        <v>2249</v>
      </c>
      <c r="D615" t="s">
        <v>2983</v>
      </c>
      <c r="E615">
        <f t="shared" si="27"/>
        <v>148.07650000000001</v>
      </c>
      <c r="I615">
        <f t="shared" si="28"/>
        <v>148.07650000000001</v>
      </c>
      <c r="J615" t="str">
        <f t="shared" si="29"/>
        <v>Our Cost</v>
      </c>
    </row>
    <row r="616" spans="1:10">
      <c r="A616" t="s">
        <v>4000</v>
      </c>
      <c r="B616" t="s">
        <v>2984</v>
      </c>
      <c r="C616" t="s">
        <v>2249</v>
      </c>
      <c r="D616" t="s">
        <v>2251</v>
      </c>
      <c r="E616">
        <f t="shared" si="27"/>
        <v>53.66075</v>
      </c>
      <c r="I616">
        <f t="shared" si="28"/>
        <v>53.66075</v>
      </c>
      <c r="J616" t="str">
        <f t="shared" si="29"/>
        <v>Our Cost</v>
      </c>
    </row>
    <row r="617" spans="1:10">
      <c r="A617" t="s">
        <v>4001</v>
      </c>
      <c r="B617" t="s">
        <v>2985</v>
      </c>
      <c r="C617" t="s">
        <v>2249</v>
      </c>
      <c r="D617" t="s">
        <v>2251</v>
      </c>
      <c r="E617">
        <f t="shared" si="27"/>
        <v>53.66075</v>
      </c>
      <c r="I617">
        <f t="shared" si="28"/>
        <v>53.66075</v>
      </c>
      <c r="J617" t="str">
        <f t="shared" si="29"/>
        <v>Our Cost</v>
      </c>
    </row>
    <row r="618" spans="1:10">
      <c r="A618" t="s">
        <v>4002</v>
      </c>
      <c r="B618" t="s">
        <v>2984</v>
      </c>
      <c r="C618" t="s">
        <v>2249</v>
      </c>
      <c r="D618" t="s">
        <v>2516</v>
      </c>
      <c r="E618">
        <f t="shared" si="27"/>
        <v>55.019249999999992</v>
      </c>
      <c r="I618">
        <f t="shared" si="28"/>
        <v>55.019249999999992</v>
      </c>
      <c r="J618" t="str">
        <f t="shared" si="29"/>
        <v>Our Cost</v>
      </c>
    </row>
    <row r="619" spans="1:10">
      <c r="A619" t="s">
        <v>4003</v>
      </c>
      <c r="B619" t="s">
        <v>2986</v>
      </c>
      <c r="C619" t="s">
        <v>2249</v>
      </c>
      <c r="D619" t="s">
        <v>2987</v>
      </c>
      <c r="E619">
        <f t="shared" si="27"/>
        <v>51.622999999999998</v>
      </c>
      <c r="I619">
        <f t="shared" si="28"/>
        <v>51.622999999999998</v>
      </c>
      <c r="J619" t="str">
        <f t="shared" si="29"/>
        <v>Our Cost</v>
      </c>
    </row>
    <row r="620" spans="1:10">
      <c r="A620" t="s">
        <v>4004</v>
      </c>
      <c r="B620" t="s">
        <v>2988</v>
      </c>
      <c r="C620" t="s">
        <v>2249</v>
      </c>
      <c r="D620" t="s">
        <v>2527</v>
      </c>
      <c r="E620">
        <f t="shared" si="27"/>
        <v>47.547499999999999</v>
      </c>
      <c r="I620">
        <f t="shared" si="28"/>
        <v>47.547499999999999</v>
      </c>
      <c r="J620" t="str">
        <f t="shared" si="29"/>
        <v>Our Cost</v>
      </c>
    </row>
    <row r="621" spans="1:10">
      <c r="A621" t="s">
        <v>4005</v>
      </c>
      <c r="B621" t="s">
        <v>2988</v>
      </c>
      <c r="C621" t="s">
        <v>2249</v>
      </c>
      <c r="D621" t="s">
        <v>2271</v>
      </c>
      <c r="E621">
        <f t="shared" si="27"/>
        <v>48.226749999999996</v>
      </c>
      <c r="I621">
        <f t="shared" si="28"/>
        <v>48.226749999999996</v>
      </c>
      <c r="J621" t="str">
        <f t="shared" si="29"/>
        <v>Our Cost</v>
      </c>
    </row>
    <row r="622" spans="1:10">
      <c r="A622" t="s">
        <v>4006</v>
      </c>
      <c r="B622" t="s">
        <v>2989</v>
      </c>
      <c r="C622" t="s">
        <v>2249</v>
      </c>
      <c r="D622" t="s">
        <v>2271</v>
      </c>
      <c r="E622">
        <f t="shared" si="27"/>
        <v>48.226749999999996</v>
      </c>
      <c r="I622">
        <f t="shared" si="28"/>
        <v>48.226749999999996</v>
      </c>
      <c r="J622" t="str">
        <f t="shared" si="29"/>
        <v>Our Cost</v>
      </c>
    </row>
    <row r="623" spans="1:10">
      <c r="A623" t="s">
        <v>4007</v>
      </c>
      <c r="B623" t="s">
        <v>2888</v>
      </c>
      <c r="C623" t="s">
        <v>2249</v>
      </c>
      <c r="D623" t="s">
        <v>2690</v>
      </c>
      <c r="E623">
        <f t="shared" si="27"/>
        <v>54.339999999999996</v>
      </c>
      <c r="I623">
        <f t="shared" si="28"/>
        <v>54.339999999999996</v>
      </c>
      <c r="J623" t="str">
        <f t="shared" si="29"/>
        <v>Our Cost</v>
      </c>
    </row>
    <row r="624" spans="1:10">
      <c r="A624" t="s">
        <v>4008</v>
      </c>
      <c r="B624" t="s">
        <v>2888</v>
      </c>
      <c r="C624" t="s">
        <v>2249</v>
      </c>
      <c r="D624" t="s">
        <v>2516</v>
      </c>
      <c r="E624">
        <f t="shared" si="27"/>
        <v>55.019249999999992</v>
      </c>
      <c r="I624">
        <f t="shared" si="28"/>
        <v>55.019249999999992</v>
      </c>
      <c r="J624" t="str">
        <f t="shared" si="29"/>
        <v>Our Cost</v>
      </c>
    </row>
    <row r="625" spans="1:10">
      <c r="A625" t="s">
        <v>4009</v>
      </c>
      <c r="B625" t="s">
        <v>2990</v>
      </c>
      <c r="C625" t="s">
        <v>2249</v>
      </c>
      <c r="D625" t="s">
        <v>2690</v>
      </c>
      <c r="E625">
        <f t="shared" si="27"/>
        <v>54.339999999999996</v>
      </c>
      <c r="I625">
        <f t="shared" si="28"/>
        <v>54.339999999999996</v>
      </c>
      <c r="J625" t="str">
        <f t="shared" si="29"/>
        <v>Our Cost</v>
      </c>
    </row>
    <row r="626" spans="1:10">
      <c r="A626" t="s">
        <v>2232</v>
      </c>
      <c r="B626" t="s">
        <v>2233</v>
      </c>
      <c r="C626" t="s">
        <v>2249</v>
      </c>
      <c r="D626" t="s">
        <v>2256</v>
      </c>
      <c r="E626">
        <f t="shared" si="27"/>
        <v>67.245750000000001</v>
      </c>
      <c r="I626">
        <f t="shared" si="28"/>
        <v>67.245750000000001</v>
      </c>
      <c r="J626" t="str">
        <f t="shared" si="29"/>
        <v>Our Cost</v>
      </c>
    </row>
    <row r="627" spans="1:10">
      <c r="A627" t="s">
        <v>4010</v>
      </c>
      <c r="B627" t="s">
        <v>2890</v>
      </c>
      <c r="C627" t="s">
        <v>2249</v>
      </c>
      <c r="D627" t="s">
        <v>2991</v>
      </c>
      <c r="E627">
        <f t="shared" si="27"/>
        <v>68.604250000000008</v>
      </c>
      <c r="I627">
        <f t="shared" si="28"/>
        <v>68.604250000000008</v>
      </c>
      <c r="J627" t="str">
        <f t="shared" si="29"/>
        <v>Our Cost</v>
      </c>
    </row>
    <row r="628" spans="1:10">
      <c r="A628" t="s">
        <v>4011</v>
      </c>
      <c r="B628" t="s">
        <v>2893</v>
      </c>
      <c r="C628" t="s">
        <v>2249</v>
      </c>
      <c r="D628" t="s">
        <v>2992</v>
      </c>
      <c r="E628">
        <f t="shared" si="27"/>
        <v>76.075999999999993</v>
      </c>
      <c r="I628">
        <f t="shared" si="28"/>
        <v>76.075999999999993</v>
      </c>
      <c r="J628" t="str">
        <f t="shared" si="29"/>
        <v>Our Cost</v>
      </c>
    </row>
    <row r="629" spans="1:10">
      <c r="A629" t="s">
        <v>4012</v>
      </c>
      <c r="B629" t="s">
        <v>2893</v>
      </c>
      <c r="C629" t="s">
        <v>2249</v>
      </c>
      <c r="D629" t="s">
        <v>2993</v>
      </c>
      <c r="E629">
        <f t="shared" si="27"/>
        <v>78.113749999999996</v>
      </c>
      <c r="I629">
        <f t="shared" si="28"/>
        <v>78.113749999999996</v>
      </c>
      <c r="J629" t="str">
        <f t="shared" si="29"/>
        <v>Our Cost</v>
      </c>
    </row>
    <row r="630" spans="1:10">
      <c r="A630" t="s">
        <v>4013</v>
      </c>
      <c r="B630" t="s">
        <v>2994</v>
      </c>
      <c r="C630" t="s">
        <v>2249</v>
      </c>
      <c r="D630" t="s">
        <v>2454</v>
      </c>
      <c r="E630">
        <f t="shared" si="27"/>
        <v>10.868</v>
      </c>
      <c r="I630">
        <f t="shared" si="28"/>
        <v>10.868</v>
      </c>
      <c r="J630" t="str">
        <f t="shared" si="29"/>
        <v>Our Cost</v>
      </c>
    </row>
    <row r="631" spans="1:10">
      <c r="A631" t="s">
        <v>4014</v>
      </c>
      <c r="B631" t="s">
        <v>2995</v>
      </c>
      <c r="C631" t="s">
        <v>2249</v>
      </c>
      <c r="D631" t="s">
        <v>2996</v>
      </c>
      <c r="E631">
        <f t="shared" si="27"/>
        <v>84.227000000000004</v>
      </c>
      <c r="I631">
        <f t="shared" si="28"/>
        <v>84.227000000000004</v>
      </c>
      <c r="J631" t="str">
        <f t="shared" si="29"/>
        <v>Our Cost</v>
      </c>
    </row>
    <row r="632" spans="1:10">
      <c r="A632" t="s">
        <v>4015</v>
      </c>
      <c r="B632" t="s">
        <v>2997</v>
      </c>
      <c r="C632" t="s">
        <v>2249</v>
      </c>
      <c r="D632" t="s">
        <v>2996</v>
      </c>
      <c r="E632">
        <f t="shared" si="27"/>
        <v>84.227000000000004</v>
      </c>
      <c r="I632">
        <f t="shared" si="28"/>
        <v>84.227000000000004</v>
      </c>
      <c r="J632" t="str">
        <f t="shared" si="29"/>
        <v>Our Cost</v>
      </c>
    </row>
    <row r="633" spans="1:10">
      <c r="A633" t="s">
        <v>4016</v>
      </c>
      <c r="B633" t="s">
        <v>2995</v>
      </c>
      <c r="C633" t="s">
        <v>2249</v>
      </c>
      <c r="D633" t="s">
        <v>2275</v>
      </c>
      <c r="E633">
        <f t="shared" si="27"/>
        <v>85.585499999999996</v>
      </c>
      <c r="I633">
        <f t="shared" si="28"/>
        <v>85.585499999999996</v>
      </c>
      <c r="J633" t="str">
        <f t="shared" si="29"/>
        <v>Our Cost</v>
      </c>
    </row>
    <row r="634" spans="1:10">
      <c r="A634" t="s">
        <v>4017</v>
      </c>
      <c r="B634" t="s">
        <v>2998</v>
      </c>
      <c r="C634" t="s">
        <v>2249</v>
      </c>
      <c r="D634" t="s">
        <v>2999</v>
      </c>
      <c r="E634">
        <f t="shared" si="27"/>
        <v>71.321249999999992</v>
      </c>
      <c r="I634">
        <f t="shared" si="28"/>
        <v>71.321249999999992</v>
      </c>
      <c r="J634" t="str">
        <f t="shared" si="29"/>
        <v>Our Cost</v>
      </c>
    </row>
    <row r="635" spans="1:10">
      <c r="A635" t="s">
        <v>4018</v>
      </c>
      <c r="B635" t="s">
        <v>3000</v>
      </c>
      <c r="C635" t="s">
        <v>2249</v>
      </c>
      <c r="D635" t="s">
        <v>2501</v>
      </c>
      <c r="E635">
        <f t="shared" si="27"/>
        <v>35.321000000000005</v>
      </c>
      <c r="I635">
        <f t="shared" si="28"/>
        <v>35.321000000000005</v>
      </c>
      <c r="J635" t="str">
        <f t="shared" si="29"/>
        <v>Our Cost</v>
      </c>
    </row>
    <row r="636" spans="1:10">
      <c r="A636" t="s">
        <v>4019</v>
      </c>
      <c r="B636" t="s">
        <v>3001</v>
      </c>
      <c r="C636" t="s">
        <v>2249</v>
      </c>
      <c r="D636" t="s">
        <v>2501</v>
      </c>
      <c r="E636">
        <f t="shared" si="27"/>
        <v>35.321000000000005</v>
      </c>
      <c r="I636">
        <f t="shared" si="28"/>
        <v>35.321000000000005</v>
      </c>
      <c r="J636" t="str">
        <f t="shared" si="29"/>
        <v>Our Cost</v>
      </c>
    </row>
    <row r="637" spans="1:10">
      <c r="A637" t="s">
        <v>4020</v>
      </c>
      <c r="B637" t="s">
        <v>3000</v>
      </c>
      <c r="C637" t="s">
        <v>2249</v>
      </c>
      <c r="D637" t="s">
        <v>2566</v>
      </c>
      <c r="E637">
        <f t="shared" si="27"/>
        <v>36.679499999999997</v>
      </c>
      <c r="I637">
        <f t="shared" si="28"/>
        <v>36.679499999999997</v>
      </c>
      <c r="J637" t="str">
        <f t="shared" si="29"/>
        <v>Our Cost</v>
      </c>
    </row>
    <row r="638" spans="1:10">
      <c r="A638" t="s">
        <v>4021</v>
      </c>
      <c r="B638" t="s">
        <v>3002</v>
      </c>
      <c r="C638" t="s">
        <v>2249</v>
      </c>
      <c r="D638" t="s">
        <v>2303</v>
      </c>
      <c r="E638">
        <f t="shared" si="27"/>
        <v>28.528499999999998</v>
      </c>
      <c r="I638">
        <f t="shared" si="28"/>
        <v>28.528499999999998</v>
      </c>
      <c r="J638" t="str">
        <f t="shared" si="29"/>
        <v>Our Cost</v>
      </c>
    </row>
    <row r="639" spans="1:10">
      <c r="A639" t="s">
        <v>4022</v>
      </c>
      <c r="B639" t="s">
        <v>3003</v>
      </c>
      <c r="C639" t="s">
        <v>2249</v>
      </c>
      <c r="D639" t="s">
        <v>2303</v>
      </c>
      <c r="E639">
        <f t="shared" si="27"/>
        <v>28.528499999999998</v>
      </c>
      <c r="I639">
        <f t="shared" si="28"/>
        <v>28.528499999999998</v>
      </c>
      <c r="J639" t="str">
        <f t="shared" si="29"/>
        <v>Our Cost</v>
      </c>
    </row>
    <row r="640" spans="1:10">
      <c r="A640" t="s">
        <v>4023</v>
      </c>
      <c r="B640" t="s">
        <v>3002</v>
      </c>
      <c r="C640" t="s">
        <v>2249</v>
      </c>
      <c r="D640" t="s">
        <v>2891</v>
      </c>
      <c r="E640">
        <f t="shared" si="27"/>
        <v>29.887</v>
      </c>
      <c r="I640">
        <f t="shared" si="28"/>
        <v>29.887</v>
      </c>
      <c r="J640" t="str">
        <f t="shared" si="29"/>
        <v>Our Cost</v>
      </c>
    </row>
    <row r="641" spans="1:10">
      <c r="A641" t="s">
        <v>4024</v>
      </c>
      <c r="B641" t="s">
        <v>3004</v>
      </c>
      <c r="C641" t="s">
        <v>2249</v>
      </c>
      <c r="D641" t="s">
        <v>2766</v>
      </c>
      <c r="E641">
        <f t="shared" si="27"/>
        <v>15.62275</v>
      </c>
      <c r="I641">
        <f t="shared" si="28"/>
        <v>15.62275</v>
      </c>
      <c r="J641" t="str">
        <f t="shared" si="29"/>
        <v>Our Cost</v>
      </c>
    </row>
    <row r="642" spans="1:10">
      <c r="A642" t="s">
        <v>4025</v>
      </c>
      <c r="B642" t="s">
        <v>3005</v>
      </c>
      <c r="C642" t="s">
        <v>2249</v>
      </c>
      <c r="D642" t="s">
        <v>3006</v>
      </c>
      <c r="E642">
        <f t="shared" si="27"/>
        <v>97.811999999999998</v>
      </c>
      <c r="I642">
        <f t="shared" si="28"/>
        <v>97.811999999999998</v>
      </c>
      <c r="J642" t="str">
        <f t="shared" si="29"/>
        <v>Our Cost</v>
      </c>
    </row>
    <row r="643" spans="1:10">
      <c r="A643" t="s">
        <v>4026</v>
      </c>
      <c r="B643" t="s">
        <v>3007</v>
      </c>
      <c r="C643" t="s">
        <v>2249</v>
      </c>
      <c r="D643" t="s">
        <v>2586</v>
      </c>
      <c r="E643">
        <f t="shared" ref="E643:E706" si="30">+D643*0.65*1.045</f>
        <v>46.189</v>
      </c>
      <c r="I643">
        <f t="shared" ref="I643:I706" si="31">+MIN(E643:H643)</f>
        <v>46.189</v>
      </c>
      <c r="J643" t="str">
        <f t="shared" ref="J643:J706" si="32">+_xlfn.SINGLE(_xlfn.XLOOKUP(I643,E643:H643,$E$1:$H$1))</f>
        <v>Our Cost</v>
      </c>
    </row>
    <row r="644" spans="1:10">
      <c r="A644" t="s">
        <v>4027</v>
      </c>
      <c r="B644" t="s">
        <v>3007</v>
      </c>
      <c r="C644" t="s">
        <v>2249</v>
      </c>
      <c r="D644" t="s">
        <v>2527</v>
      </c>
      <c r="E644">
        <f t="shared" si="30"/>
        <v>47.547499999999999</v>
      </c>
      <c r="I644">
        <f t="shared" si="31"/>
        <v>47.547499999999999</v>
      </c>
      <c r="J644" t="str">
        <f t="shared" si="32"/>
        <v>Our Cost</v>
      </c>
    </row>
    <row r="645" spans="1:10">
      <c r="A645" t="s">
        <v>4028</v>
      </c>
      <c r="B645" t="s">
        <v>3008</v>
      </c>
      <c r="C645" t="s">
        <v>2249</v>
      </c>
      <c r="D645" t="s">
        <v>2527</v>
      </c>
      <c r="E645">
        <f t="shared" si="30"/>
        <v>47.547499999999999</v>
      </c>
      <c r="I645">
        <f t="shared" si="31"/>
        <v>47.547499999999999</v>
      </c>
      <c r="J645" t="str">
        <f t="shared" si="32"/>
        <v>Our Cost</v>
      </c>
    </row>
    <row r="646" spans="1:10">
      <c r="A646" t="s">
        <v>4029</v>
      </c>
      <c r="B646" t="s">
        <v>3009</v>
      </c>
      <c r="C646" t="s">
        <v>2249</v>
      </c>
      <c r="D646" t="s">
        <v>2425</v>
      </c>
      <c r="E646">
        <f t="shared" si="30"/>
        <v>38.71725</v>
      </c>
      <c r="I646">
        <f t="shared" si="31"/>
        <v>38.71725</v>
      </c>
      <c r="J646" t="str">
        <f t="shared" si="32"/>
        <v>Our Cost</v>
      </c>
    </row>
    <row r="647" spans="1:10">
      <c r="A647" t="s">
        <v>4030</v>
      </c>
      <c r="B647" t="s">
        <v>3010</v>
      </c>
      <c r="C647" t="s">
        <v>2249</v>
      </c>
      <c r="D647" t="s">
        <v>2425</v>
      </c>
      <c r="E647">
        <f t="shared" si="30"/>
        <v>38.71725</v>
      </c>
      <c r="I647">
        <f t="shared" si="31"/>
        <v>38.71725</v>
      </c>
      <c r="J647" t="str">
        <f t="shared" si="32"/>
        <v>Our Cost</v>
      </c>
    </row>
    <row r="648" spans="1:10">
      <c r="A648" t="s">
        <v>4031</v>
      </c>
      <c r="B648" t="s">
        <v>3011</v>
      </c>
      <c r="C648" t="s">
        <v>2249</v>
      </c>
      <c r="D648" t="s">
        <v>2400</v>
      </c>
      <c r="E648">
        <f t="shared" si="30"/>
        <v>24.452999999999999</v>
      </c>
      <c r="I648">
        <f t="shared" si="31"/>
        <v>24.452999999999999</v>
      </c>
      <c r="J648" t="str">
        <f t="shared" si="32"/>
        <v>Our Cost</v>
      </c>
    </row>
    <row r="649" spans="1:10">
      <c r="A649" t="s">
        <v>4032</v>
      </c>
      <c r="B649" t="s">
        <v>3011</v>
      </c>
      <c r="C649" t="s">
        <v>2249</v>
      </c>
      <c r="D649" t="s">
        <v>2520</v>
      </c>
      <c r="E649">
        <f t="shared" si="30"/>
        <v>29.207749999999997</v>
      </c>
      <c r="I649">
        <f t="shared" si="31"/>
        <v>29.207749999999997</v>
      </c>
      <c r="J649" t="str">
        <f t="shared" si="32"/>
        <v>Our Cost</v>
      </c>
    </row>
    <row r="650" spans="1:10">
      <c r="A650" t="s">
        <v>4033</v>
      </c>
      <c r="B650" t="s">
        <v>3012</v>
      </c>
      <c r="C650" t="s">
        <v>2249</v>
      </c>
      <c r="D650" t="s">
        <v>2660</v>
      </c>
      <c r="E650">
        <f t="shared" si="30"/>
        <v>31.92475</v>
      </c>
      <c r="I650">
        <f t="shared" si="31"/>
        <v>31.92475</v>
      </c>
      <c r="J650" t="str">
        <f t="shared" si="32"/>
        <v>Our Cost</v>
      </c>
    </row>
    <row r="651" spans="1:10">
      <c r="A651" t="s">
        <v>4034</v>
      </c>
      <c r="B651" t="s">
        <v>3012</v>
      </c>
      <c r="C651" t="s">
        <v>2249</v>
      </c>
      <c r="D651" t="s">
        <v>2445</v>
      </c>
      <c r="E651">
        <f t="shared" si="30"/>
        <v>33.283250000000002</v>
      </c>
      <c r="I651">
        <f t="shared" si="31"/>
        <v>33.283250000000002</v>
      </c>
      <c r="J651" t="str">
        <f t="shared" si="32"/>
        <v>Our Cost</v>
      </c>
    </row>
    <row r="652" spans="1:10">
      <c r="A652" t="s">
        <v>4035</v>
      </c>
      <c r="B652" t="s">
        <v>3013</v>
      </c>
      <c r="C652" t="s">
        <v>2249</v>
      </c>
      <c r="D652" t="s">
        <v>2664</v>
      </c>
      <c r="E652">
        <f t="shared" si="30"/>
        <v>22.415249999999997</v>
      </c>
      <c r="I652">
        <f t="shared" si="31"/>
        <v>22.415249999999997</v>
      </c>
      <c r="J652" t="str">
        <f t="shared" si="32"/>
        <v>Our Cost</v>
      </c>
    </row>
    <row r="653" spans="1:10">
      <c r="A653" t="s">
        <v>4036</v>
      </c>
      <c r="B653" t="s">
        <v>3013</v>
      </c>
      <c r="C653" t="s">
        <v>2249</v>
      </c>
      <c r="D653" t="s">
        <v>2664</v>
      </c>
      <c r="E653">
        <f t="shared" si="30"/>
        <v>22.415249999999997</v>
      </c>
      <c r="I653">
        <f t="shared" si="31"/>
        <v>22.415249999999997</v>
      </c>
      <c r="J653" t="str">
        <f t="shared" si="32"/>
        <v>Our Cost</v>
      </c>
    </row>
    <row r="654" spans="1:10">
      <c r="A654" t="s">
        <v>4037</v>
      </c>
      <c r="B654" t="s">
        <v>3014</v>
      </c>
      <c r="C654" t="s">
        <v>2249</v>
      </c>
      <c r="D654" t="s">
        <v>2442</v>
      </c>
      <c r="E654">
        <f t="shared" si="30"/>
        <v>5.4340000000000002</v>
      </c>
      <c r="I654">
        <f t="shared" si="31"/>
        <v>5.4340000000000002</v>
      </c>
      <c r="J654" t="str">
        <f t="shared" si="32"/>
        <v>Our Cost</v>
      </c>
    </row>
    <row r="655" spans="1:10">
      <c r="A655" t="s">
        <v>4038</v>
      </c>
      <c r="B655" t="s">
        <v>3014</v>
      </c>
      <c r="C655" t="s">
        <v>2249</v>
      </c>
      <c r="D655" t="s">
        <v>2440</v>
      </c>
      <c r="E655">
        <f t="shared" si="30"/>
        <v>6.7924999999999995</v>
      </c>
      <c r="I655">
        <f t="shared" si="31"/>
        <v>6.7924999999999995</v>
      </c>
      <c r="J655" t="str">
        <f t="shared" si="32"/>
        <v>Our Cost</v>
      </c>
    </row>
    <row r="656" spans="1:10">
      <c r="A656" t="s">
        <v>4039</v>
      </c>
      <c r="B656" t="s">
        <v>3015</v>
      </c>
      <c r="C656" t="s">
        <v>2249</v>
      </c>
      <c r="D656" t="s">
        <v>2257</v>
      </c>
      <c r="E656">
        <f t="shared" si="30"/>
        <v>4.7547499999999996</v>
      </c>
      <c r="I656">
        <f t="shared" si="31"/>
        <v>4.7547499999999996</v>
      </c>
      <c r="J656" t="str">
        <f t="shared" si="32"/>
        <v>Our Cost</v>
      </c>
    </row>
    <row r="657" spans="1:10">
      <c r="A657" t="s">
        <v>4040</v>
      </c>
      <c r="B657" t="s">
        <v>3016</v>
      </c>
      <c r="C657" t="s">
        <v>2249</v>
      </c>
      <c r="D657" t="s">
        <v>2675</v>
      </c>
      <c r="E657">
        <f t="shared" si="30"/>
        <v>42.792749999999998</v>
      </c>
      <c r="I657">
        <f t="shared" si="31"/>
        <v>42.792749999999998</v>
      </c>
      <c r="J657" t="str">
        <f t="shared" si="32"/>
        <v>Our Cost</v>
      </c>
    </row>
    <row r="658" spans="1:10">
      <c r="A658" t="s">
        <v>4041</v>
      </c>
      <c r="B658" t="s">
        <v>3016</v>
      </c>
      <c r="C658" t="s">
        <v>2249</v>
      </c>
      <c r="D658" t="s">
        <v>2514</v>
      </c>
      <c r="E658">
        <f t="shared" si="30"/>
        <v>44.151249999999997</v>
      </c>
      <c r="I658">
        <f t="shared" si="31"/>
        <v>44.151249999999997</v>
      </c>
      <c r="J658" t="str">
        <f t="shared" si="32"/>
        <v>Our Cost</v>
      </c>
    </row>
    <row r="659" spans="1:10">
      <c r="A659" t="s">
        <v>4042</v>
      </c>
      <c r="B659" t="s">
        <v>3017</v>
      </c>
      <c r="C659" t="s">
        <v>2249</v>
      </c>
      <c r="D659" t="s">
        <v>2259</v>
      </c>
      <c r="E659">
        <f t="shared" si="30"/>
        <v>23.77375</v>
      </c>
      <c r="I659">
        <f t="shared" si="31"/>
        <v>23.77375</v>
      </c>
      <c r="J659" t="str">
        <f t="shared" si="32"/>
        <v>Our Cost</v>
      </c>
    </row>
    <row r="660" spans="1:10">
      <c r="A660" t="s">
        <v>4043</v>
      </c>
      <c r="B660" t="s">
        <v>3018</v>
      </c>
      <c r="C660" t="s">
        <v>2249</v>
      </c>
      <c r="D660" t="s">
        <v>2277</v>
      </c>
      <c r="E660">
        <f t="shared" si="30"/>
        <v>11.54725</v>
      </c>
      <c r="I660">
        <f t="shared" si="31"/>
        <v>11.54725</v>
      </c>
      <c r="J660" t="str">
        <f t="shared" si="32"/>
        <v>Our Cost</v>
      </c>
    </row>
    <row r="661" spans="1:10">
      <c r="A661" t="s">
        <v>4044</v>
      </c>
      <c r="B661" t="s">
        <v>3019</v>
      </c>
      <c r="C661" t="s">
        <v>2249</v>
      </c>
      <c r="D661" t="s">
        <v>2320</v>
      </c>
      <c r="E661">
        <f t="shared" si="30"/>
        <v>12.905749999999999</v>
      </c>
      <c r="I661">
        <f t="shared" si="31"/>
        <v>12.905749999999999</v>
      </c>
      <c r="J661" t="str">
        <f t="shared" si="32"/>
        <v>Our Cost</v>
      </c>
    </row>
    <row r="662" spans="1:10">
      <c r="A662" t="s">
        <v>4045</v>
      </c>
      <c r="B662" t="s">
        <v>3020</v>
      </c>
      <c r="C662" t="s">
        <v>2249</v>
      </c>
      <c r="D662" t="s">
        <v>2766</v>
      </c>
      <c r="E662">
        <f t="shared" si="30"/>
        <v>15.62275</v>
      </c>
      <c r="I662">
        <f t="shared" si="31"/>
        <v>15.62275</v>
      </c>
      <c r="J662" t="str">
        <f t="shared" si="32"/>
        <v>Our Cost</v>
      </c>
    </row>
    <row r="663" spans="1:10">
      <c r="A663" t="s">
        <v>4046</v>
      </c>
      <c r="B663" t="s">
        <v>3021</v>
      </c>
      <c r="C663" t="s">
        <v>2249</v>
      </c>
      <c r="D663" t="s">
        <v>2520</v>
      </c>
      <c r="E663">
        <f t="shared" si="30"/>
        <v>29.207749999999997</v>
      </c>
      <c r="I663">
        <f t="shared" si="31"/>
        <v>29.207749999999997</v>
      </c>
      <c r="J663" t="str">
        <f t="shared" si="32"/>
        <v>Our Cost</v>
      </c>
    </row>
    <row r="664" spans="1:10">
      <c r="A664" t="s">
        <v>4047</v>
      </c>
      <c r="B664" t="s">
        <v>3022</v>
      </c>
      <c r="C664" t="s">
        <v>2249</v>
      </c>
      <c r="D664" t="s">
        <v>2516</v>
      </c>
      <c r="E664">
        <f t="shared" si="30"/>
        <v>55.019249999999992</v>
      </c>
      <c r="I664">
        <f t="shared" si="31"/>
        <v>55.019249999999992</v>
      </c>
      <c r="J664" t="str">
        <f t="shared" si="32"/>
        <v>Our Cost</v>
      </c>
    </row>
    <row r="665" spans="1:10">
      <c r="A665" t="s">
        <v>4048</v>
      </c>
      <c r="B665" t="s">
        <v>3023</v>
      </c>
      <c r="C665" t="s">
        <v>2249</v>
      </c>
      <c r="D665" t="s">
        <v>2527</v>
      </c>
      <c r="E665">
        <f t="shared" si="30"/>
        <v>47.547499999999999</v>
      </c>
      <c r="I665">
        <f t="shared" si="31"/>
        <v>47.547499999999999</v>
      </c>
      <c r="J665" t="str">
        <f t="shared" si="32"/>
        <v>Our Cost</v>
      </c>
    </row>
    <row r="666" spans="1:10">
      <c r="A666" t="s">
        <v>4049</v>
      </c>
      <c r="B666" t="s">
        <v>3023</v>
      </c>
      <c r="C666" t="s">
        <v>2249</v>
      </c>
      <c r="D666" t="s">
        <v>2987</v>
      </c>
      <c r="E666">
        <f t="shared" si="30"/>
        <v>51.622999999999998</v>
      </c>
      <c r="I666">
        <f t="shared" si="31"/>
        <v>51.622999999999998</v>
      </c>
      <c r="J666" t="str">
        <f t="shared" si="32"/>
        <v>Our Cost</v>
      </c>
    </row>
    <row r="667" spans="1:10">
      <c r="A667" t="s">
        <v>4050</v>
      </c>
      <c r="B667" t="s">
        <v>3024</v>
      </c>
      <c r="C667" t="s">
        <v>2249</v>
      </c>
      <c r="D667" t="s">
        <v>2876</v>
      </c>
      <c r="E667">
        <f t="shared" si="30"/>
        <v>30.566249999999997</v>
      </c>
      <c r="I667">
        <f t="shared" si="31"/>
        <v>30.566249999999997</v>
      </c>
      <c r="J667" t="str">
        <f t="shared" si="32"/>
        <v>Our Cost</v>
      </c>
    </row>
    <row r="668" spans="1:10">
      <c r="A668" t="s">
        <v>4051</v>
      </c>
      <c r="B668" t="s">
        <v>3025</v>
      </c>
      <c r="C668" t="s">
        <v>2249</v>
      </c>
      <c r="D668" t="s">
        <v>2820</v>
      </c>
      <c r="E668">
        <f t="shared" si="30"/>
        <v>48.905999999999999</v>
      </c>
      <c r="I668">
        <f t="shared" si="31"/>
        <v>48.905999999999999</v>
      </c>
      <c r="J668" t="str">
        <f t="shared" si="32"/>
        <v>Our Cost</v>
      </c>
    </row>
    <row r="669" spans="1:10">
      <c r="A669" t="s">
        <v>4052</v>
      </c>
      <c r="B669" t="s">
        <v>3025</v>
      </c>
      <c r="C669" t="s">
        <v>2249</v>
      </c>
      <c r="D669" t="s">
        <v>2987</v>
      </c>
      <c r="E669">
        <f t="shared" si="30"/>
        <v>51.622999999999998</v>
      </c>
      <c r="I669">
        <f t="shared" si="31"/>
        <v>51.622999999999998</v>
      </c>
      <c r="J669" t="str">
        <f t="shared" si="32"/>
        <v>Our Cost</v>
      </c>
    </row>
    <row r="670" spans="1:10">
      <c r="A670" t="s">
        <v>4053</v>
      </c>
      <c r="B670" t="s">
        <v>3026</v>
      </c>
      <c r="C670" t="s">
        <v>2249</v>
      </c>
      <c r="D670" t="s">
        <v>2957</v>
      </c>
      <c r="E670">
        <f t="shared" si="30"/>
        <v>46.868249999999996</v>
      </c>
      <c r="I670">
        <f t="shared" si="31"/>
        <v>46.868249999999996</v>
      </c>
      <c r="J670" t="str">
        <f t="shared" si="32"/>
        <v>Our Cost</v>
      </c>
    </row>
    <row r="671" spans="1:10">
      <c r="A671" t="s">
        <v>4054</v>
      </c>
      <c r="B671" t="s">
        <v>3027</v>
      </c>
      <c r="C671" t="s">
        <v>2249</v>
      </c>
      <c r="D671" t="s">
        <v>2380</v>
      </c>
      <c r="E671">
        <f t="shared" si="30"/>
        <v>25.132249999999999</v>
      </c>
      <c r="I671">
        <f t="shared" si="31"/>
        <v>25.132249999999999</v>
      </c>
      <c r="J671" t="str">
        <f t="shared" si="32"/>
        <v>Our Cost</v>
      </c>
    </row>
    <row r="672" spans="1:10">
      <c r="A672" t="s">
        <v>4055</v>
      </c>
      <c r="B672" t="s">
        <v>3027</v>
      </c>
      <c r="C672" t="s">
        <v>2249</v>
      </c>
      <c r="D672" t="s">
        <v>2870</v>
      </c>
      <c r="E672">
        <f t="shared" si="30"/>
        <v>26.490749999999998</v>
      </c>
      <c r="I672">
        <f t="shared" si="31"/>
        <v>26.490749999999998</v>
      </c>
      <c r="J672" t="str">
        <f t="shared" si="32"/>
        <v>Our Cost</v>
      </c>
    </row>
    <row r="673" spans="1:11">
      <c r="A673" t="s">
        <v>4056</v>
      </c>
      <c r="B673" t="s">
        <v>3028</v>
      </c>
      <c r="C673" t="s">
        <v>2249</v>
      </c>
      <c r="D673" t="s">
        <v>2562</v>
      </c>
      <c r="E673">
        <f t="shared" si="30"/>
        <v>21.736000000000001</v>
      </c>
      <c r="I673">
        <f t="shared" si="31"/>
        <v>21.736000000000001</v>
      </c>
      <c r="J673" t="str">
        <f t="shared" si="32"/>
        <v>Our Cost</v>
      </c>
    </row>
    <row r="674" spans="1:11">
      <c r="A674" t="s">
        <v>2234</v>
      </c>
      <c r="B674" t="s">
        <v>2235</v>
      </c>
      <c r="C674" t="s">
        <v>2249</v>
      </c>
      <c r="D674" t="s">
        <v>2454</v>
      </c>
      <c r="E674">
        <f t="shared" si="30"/>
        <v>10.868</v>
      </c>
      <c r="I674">
        <f t="shared" si="31"/>
        <v>10.868</v>
      </c>
      <c r="J674" t="str">
        <f t="shared" si="32"/>
        <v>Our Cost</v>
      </c>
    </row>
    <row r="675" spans="1:11">
      <c r="A675" t="s">
        <v>4057</v>
      </c>
      <c r="B675" t="s">
        <v>3029</v>
      </c>
      <c r="C675" t="s">
        <v>2249</v>
      </c>
      <c r="D675" t="s">
        <v>2281</v>
      </c>
      <c r="E675">
        <f t="shared" si="30"/>
        <v>12.2265</v>
      </c>
      <c r="I675">
        <f t="shared" si="31"/>
        <v>12.2265</v>
      </c>
      <c r="J675" t="str">
        <f t="shared" si="32"/>
        <v>Our Cost</v>
      </c>
    </row>
    <row r="676" spans="1:11">
      <c r="A676" t="s">
        <v>4058</v>
      </c>
      <c r="B676" t="s">
        <v>3030</v>
      </c>
      <c r="C676" t="s">
        <v>2249</v>
      </c>
      <c r="D676" t="s">
        <v>2283</v>
      </c>
      <c r="E676">
        <f t="shared" si="30"/>
        <v>3.3962499999999998</v>
      </c>
      <c r="I676">
        <f t="shared" si="31"/>
        <v>3.3962499999999998</v>
      </c>
      <c r="J676" t="str">
        <f t="shared" si="32"/>
        <v>Our Cost</v>
      </c>
    </row>
    <row r="677" spans="1:11">
      <c r="A677" t="s">
        <v>4059</v>
      </c>
      <c r="B677" t="s">
        <v>3031</v>
      </c>
      <c r="C677" t="s">
        <v>2249</v>
      </c>
      <c r="D677" t="s">
        <v>2284</v>
      </c>
      <c r="E677">
        <f t="shared" si="30"/>
        <v>0.67925000000000002</v>
      </c>
      <c r="I677">
        <f t="shared" si="31"/>
        <v>0.67925000000000002</v>
      </c>
      <c r="J677" t="str">
        <f t="shared" si="32"/>
        <v>Our Cost</v>
      </c>
    </row>
    <row r="678" spans="1:11">
      <c r="A678" t="s">
        <v>4060</v>
      </c>
      <c r="B678" t="s">
        <v>3032</v>
      </c>
      <c r="C678" t="s">
        <v>2248</v>
      </c>
      <c r="D678" t="s">
        <v>2284</v>
      </c>
      <c r="E678">
        <f t="shared" si="30"/>
        <v>0.67925000000000002</v>
      </c>
      <c r="I678">
        <f t="shared" si="31"/>
        <v>0.67925000000000002</v>
      </c>
      <c r="J678" t="str">
        <f t="shared" si="32"/>
        <v>Our Cost</v>
      </c>
    </row>
    <row r="679" spans="1:11">
      <c r="A679" t="s">
        <v>4061</v>
      </c>
      <c r="B679" t="s">
        <v>3033</v>
      </c>
      <c r="C679" t="s">
        <v>2249</v>
      </c>
      <c r="D679" t="s">
        <v>2687</v>
      </c>
      <c r="E679">
        <f t="shared" si="30"/>
        <v>21.056750000000001</v>
      </c>
      <c r="I679">
        <f t="shared" si="31"/>
        <v>21.056750000000001</v>
      </c>
      <c r="J679" t="str">
        <f t="shared" si="32"/>
        <v>Our Cost</v>
      </c>
    </row>
    <row r="680" spans="1:11">
      <c r="A680" t="s">
        <v>4062</v>
      </c>
      <c r="B680" t="s">
        <v>3034</v>
      </c>
      <c r="C680" t="s">
        <v>2249</v>
      </c>
      <c r="D680" t="s">
        <v>3035</v>
      </c>
      <c r="E680">
        <f t="shared" si="30"/>
        <v>391.92724999999996</v>
      </c>
      <c r="I680">
        <f t="shared" si="31"/>
        <v>391.92724999999996</v>
      </c>
      <c r="J680" t="str">
        <f t="shared" si="32"/>
        <v>Our Cost</v>
      </c>
    </row>
    <row r="681" spans="1:11">
      <c r="A681" t="s">
        <v>4063</v>
      </c>
      <c r="B681" t="s">
        <v>3036</v>
      </c>
      <c r="C681" t="s">
        <v>2248</v>
      </c>
      <c r="D681" t="s">
        <v>2664</v>
      </c>
      <c r="E681">
        <f t="shared" si="30"/>
        <v>22.415249999999997</v>
      </c>
      <c r="I681">
        <f t="shared" si="31"/>
        <v>22.415249999999997</v>
      </c>
      <c r="J681" t="str">
        <f t="shared" si="32"/>
        <v>Our Cost</v>
      </c>
    </row>
    <row r="682" spans="1:11">
      <c r="A682" t="s">
        <v>4064</v>
      </c>
      <c r="B682" t="s">
        <v>3037</v>
      </c>
      <c r="C682" t="s">
        <v>2248</v>
      </c>
      <c r="D682" t="s">
        <v>2258</v>
      </c>
      <c r="E682">
        <f t="shared" si="30"/>
        <v>2.03775</v>
      </c>
      <c r="I682">
        <f t="shared" si="31"/>
        <v>2.03775</v>
      </c>
      <c r="J682" t="str">
        <f t="shared" si="32"/>
        <v>Our Cost</v>
      </c>
    </row>
    <row r="683" spans="1:11">
      <c r="A683" t="s">
        <v>4065</v>
      </c>
      <c r="B683" t="s">
        <v>3038</v>
      </c>
      <c r="C683" t="s">
        <v>2248</v>
      </c>
      <c r="D683" t="s">
        <v>2501</v>
      </c>
      <c r="E683">
        <f t="shared" si="30"/>
        <v>35.321000000000005</v>
      </c>
      <c r="I683">
        <f t="shared" si="31"/>
        <v>35.321000000000005</v>
      </c>
      <c r="J683" t="str">
        <f t="shared" si="32"/>
        <v>Our Cost</v>
      </c>
    </row>
    <row r="684" spans="1:11">
      <c r="A684" t="s">
        <v>4066</v>
      </c>
      <c r="B684" t="s">
        <v>3039</v>
      </c>
      <c r="C684" t="s">
        <v>2248</v>
      </c>
      <c r="D684" t="s">
        <v>2582</v>
      </c>
      <c r="E684">
        <f t="shared" si="30"/>
        <v>138.56699999999998</v>
      </c>
      <c r="I684">
        <f t="shared" si="31"/>
        <v>138.56699999999998</v>
      </c>
      <c r="J684" t="str">
        <f t="shared" si="32"/>
        <v>Our Cost</v>
      </c>
    </row>
    <row r="685" spans="1:11">
      <c r="A685" t="s">
        <v>4067</v>
      </c>
      <c r="B685" t="s">
        <v>3040</v>
      </c>
      <c r="C685" t="s">
        <v>2568</v>
      </c>
      <c r="D685" t="s">
        <v>2380</v>
      </c>
      <c r="E685">
        <f t="shared" si="30"/>
        <v>25.132249999999999</v>
      </c>
      <c r="H685">
        <v>34.04</v>
      </c>
      <c r="I685">
        <f t="shared" si="31"/>
        <v>25.132249999999999</v>
      </c>
      <c r="J685" t="str">
        <f t="shared" si="32"/>
        <v>Our Cost</v>
      </c>
      <c r="K685" t="s">
        <v>3395</v>
      </c>
    </row>
    <row r="686" spans="1:11">
      <c r="A686" t="s">
        <v>4068</v>
      </c>
      <c r="B686" t="s">
        <v>3041</v>
      </c>
      <c r="C686" t="s">
        <v>2249</v>
      </c>
      <c r="D686" t="s">
        <v>2314</v>
      </c>
      <c r="E686">
        <f t="shared" si="30"/>
        <v>1.3585</v>
      </c>
      <c r="I686">
        <f t="shared" si="31"/>
        <v>1.3585</v>
      </c>
      <c r="J686" t="str">
        <f t="shared" si="32"/>
        <v>Our Cost</v>
      </c>
    </row>
    <row r="687" spans="1:11">
      <c r="A687" t="s">
        <v>4069</v>
      </c>
      <c r="B687" t="s">
        <v>3042</v>
      </c>
      <c r="C687" t="s">
        <v>2248</v>
      </c>
      <c r="D687" t="s">
        <v>2766</v>
      </c>
      <c r="E687">
        <f t="shared" si="30"/>
        <v>15.62275</v>
      </c>
      <c r="G687">
        <v>17</v>
      </c>
      <c r="H687">
        <v>21.16</v>
      </c>
      <c r="I687">
        <f t="shared" si="31"/>
        <v>15.62275</v>
      </c>
      <c r="J687" t="str">
        <f t="shared" si="32"/>
        <v>Our Cost</v>
      </c>
    </row>
    <row r="688" spans="1:11">
      <c r="A688" t="s">
        <v>4070</v>
      </c>
      <c r="B688" t="s">
        <v>3043</v>
      </c>
      <c r="C688" t="s">
        <v>2248</v>
      </c>
      <c r="D688" t="s">
        <v>2322</v>
      </c>
      <c r="E688">
        <f t="shared" si="30"/>
        <v>2.7170000000000001</v>
      </c>
      <c r="I688">
        <f t="shared" si="31"/>
        <v>2.7170000000000001</v>
      </c>
      <c r="J688" t="str">
        <f t="shared" si="32"/>
        <v>Our Cost</v>
      </c>
    </row>
    <row r="689" spans="1:10">
      <c r="A689" t="s">
        <v>4071</v>
      </c>
      <c r="B689" t="s">
        <v>3044</v>
      </c>
      <c r="C689" t="s">
        <v>2248</v>
      </c>
      <c r="D689" t="s">
        <v>2322</v>
      </c>
      <c r="E689">
        <f t="shared" si="30"/>
        <v>2.7170000000000001</v>
      </c>
      <c r="H689">
        <v>8.1999999999999993</v>
      </c>
      <c r="I689">
        <f t="shared" si="31"/>
        <v>2.7170000000000001</v>
      </c>
      <c r="J689" t="str">
        <f t="shared" si="32"/>
        <v>Our Cost</v>
      </c>
    </row>
    <row r="690" spans="1:10">
      <c r="A690" t="s">
        <v>4072</v>
      </c>
      <c r="B690" t="s">
        <v>3045</v>
      </c>
      <c r="C690" t="s">
        <v>2248</v>
      </c>
      <c r="D690" t="s">
        <v>2333</v>
      </c>
      <c r="E690">
        <f t="shared" si="30"/>
        <v>4.0754999999999999</v>
      </c>
      <c r="I690">
        <f t="shared" si="31"/>
        <v>4.0754999999999999</v>
      </c>
      <c r="J690" t="str">
        <f t="shared" si="32"/>
        <v>Our Cost</v>
      </c>
    </row>
    <row r="691" spans="1:10">
      <c r="A691" t="s">
        <v>4073</v>
      </c>
      <c r="B691" t="s">
        <v>3046</v>
      </c>
      <c r="C691" t="s">
        <v>2248</v>
      </c>
      <c r="D691" t="s">
        <v>2284</v>
      </c>
      <c r="E691">
        <f t="shared" si="30"/>
        <v>0.67925000000000002</v>
      </c>
      <c r="I691">
        <f t="shared" si="31"/>
        <v>0.67925000000000002</v>
      </c>
      <c r="J691" t="str">
        <f t="shared" si="32"/>
        <v>Our Cost</v>
      </c>
    </row>
    <row r="692" spans="1:10">
      <c r="A692" t="s">
        <v>4074</v>
      </c>
      <c r="B692" t="s">
        <v>3047</v>
      </c>
      <c r="C692" t="s">
        <v>3048</v>
      </c>
      <c r="D692" t="s">
        <v>2336</v>
      </c>
      <c r="E692">
        <f t="shared" si="30"/>
        <v>42.113500000000002</v>
      </c>
      <c r="I692">
        <f t="shared" si="31"/>
        <v>42.113500000000002</v>
      </c>
      <c r="J692" t="str">
        <f t="shared" si="32"/>
        <v>Our Cost</v>
      </c>
    </row>
    <row r="693" spans="1:10">
      <c r="A693" t="s">
        <v>4075</v>
      </c>
      <c r="B693" t="s">
        <v>3049</v>
      </c>
      <c r="C693" t="s">
        <v>2248</v>
      </c>
      <c r="D693" t="s">
        <v>2322</v>
      </c>
      <c r="E693">
        <f t="shared" si="30"/>
        <v>2.7170000000000001</v>
      </c>
      <c r="I693">
        <f t="shared" si="31"/>
        <v>2.7170000000000001</v>
      </c>
      <c r="J693" t="str">
        <f t="shared" si="32"/>
        <v>Our Cost</v>
      </c>
    </row>
    <row r="694" spans="1:10">
      <c r="A694" t="s">
        <v>4076</v>
      </c>
      <c r="B694" t="s">
        <v>3050</v>
      </c>
      <c r="C694" t="s">
        <v>3048</v>
      </c>
      <c r="D694" t="s">
        <v>2957</v>
      </c>
      <c r="E694">
        <f t="shared" si="30"/>
        <v>46.868249999999996</v>
      </c>
      <c r="I694">
        <f t="shared" si="31"/>
        <v>46.868249999999996</v>
      </c>
      <c r="J694" t="str">
        <f t="shared" si="32"/>
        <v>Our Cost</v>
      </c>
    </row>
    <row r="695" spans="1:10">
      <c r="A695" t="s">
        <v>4077</v>
      </c>
      <c r="B695" t="s">
        <v>3051</v>
      </c>
      <c r="C695" t="s">
        <v>3048</v>
      </c>
      <c r="D695" t="s">
        <v>2477</v>
      </c>
      <c r="E695">
        <f t="shared" si="30"/>
        <v>52.302250000000001</v>
      </c>
      <c r="H695">
        <v>1.22</v>
      </c>
      <c r="I695">
        <f t="shared" si="31"/>
        <v>1.22</v>
      </c>
      <c r="J695" t="str">
        <f t="shared" si="32"/>
        <v>DC</v>
      </c>
    </row>
    <row r="696" spans="1:10">
      <c r="A696" t="s">
        <v>4078</v>
      </c>
      <c r="B696" t="s">
        <v>3052</v>
      </c>
      <c r="C696" t="s">
        <v>2248</v>
      </c>
      <c r="D696" t="s">
        <v>2284</v>
      </c>
      <c r="E696">
        <f t="shared" si="30"/>
        <v>0.67925000000000002</v>
      </c>
      <c r="I696">
        <f t="shared" si="31"/>
        <v>0.67925000000000002</v>
      </c>
      <c r="J696" t="str">
        <f t="shared" si="32"/>
        <v>Our Cost</v>
      </c>
    </row>
    <row r="697" spans="1:10">
      <c r="A697" t="s">
        <v>4079</v>
      </c>
      <c r="B697" t="s">
        <v>3053</v>
      </c>
      <c r="C697" t="s">
        <v>3048</v>
      </c>
      <c r="D697" t="s">
        <v>2557</v>
      </c>
      <c r="E697">
        <f t="shared" si="30"/>
        <v>40.075749999999999</v>
      </c>
      <c r="I697">
        <f t="shared" si="31"/>
        <v>40.075749999999999</v>
      </c>
      <c r="J697" t="str">
        <f t="shared" si="32"/>
        <v>Our Cost</v>
      </c>
    </row>
    <row r="698" spans="1:10">
      <c r="A698" t="s">
        <v>4080</v>
      </c>
      <c r="B698" t="s">
        <v>3054</v>
      </c>
      <c r="C698" t="s">
        <v>3048</v>
      </c>
      <c r="D698" t="s">
        <v>2336</v>
      </c>
      <c r="E698">
        <f t="shared" si="30"/>
        <v>42.113500000000002</v>
      </c>
      <c r="I698">
        <f t="shared" si="31"/>
        <v>42.113500000000002</v>
      </c>
      <c r="J698" t="str">
        <f t="shared" si="32"/>
        <v>Our Cost</v>
      </c>
    </row>
    <row r="699" spans="1:10">
      <c r="A699" t="s">
        <v>4081</v>
      </c>
      <c r="B699" t="s">
        <v>3055</v>
      </c>
      <c r="C699" t="s">
        <v>3048</v>
      </c>
      <c r="D699" t="s">
        <v>2557</v>
      </c>
      <c r="E699">
        <f t="shared" si="30"/>
        <v>40.075749999999999</v>
      </c>
      <c r="I699">
        <f t="shared" si="31"/>
        <v>40.075749999999999</v>
      </c>
      <c r="J699" t="str">
        <f t="shared" si="32"/>
        <v>Our Cost</v>
      </c>
    </row>
    <row r="700" spans="1:10">
      <c r="A700" t="s">
        <v>4082</v>
      </c>
      <c r="B700" t="s">
        <v>3056</v>
      </c>
      <c r="C700" t="s">
        <v>2248</v>
      </c>
      <c r="D700" t="s">
        <v>2322</v>
      </c>
      <c r="E700">
        <f t="shared" si="30"/>
        <v>2.7170000000000001</v>
      </c>
      <c r="I700">
        <f t="shared" si="31"/>
        <v>2.7170000000000001</v>
      </c>
      <c r="J700" t="str">
        <f t="shared" si="32"/>
        <v>Our Cost</v>
      </c>
    </row>
    <row r="701" spans="1:10">
      <c r="A701" t="s">
        <v>4083</v>
      </c>
      <c r="B701" t="s">
        <v>3057</v>
      </c>
      <c r="C701" t="s">
        <v>2248</v>
      </c>
      <c r="D701" t="s">
        <v>2314</v>
      </c>
      <c r="E701">
        <f t="shared" si="30"/>
        <v>1.3585</v>
      </c>
      <c r="I701">
        <f t="shared" si="31"/>
        <v>1.3585</v>
      </c>
      <c r="J701" t="str">
        <f t="shared" si="32"/>
        <v>Our Cost</v>
      </c>
    </row>
    <row r="702" spans="1:10">
      <c r="A702" t="s">
        <v>4084</v>
      </c>
      <c r="B702" t="s">
        <v>3058</v>
      </c>
      <c r="C702" t="s">
        <v>2248</v>
      </c>
      <c r="D702" t="s">
        <v>2284</v>
      </c>
      <c r="E702">
        <f t="shared" si="30"/>
        <v>0.67925000000000002</v>
      </c>
      <c r="I702">
        <f t="shared" si="31"/>
        <v>0.67925000000000002</v>
      </c>
      <c r="J702" t="str">
        <f t="shared" si="32"/>
        <v>Our Cost</v>
      </c>
    </row>
    <row r="703" spans="1:10">
      <c r="A703" t="s">
        <v>4085</v>
      </c>
      <c r="B703" t="s">
        <v>3059</v>
      </c>
      <c r="C703" t="s">
        <v>2248</v>
      </c>
      <c r="D703" t="s">
        <v>2314</v>
      </c>
      <c r="E703">
        <f t="shared" si="30"/>
        <v>1.3585</v>
      </c>
      <c r="H703">
        <v>1.1499999999999999</v>
      </c>
      <c r="I703">
        <f t="shared" si="31"/>
        <v>1.1499999999999999</v>
      </c>
      <c r="J703" t="str">
        <f t="shared" si="32"/>
        <v>DC</v>
      </c>
    </row>
    <row r="704" spans="1:10">
      <c r="A704" t="s">
        <v>4086</v>
      </c>
      <c r="B704" t="s">
        <v>3060</v>
      </c>
      <c r="C704" t="s">
        <v>2248</v>
      </c>
      <c r="D704" t="s">
        <v>2314</v>
      </c>
      <c r="E704">
        <f t="shared" si="30"/>
        <v>1.3585</v>
      </c>
      <c r="I704">
        <f t="shared" si="31"/>
        <v>1.3585</v>
      </c>
      <c r="J704" t="str">
        <f t="shared" si="32"/>
        <v>Our Cost</v>
      </c>
    </row>
    <row r="705" spans="1:10">
      <c r="A705" t="s">
        <v>4087</v>
      </c>
      <c r="B705" t="s">
        <v>3061</v>
      </c>
      <c r="C705" t="s">
        <v>2248</v>
      </c>
      <c r="D705" t="s">
        <v>2314</v>
      </c>
      <c r="E705">
        <f t="shared" si="30"/>
        <v>1.3585</v>
      </c>
      <c r="I705">
        <f t="shared" si="31"/>
        <v>1.3585</v>
      </c>
      <c r="J705" t="str">
        <f t="shared" si="32"/>
        <v>Our Cost</v>
      </c>
    </row>
    <row r="706" spans="1:10">
      <c r="A706" t="s">
        <v>4088</v>
      </c>
      <c r="B706" t="s">
        <v>3062</v>
      </c>
      <c r="C706" t="s">
        <v>3048</v>
      </c>
      <c r="D706" t="s">
        <v>2336</v>
      </c>
      <c r="E706">
        <f t="shared" si="30"/>
        <v>42.113500000000002</v>
      </c>
      <c r="I706">
        <f t="shared" si="31"/>
        <v>42.113500000000002</v>
      </c>
      <c r="J706" t="str">
        <f t="shared" si="32"/>
        <v>Our Cost</v>
      </c>
    </row>
    <row r="707" spans="1:10">
      <c r="A707" t="s">
        <v>4089</v>
      </c>
      <c r="B707" t="s">
        <v>3063</v>
      </c>
      <c r="C707" t="s">
        <v>3048</v>
      </c>
      <c r="D707" t="s">
        <v>2336</v>
      </c>
      <c r="E707">
        <f t="shared" ref="E707:E770" si="33">+D707*0.65*1.045</f>
        <v>42.113500000000002</v>
      </c>
      <c r="I707">
        <f t="shared" ref="I707:I770" si="34">+MIN(E707:H707)</f>
        <v>42.113500000000002</v>
      </c>
      <c r="J707" t="str">
        <f t="shared" ref="J707:J770" si="35">+_xlfn.SINGLE(_xlfn.XLOOKUP(I707,E707:H707,$E$1:$H$1))</f>
        <v>Our Cost</v>
      </c>
    </row>
    <row r="708" spans="1:10">
      <c r="A708" t="s">
        <v>4090</v>
      </c>
      <c r="B708" t="s">
        <v>3064</v>
      </c>
      <c r="C708" t="s">
        <v>2248</v>
      </c>
      <c r="D708" t="s">
        <v>2442</v>
      </c>
      <c r="E708">
        <f t="shared" si="33"/>
        <v>5.4340000000000002</v>
      </c>
      <c r="I708">
        <f t="shared" si="34"/>
        <v>5.4340000000000002</v>
      </c>
      <c r="J708" t="str">
        <f t="shared" si="35"/>
        <v>Our Cost</v>
      </c>
    </row>
    <row r="709" spans="1:10">
      <c r="A709" t="s">
        <v>4091</v>
      </c>
      <c r="B709" t="s">
        <v>3065</v>
      </c>
      <c r="C709" t="s">
        <v>2248</v>
      </c>
      <c r="D709" t="s">
        <v>2820</v>
      </c>
      <c r="E709">
        <f t="shared" si="33"/>
        <v>48.905999999999999</v>
      </c>
      <c r="I709">
        <f t="shared" si="34"/>
        <v>48.905999999999999</v>
      </c>
      <c r="J709" t="str">
        <f t="shared" si="35"/>
        <v>Our Cost</v>
      </c>
    </row>
    <row r="710" spans="1:10">
      <c r="A710" t="s">
        <v>4092</v>
      </c>
      <c r="B710" t="s">
        <v>3066</v>
      </c>
      <c r="C710" t="s">
        <v>2248</v>
      </c>
      <c r="D710" t="s">
        <v>2588</v>
      </c>
      <c r="E710">
        <f t="shared" si="33"/>
        <v>25.811499999999999</v>
      </c>
      <c r="I710">
        <f t="shared" si="34"/>
        <v>25.811499999999999</v>
      </c>
      <c r="J710" t="str">
        <f t="shared" si="35"/>
        <v>Our Cost</v>
      </c>
    </row>
    <row r="711" spans="1:10">
      <c r="A711" t="s">
        <v>4093</v>
      </c>
      <c r="B711" t="s">
        <v>3067</v>
      </c>
      <c r="C711" t="s">
        <v>2248</v>
      </c>
      <c r="D711" t="s">
        <v>2314</v>
      </c>
      <c r="E711">
        <f t="shared" si="33"/>
        <v>1.3585</v>
      </c>
      <c r="I711">
        <f t="shared" si="34"/>
        <v>1.3585</v>
      </c>
      <c r="J711" t="str">
        <f t="shared" si="35"/>
        <v>Our Cost</v>
      </c>
    </row>
    <row r="712" spans="1:10">
      <c r="A712" t="s">
        <v>4094</v>
      </c>
      <c r="B712" t="s">
        <v>3068</v>
      </c>
      <c r="C712" t="s">
        <v>2248</v>
      </c>
      <c r="D712" t="s">
        <v>2277</v>
      </c>
      <c r="E712">
        <f t="shared" si="33"/>
        <v>11.54725</v>
      </c>
      <c r="I712">
        <f t="shared" si="34"/>
        <v>11.54725</v>
      </c>
      <c r="J712" t="str">
        <f t="shared" si="35"/>
        <v>Our Cost</v>
      </c>
    </row>
    <row r="713" spans="1:10">
      <c r="A713" t="s">
        <v>4095</v>
      </c>
      <c r="B713" t="s">
        <v>3069</v>
      </c>
      <c r="C713" t="s">
        <v>2248</v>
      </c>
      <c r="D713" t="s">
        <v>2383</v>
      </c>
      <c r="E713">
        <f t="shared" si="33"/>
        <v>6.1132499999999999</v>
      </c>
      <c r="I713">
        <f t="shared" si="34"/>
        <v>6.1132499999999999</v>
      </c>
      <c r="J713" t="str">
        <f t="shared" si="35"/>
        <v>Our Cost</v>
      </c>
    </row>
    <row r="714" spans="1:10">
      <c r="A714" t="s">
        <v>4096</v>
      </c>
      <c r="B714" t="s">
        <v>3070</v>
      </c>
      <c r="C714" t="s">
        <v>2248</v>
      </c>
      <c r="D714" t="s">
        <v>2456</v>
      </c>
      <c r="E714">
        <f t="shared" si="33"/>
        <v>8.1509999999999998</v>
      </c>
      <c r="I714">
        <f t="shared" si="34"/>
        <v>8.1509999999999998</v>
      </c>
      <c r="J714" t="str">
        <f t="shared" si="35"/>
        <v>Our Cost</v>
      </c>
    </row>
    <row r="715" spans="1:10">
      <c r="A715" t="s">
        <v>4097</v>
      </c>
      <c r="B715" t="s">
        <v>3071</v>
      </c>
      <c r="C715" t="s">
        <v>2248</v>
      </c>
      <c r="D715" t="s">
        <v>2257</v>
      </c>
      <c r="E715">
        <f t="shared" si="33"/>
        <v>4.7547499999999996</v>
      </c>
      <c r="I715">
        <f t="shared" si="34"/>
        <v>4.7547499999999996</v>
      </c>
      <c r="J715" t="str">
        <f t="shared" si="35"/>
        <v>Our Cost</v>
      </c>
    </row>
    <row r="716" spans="1:10">
      <c r="A716" t="s">
        <v>4098</v>
      </c>
      <c r="B716" t="s">
        <v>3072</v>
      </c>
      <c r="C716" t="s">
        <v>2248</v>
      </c>
      <c r="D716" t="s">
        <v>2454</v>
      </c>
      <c r="E716">
        <f t="shared" si="33"/>
        <v>10.868</v>
      </c>
      <c r="I716">
        <f t="shared" si="34"/>
        <v>10.868</v>
      </c>
      <c r="J716" t="str">
        <f t="shared" si="35"/>
        <v>Our Cost</v>
      </c>
    </row>
    <row r="717" spans="1:10">
      <c r="A717" t="s">
        <v>4099</v>
      </c>
      <c r="B717" t="s">
        <v>3073</v>
      </c>
      <c r="C717" t="s">
        <v>2248</v>
      </c>
      <c r="D717" t="s">
        <v>2322</v>
      </c>
      <c r="E717">
        <f t="shared" si="33"/>
        <v>2.7170000000000001</v>
      </c>
      <c r="I717">
        <f t="shared" si="34"/>
        <v>2.7170000000000001</v>
      </c>
      <c r="J717" t="str">
        <f t="shared" si="35"/>
        <v>Our Cost</v>
      </c>
    </row>
    <row r="718" spans="1:10">
      <c r="A718" t="s">
        <v>4100</v>
      </c>
      <c r="B718" t="s">
        <v>3074</v>
      </c>
      <c r="C718" t="s">
        <v>2248</v>
      </c>
      <c r="D718" t="s">
        <v>2314</v>
      </c>
      <c r="E718">
        <f t="shared" si="33"/>
        <v>1.3585</v>
      </c>
      <c r="I718">
        <f t="shared" si="34"/>
        <v>1.3585</v>
      </c>
      <c r="J718" t="str">
        <f t="shared" si="35"/>
        <v>Our Cost</v>
      </c>
    </row>
    <row r="719" spans="1:10">
      <c r="A719" t="s">
        <v>4101</v>
      </c>
      <c r="B719" t="s">
        <v>3075</v>
      </c>
      <c r="C719" t="s">
        <v>2248</v>
      </c>
      <c r="D719" t="s">
        <v>2303</v>
      </c>
      <c r="E719">
        <f t="shared" si="33"/>
        <v>28.528499999999998</v>
      </c>
      <c r="I719">
        <f t="shared" si="34"/>
        <v>28.528499999999998</v>
      </c>
      <c r="J719" t="str">
        <f t="shared" si="35"/>
        <v>Our Cost</v>
      </c>
    </row>
    <row r="720" spans="1:10">
      <c r="A720" t="s">
        <v>4102</v>
      </c>
      <c r="B720" t="s">
        <v>3076</v>
      </c>
      <c r="C720" t="s">
        <v>2248</v>
      </c>
      <c r="D720" t="s">
        <v>2440</v>
      </c>
      <c r="E720">
        <f t="shared" si="33"/>
        <v>6.7924999999999995</v>
      </c>
      <c r="I720">
        <f t="shared" si="34"/>
        <v>6.7924999999999995</v>
      </c>
      <c r="J720" t="str">
        <f t="shared" si="35"/>
        <v>Our Cost</v>
      </c>
    </row>
    <row r="721" spans="1:11">
      <c r="A721" t="s">
        <v>4103</v>
      </c>
      <c r="B721" t="s">
        <v>3077</v>
      </c>
      <c r="C721" t="s">
        <v>2248</v>
      </c>
      <c r="D721" t="s">
        <v>2383</v>
      </c>
      <c r="E721">
        <f t="shared" si="33"/>
        <v>6.1132499999999999</v>
      </c>
      <c r="I721">
        <f t="shared" si="34"/>
        <v>6.1132499999999999</v>
      </c>
      <c r="J721" t="str">
        <f t="shared" si="35"/>
        <v>Our Cost</v>
      </c>
    </row>
    <row r="722" spans="1:11">
      <c r="A722" t="s">
        <v>2236</v>
      </c>
      <c r="B722" t="s">
        <v>2237</v>
      </c>
      <c r="C722" t="s">
        <v>2248</v>
      </c>
      <c r="D722" t="s">
        <v>2383</v>
      </c>
      <c r="E722">
        <f t="shared" si="33"/>
        <v>6.1132499999999999</v>
      </c>
      <c r="I722">
        <f t="shared" si="34"/>
        <v>6.1132499999999999</v>
      </c>
      <c r="J722" t="str">
        <f t="shared" si="35"/>
        <v>Our Cost</v>
      </c>
    </row>
    <row r="723" spans="1:11">
      <c r="A723" t="s">
        <v>4104</v>
      </c>
      <c r="B723" t="s">
        <v>3078</v>
      </c>
      <c r="C723" t="s">
        <v>2248</v>
      </c>
      <c r="D723" t="s">
        <v>2660</v>
      </c>
      <c r="E723">
        <f t="shared" si="33"/>
        <v>31.92475</v>
      </c>
      <c r="I723">
        <f t="shared" si="34"/>
        <v>31.92475</v>
      </c>
      <c r="J723" t="str">
        <f t="shared" si="35"/>
        <v>Our Cost</v>
      </c>
    </row>
    <row r="724" spans="1:11">
      <c r="A724" t="s">
        <v>4105</v>
      </c>
      <c r="B724" t="s">
        <v>3079</v>
      </c>
      <c r="C724" t="s">
        <v>2248</v>
      </c>
      <c r="D724" t="s">
        <v>2780</v>
      </c>
      <c r="E724">
        <f t="shared" si="33"/>
        <v>19.018999999999998</v>
      </c>
      <c r="I724">
        <f t="shared" si="34"/>
        <v>19.018999999999998</v>
      </c>
      <c r="J724" t="str">
        <f t="shared" si="35"/>
        <v>Our Cost</v>
      </c>
    </row>
    <row r="725" spans="1:11">
      <c r="A725" t="s">
        <v>4106</v>
      </c>
      <c r="B725" t="s">
        <v>3080</v>
      </c>
      <c r="C725" t="s">
        <v>2248</v>
      </c>
      <c r="D725" t="s">
        <v>2461</v>
      </c>
      <c r="E725">
        <f t="shared" si="33"/>
        <v>13.584999999999999</v>
      </c>
      <c r="I725">
        <f t="shared" si="34"/>
        <v>13.584999999999999</v>
      </c>
      <c r="J725" t="str">
        <f t="shared" si="35"/>
        <v>Our Cost</v>
      </c>
    </row>
    <row r="726" spans="1:11">
      <c r="A726" t="s">
        <v>4107</v>
      </c>
      <c r="B726" t="s">
        <v>3081</v>
      </c>
      <c r="C726" t="s">
        <v>2248</v>
      </c>
      <c r="D726" t="s">
        <v>2350</v>
      </c>
      <c r="E726">
        <f t="shared" si="33"/>
        <v>14.9435</v>
      </c>
      <c r="I726">
        <f t="shared" si="34"/>
        <v>14.9435</v>
      </c>
      <c r="J726" t="str">
        <f t="shared" si="35"/>
        <v>Our Cost</v>
      </c>
    </row>
    <row r="727" spans="1:11">
      <c r="A727" t="s">
        <v>4108</v>
      </c>
      <c r="B727" t="s">
        <v>3082</v>
      </c>
      <c r="C727" t="s">
        <v>2248</v>
      </c>
      <c r="D727" t="s">
        <v>2350</v>
      </c>
      <c r="E727">
        <f t="shared" si="33"/>
        <v>14.9435</v>
      </c>
      <c r="I727">
        <f t="shared" si="34"/>
        <v>14.9435</v>
      </c>
      <c r="J727" t="str">
        <f t="shared" si="35"/>
        <v>Our Cost</v>
      </c>
    </row>
    <row r="728" spans="1:11">
      <c r="A728" t="s">
        <v>4109</v>
      </c>
      <c r="B728" t="s">
        <v>3083</v>
      </c>
      <c r="C728" t="s">
        <v>2248</v>
      </c>
      <c r="D728" t="s">
        <v>2537</v>
      </c>
      <c r="E728">
        <f t="shared" si="33"/>
        <v>19.698250000000002</v>
      </c>
      <c r="I728">
        <f t="shared" si="34"/>
        <v>19.698250000000002</v>
      </c>
      <c r="J728" t="str">
        <f t="shared" si="35"/>
        <v>Our Cost</v>
      </c>
    </row>
    <row r="729" spans="1:11">
      <c r="A729" t="s">
        <v>4110</v>
      </c>
      <c r="B729" t="s">
        <v>3084</v>
      </c>
      <c r="C729" t="s">
        <v>2248</v>
      </c>
      <c r="D729" t="s">
        <v>2333</v>
      </c>
      <c r="E729">
        <f t="shared" si="33"/>
        <v>4.0754999999999999</v>
      </c>
      <c r="I729">
        <f t="shared" si="34"/>
        <v>4.0754999999999999</v>
      </c>
      <c r="J729" t="str">
        <f t="shared" si="35"/>
        <v>Our Cost</v>
      </c>
    </row>
    <row r="730" spans="1:11">
      <c r="A730" t="s">
        <v>4111</v>
      </c>
      <c r="B730" t="s">
        <v>3085</v>
      </c>
      <c r="C730" t="s">
        <v>2248</v>
      </c>
      <c r="D730" t="s">
        <v>2350</v>
      </c>
      <c r="E730">
        <f t="shared" si="33"/>
        <v>14.9435</v>
      </c>
      <c r="I730">
        <f t="shared" si="34"/>
        <v>14.9435</v>
      </c>
      <c r="J730" t="str">
        <f t="shared" si="35"/>
        <v>Our Cost</v>
      </c>
    </row>
    <row r="731" spans="1:11">
      <c r="A731" t="s">
        <v>4112</v>
      </c>
      <c r="B731" t="s">
        <v>3086</v>
      </c>
      <c r="C731" t="s">
        <v>2248</v>
      </c>
      <c r="D731" t="s">
        <v>2350</v>
      </c>
      <c r="E731">
        <f t="shared" si="33"/>
        <v>14.9435</v>
      </c>
      <c r="I731">
        <f t="shared" si="34"/>
        <v>14.9435</v>
      </c>
      <c r="J731" t="str">
        <f t="shared" si="35"/>
        <v>Our Cost</v>
      </c>
    </row>
    <row r="732" spans="1:11">
      <c r="A732" t="s">
        <v>4113</v>
      </c>
      <c r="B732" t="s">
        <v>3087</v>
      </c>
      <c r="C732" t="s">
        <v>2248</v>
      </c>
      <c r="D732" t="s">
        <v>2314</v>
      </c>
      <c r="E732">
        <f t="shared" si="33"/>
        <v>1.3585</v>
      </c>
      <c r="I732">
        <f t="shared" si="34"/>
        <v>1.3585</v>
      </c>
      <c r="J732" t="str">
        <f t="shared" si="35"/>
        <v>Our Cost</v>
      </c>
    </row>
    <row r="733" spans="1:11">
      <c r="A733" t="s">
        <v>4114</v>
      </c>
      <c r="B733" t="s">
        <v>3088</v>
      </c>
      <c r="C733" t="s">
        <v>2248</v>
      </c>
      <c r="D733" t="s">
        <v>2660</v>
      </c>
      <c r="E733">
        <f t="shared" si="33"/>
        <v>31.92475</v>
      </c>
      <c r="I733">
        <f t="shared" si="34"/>
        <v>31.92475</v>
      </c>
      <c r="J733" t="str">
        <f t="shared" si="35"/>
        <v>Our Cost</v>
      </c>
    </row>
    <row r="734" spans="1:11">
      <c r="A734" t="s">
        <v>4115</v>
      </c>
      <c r="B734" t="s">
        <v>3089</v>
      </c>
      <c r="C734" t="s">
        <v>2249</v>
      </c>
      <c r="D734" t="s">
        <v>2350</v>
      </c>
      <c r="E734">
        <f t="shared" si="33"/>
        <v>14.9435</v>
      </c>
      <c r="G734">
        <v>1.26</v>
      </c>
      <c r="H734">
        <v>20.239999999999998</v>
      </c>
      <c r="I734">
        <f t="shared" si="34"/>
        <v>1.26</v>
      </c>
      <c r="J734" t="str">
        <f t="shared" si="35"/>
        <v>Addison</v>
      </c>
      <c r="K734" t="s">
        <v>3394</v>
      </c>
    </row>
    <row r="735" spans="1:11">
      <c r="A735" t="s">
        <v>4116</v>
      </c>
      <c r="B735" t="s">
        <v>3090</v>
      </c>
      <c r="C735" t="s">
        <v>3091</v>
      </c>
      <c r="D735" t="s">
        <v>3092</v>
      </c>
      <c r="E735">
        <f t="shared" si="33"/>
        <v>618.79674999999997</v>
      </c>
      <c r="I735">
        <f t="shared" si="34"/>
        <v>618.79674999999997</v>
      </c>
      <c r="J735" t="str">
        <f t="shared" si="35"/>
        <v>Our Cost</v>
      </c>
    </row>
    <row r="736" spans="1:11">
      <c r="A736" t="s">
        <v>4117</v>
      </c>
      <c r="B736" t="s">
        <v>3093</v>
      </c>
      <c r="C736" t="s">
        <v>2248</v>
      </c>
      <c r="D736" t="s">
        <v>2305</v>
      </c>
      <c r="E736">
        <f t="shared" si="33"/>
        <v>41.434249999999999</v>
      </c>
      <c r="G736">
        <v>46.75</v>
      </c>
      <c r="H736">
        <v>56.12</v>
      </c>
      <c r="I736">
        <f t="shared" si="34"/>
        <v>41.434249999999999</v>
      </c>
      <c r="J736" t="str">
        <f t="shared" si="35"/>
        <v>Our Cost</v>
      </c>
    </row>
    <row r="737" spans="1:11">
      <c r="A737" t="s">
        <v>4118</v>
      </c>
      <c r="B737" t="s">
        <v>3094</v>
      </c>
      <c r="C737" t="s">
        <v>2249</v>
      </c>
      <c r="D737" t="s">
        <v>2258</v>
      </c>
      <c r="E737">
        <f t="shared" si="33"/>
        <v>2.03775</v>
      </c>
      <c r="G737">
        <v>2.61</v>
      </c>
      <c r="H737">
        <v>3.84</v>
      </c>
      <c r="I737">
        <f t="shared" si="34"/>
        <v>2.03775</v>
      </c>
      <c r="J737" t="str">
        <f t="shared" si="35"/>
        <v>Our Cost</v>
      </c>
      <c r="K737" t="s">
        <v>3394</v>
      </c>
    </row>
    <row r="738" spans="1:11">
      <c r="A738" t="s">
        <v>4119</v>
      </c>
      <c r="B738" t="s">
        <v>3095</v>
      </c>
      <c r="C738" t="s">
        <v>2248</v>
      </c>
      <c r="D738" t="s">
        <v>2535</v>
      </c>
      <c r="E738">
        <f t="shared" si="33"/>
        <v>82.868499999999997</v>
      </c>
      <c r="I738">
        <f t="shared" si="34"/>
        <v>82.868499999999997</v>
      </c>
      <c r="J738" t="str">
        <f t="shared" si="35"/>
        <v>Our Cost</v>
      </c>
    </row>
    <row r="739" spans="1:11">
      <c r="A739" t="s">
        <v>4120</v>
      </c>
      <c r="B739" t="s">
        <v>3096</v>
      </c>
      <c r="C739" t="s">
        <v>2248</v>
      </c>
      <c r="D739" t="s">
        <v>2535</v>
      </c>
      <c r="E739">
        <f t="shared" si="33"/>
        <v>82.868499999999997</v>
      </c>
      <c r="I739">
        <f t="shared" si="34"/>
        <v>82.868499999999997</v>
      </c>
      <c r="J739" t="str">
        <f t="shared" si="35"/>
        <v>Our Cost</v>
      </c>
    </row>
    <row r="740" spans="1:11">
      <c r="A740" t="s">
        <v>4121</v>
      </c>
      <c r="B740" t="s">
        <v>3097</v>
      </c>
      <c r="C740" t="s">
        <v>2248</v>
      </c>
      <c r="D740" t="s">
        <v>2301</v>
      </c>
      <c r="E740">
        <f t="shared" si="33"/>
        <v>34.641749999999995</v>
      </c>
      <c r="I740">
        <f t="shared" si="34"/>
        <v>34.641749999999995</v>
      </c>
      <c r="J740" t="str">
        <f t="shared" si="35"/>
        <v>Our Cost</v>
      </c>
    </row>
    <row r="741" spans="1:11">
      <c r="A741" t="s">
        <v>4122</v>
      </c>
      <c r="B741" t="s">
        <v>3098</v>
      </c>
      <c r="C741" t="s">
        <v>2248</v>
      </c>
      <c r="D741" t="s">
        <v>3099</v>
      </c>
      <c r="E741">
        <f t="shared" si="33"/>
        <v>36.000250000000001</v>
      </c>
      <c r="I741">
        <f t="shared" si="34"/>
        <v>36.000250000000001</v>
      </c>
      <c r="J741" t="str">
        <f t="shared" si="35"/>
        <v>Our Cost</v>
      </c>
    </row>
    <row r="742" spans="1:11">
      <c r="A742" t="s">
        <v>4123</v>
      </c>
      <c r="B742" t="s">
        <v>3100</v>
      </c>
      <c r="C742" t="s">
        <v>2248</v>
      </c>
      <c r="D742" t="s">
        <v>2876</v>
      </c>
      <c r="E742">
        <f t="shared" si="33"/>
        <v>30.566249999999997</v>
      </c>
      <c r="I742">
        <f t="shared" si="34"/>
        <v>30.566249999999997</v>
      </c>
      <c r="J742" t="str">
        <f t="shared" si="35"/>
        <v>Our Cost</v>
      </c>
    </row>
    <row r="743" spans="1:11">
      <c r="A743" t="s">
        <v>4124</v>
      </c>
      <c r="B743" t="s">
        <v>3101</v>
      </c>
      <c r="C743" t="s">
        <v>2248</v>
      </c>
      <c r="D743" t="s">
        <v>2876</v>
      </c>
      <c r="E743">
        <f t="shared" si="33"/>
        <v>30.566249999999997</v>
      </c>
      <c r="I743">
        <f t="shared" si="34"/>
        <v>30.566249999999997</v>
      </c>
      <c r="J743" t="str">
        <f t="shared" si="35"/>
        <v>Our Cost</v>
      </c>
    </row>
    <row r="744" spans="1:11">
      <c r="A744" t="s">
        <v>4125</v>
      </c>
      <c r="B744" t="s">
        <v>3102</v>
      </c>
      <c r="C744" t="s">
        <v>2248</v>
      </c>
      <c r="D744" t="s">
        <v>2262</v>
      </c>
      <c r="E744">
        <f t="shared" si="33"/>
        <v>113.43474999999999</v>
      </c>
      <c r="H744">
        <v>153.63999999999999</v>
      </c>
      <c r="I744">
        <f t="shared" si="34"/>
        <v>113.43474999999999</v>
      </c>
      <c r="J744" t="str">
        <f t="shared" si="35"/>
        <v>Our Cost</v>
      </c>
    </row>
    <row r="745" spans="1:11">
      <c r="A745" t="s">
        <v>4126</v>
      </c>
      <c r="B745" t="s">
        <v>3103</v>
      </c>
      <c r="C745" t="s">
        <v>2248</v>
      </c>
      <c r="D745" t="s">
        <v>2469</v>
      </c>
      <c r="E745">
        <f t="shared" si="33"/>
        <v>17.660500000000003</v>
      </c>
      <c r="H745">
        <v>23.92</v>
      </c>
      <c r="I745">
        <f t="shared" si="34"/>
        <v>17.660500000000003</v>
      </c>
      <c r="J745" t="str">
        <f t="shared" si="35"/>
        <v>Our Cost</v>
      </c>
    </row>
    <row r="746" spans="1:11">
      <c r="A746" t="s">
        <v>4127</v>
      </c>
      <c r="B746" t="s">
        <v>3104</v>
      </c>
      <c r="C746" t="s">
        <v>2248</v>
      </c>
      <c r="D746" t="s">
        <v>2262</v>
      </c>
      <c r="E746">
        <f t="shared" si="33"/>
        <v>113.43474999999999</v>
      </c>
      <c r="H746">
        <v>153.63999999999999</v>
      </c>
      <c r="I746">
        <f t="shared" si="34"/>
        <v>113.43474999999999</v>
      </c>
      <c r="J746" t="str">
        <f t="shared" si="35"/>
        <v>Our Cost</v>
      </c>
    </row>
    <row r="747" spans="1:11">
      <c r="A747" t="s">
        <v>4128</v>
      </c>
      <c r="B747" t="s">
        <v>3105</v>
      </c>
      <c r="C747" t="s">
        <v>2248</v>
      </c>
      <c r="D747" t="s">
        <v>2687</v>
      </c>
      <c r="E747">
        <f t="shared" si="33"/>
        <v>21.056750000000001</v>
      </c>
      <c r="H747">
        <v>28.52</v>
      </c>
      <c r="I747">
        <f t="shared" si="34"/>
        <v>21.056750000000001</v>
      </c>
      <c r="J747" t="str">
        <f t="shared" si="35"/>
        <v>Our Cost</v>
      </c>
    </row>
    <row r="748" spans="1:11">
      <c r="A748" t="s">
        <v>4129</v>
      </c>
      <c r="B748" t="s">
        <v>3106</v>
      </c>
      <c r="C748" t="s">
        <v>2248</v>
      </c>
      <c r="D748" t="s">
        <v>3107</v>
      </c>
      <c r="E748">
        <f t="shared" si="33"/>
        <v>1749.748</v>
      </c>
      <c r="I748">
        <f t="shared" si="34"/>
        <v>1749.748</v>
      </c>
      <c r="J748" t="str">
        <f t="shared" si="35"/>
        <v>Our Cost</v>
      </c>
    </row>
    <row r="749" spans="1:11">
      <c r="A749" t="s">
        <v>4130</v>
      </c>
      <c r="B749" t="s">
        <v>3108</v>
      </c>
      <c r="C749" t="s">
        <v>2248</v>
      </c>
      <c r="D749" t="s">
        <v>3109</v>
      </c>
      <c r="E749">
        <f t="shared" si="33"/>
        <v>1908.6924999999999</v>
      </c>
      <c r="H749">
        <v>2585.1999999999998</v>
      </c>
      <c r="I749">
        <f t="shared" si="34"/>
        <v>1908.6924999999999</v>
      </c>
      <c r="J749" t="str">
        <f t="shared" si="35"/>
        <v>Our Cost</v>
      </c>
    </row>
    <row r="750" spans="1:11">
      <c r="A750" t="s">
        <v>4131</v>
      </c>
      <c r="B750" t="s">
        <v>3110</v>
      </c>
      <c r="C750" t="s">
        <v>2248</v>
      </c>
      <c r="D750" t="s">
        <v>3111</v>
      </c>
      <c r="E750">
        <f t="shared" si="33"/>
        <v>535.24900000000002</v>
      </c>
      <c r="I750">
        <f t="shared" si="34"/>
        <v>535.24900000000002</v>
      </c>
      <c r="J750" t="str">
        <f t="shared" si="35"/>
        <v>Our Cost</v>
      </c>
    </row>
    <row r="751" spans="1:11">
      <c r="A751" t="s">
        <v>4132</v>
      </c>
      <c r="B751" t="s">
        <v>3112</v>
      </c>
      <c r="C751" t="s">
        <v>2248</v>
      </c>
      <c r="D751" t="s">
        <v>3113</v>
      </c>
      <c r="E751">
        <f t="shared" si="33"/>
        <v>1049.4412499999999</v>
      </c>
      <c r="I751">
        <f t="shared" si="34"/>
        <v>1049.4412499999999</v>
      </c>
      <c r="J751" t="str">
        <f t="shared" si="35"/>
        <v>Our Cost</v>
      </c>
    </row>
    <row r="752" spans="1:11">
      <c r="A752" t="s">
        <v>4133</v>
      </c>
      <c r="B752" t="s">
        <v>3114</v>
      </c>
      <c r="C752" t="s">
        <v>2248</v>
      </c>
      <c r="D752" t="s">
        <v>3115</v>
      </c>
      <c r="E752">
        <f t="shared" si="33"/>
        <v>64.528750000000002</v>
      </c>
      <c r="I752">
        <f t="shared" si="34"/>
        <v>64.528750000000002</v>
      </c>
      <c r="J752" t="str">
        <f t="shared" si="35"/>
        <v>Our Cost</v>
      </c>
    </row>
    <row r="753" spans="1:11">
      <c r="A753" t="s">
        <v>4134</v>
      </c>
      <c r="B753" t="s">
        <v>3116</v>
      </c>
      <c r="C753" t="s">
        <v>2248</v>
      </c>
      <c r="D753" t="s">
        <v>3117</v>
      </c>
      <c r="E753">
        <f t="shared" si="33"/>
        <v>683.32549999999992</v>
      </c>
      <c r="I753">
        <f t="shared" si="34"/>
        <v>683.32549999999992</v>
      </c>
      <c r="J753" t="str">
        <f t="shared" si="35"/>
        <v>Our Cost</v>
      </c>
    </row>
    <row r="754" spans="1:11">
      <c r="A754" t="s">
        <v>4135</v>
      </c>
      <c r="B754" t="s">
        <v>3118</v>
      </c>
      <c r="C754" t="s">
        <v>2248</v>
      </c>
      <c r="D754" t="s">
        <v>3119</v>
      </c>
      <c r="E754">
        <f t="shared" si="33"/>
        <v>1835.3334999999997</v>
      </c>
      <c r="H754">
        <v>2485.84</v>
      </c>
      <c r="I754">
        <f t="shared" si="34"/>
        <v>1835.3334999999997</v>
      </c>
      <c r="J754" t="str">
        <f t="shared" si="35"/>
        <v>Our Cost</v>
      </c>
      <c r="K754" t="s">
        <v>3395</v>
      </c>
    </row>
    <row r="755" spans="1:11">
      <c r="A755" t="s">
        <v>4136</v>
      </c>
      <c r="B755" t="s">
        <v>3120</v>
      </c>
      <c r="C755" t="s">
        <v>2249</v>
      </c>
      <c r="D755" t="s">
        <v>3121</v>
      </c>
      <c r="E755">
        <f t="shared" si="33"/>
        <v>1437.2929999999999</v>
      </c>
      <c r="H755">
        <v>10.86</v>
      </c>
      <c r="I755">
        <f t="shared" si="34"/>
        <v>10.86</v>
      </c>
      <c r="J755" t="str">
        <f t="shared" si="35"/>
        <v>DC</v>
      </c>
    </row>
    <row r="756" spans="1:11">
      <c r="A756" t="s">
        <v>4137</v>
      </c>
      <c r="B756" t="s">
        <v>3122</v>
      </c>
      <c r="C756" t="s">
        <v>2248</v>
      </c>
      <c r="D756" t="s">
        <v>2280</v>
      </c>
      <c r="E756">
        <f t="shared" si="33"/>
        <v>114.79325</v>
      </c>
      <c r="I756">
        <f t="shared" si="34"/>
        <v>114.79325</v>
      </c>
      <c r="J756" t="str">
        <f t="shared" si="35"/>
        <v>Our Cost</v>
      </c>
    </row>
    <row r="757" spans="1:11">
      <c r="A757" t="s">
        <v>4138</v>
      </c>
      <c r="B757" t="s">
        <v>3123</v>
      </c>
      <c r="C757" t="s">
        <v>2248</v>
      </c>
      <c r="D757" t="s">
        <v>3124</v>
      </c>
      <c r="E757">
        <f t="shared" si="33"/>
        <v>348.45524999999998</v>
      </c>
      <c r="I757">
        <f t="shared" si="34"/>
        <v>348.45524999999998</v>
      </c>
      <c r="J757" t="str">
        <f t="shared" si="35"/>
        <v>Our Cost</v>
      </c>
    </row>
    <row r="758" spans="1:11">
      <c r="A758" t="s">
        <v>4139</v>
      </c>
      <c r="B758" t="s">
        <v>3125</v>
      </c>
      <c r="C758" t="s">
        <v>2248</v>
      </c>
      <c r="D758" t="s">
        <v>2588</v>
      </c>
      <c r="E758">
        <f t="shared" si="33"/>
        <v>25.811499999999999</v>
      </c>
      <c r="H758">
        <v>34.96</v>
      </c>
      <c r="I758">
        <f t="shared" si="34"/>
        <v>25.811499999999999</v>
      </c>
      <c r="J758" t="str">
        <f t="shared" si="35"/>
        <v>Our Cost</v>
      </c>
    </row>
    <row r="759" spans="1:11">
      <c r="A759" t="s">
        <v>4140</v>
      </c>
      <c r="B759" t="s">
        <v>3126</v>
      </c>
      <c r="C759" t="s">
        <v>2248</v>
      </c>
      <c r="D759" t="s">
        <v>2440</v>
      </c>
      <c r="E759">
        <f t="shared" si="33"/>
        <v>6.7924999999999995</v>
      </c>
      <c r="G759">
        <v>8.5</v>
      </c>
      <c r="H759">
        <v>5.75</v>
      </c>
      <c r="I759">
        <f t="shared" si="34"/>
        <v>5.75</v>
      </c>
      <c r="J759" t="str">
        <f t="shared" si="35"/>
        <v>DC</v>
      </c>
    </row>
    <row r="760" spans="1:11">
      <c r="A760" t="s">
        <v>4141</v>
      </c>
      <c r="B760" t="s">
        <v>3127</v>
      </c>
      <c r="C760" t="s">
        <v>2248</v>
      </c>
      <c r="D760" t="s">
        <v>3128</v>
      </c>
      <c r="E760">
        <f t="shared" si="33"/>
        <v>168.45400000000001</v>
      </c>
      <c r="I760">
        <f t="shared" si="34"/>
        <v>168.45400000000001</v>
      </c>
      <c r="J760" t="str">
        <f t="shared" si="35"/>
        <v>Our Cost</v>
      </c>
    </row>
    <row r="761" spans="1:11">
      <c r="A761" t="s">
        <v>4142</v>
      </c>
      <c r="B761" t="s">
        <v>3129</v>
      </c>
      <c r="C761" t="s">
        <v>2248</v>
      </c>
      <c r="D761" t="s">
        <v>3130</v>
      </c>
      <c r="E761">
        <f t="shared" si="33"/>
        <v>382.41774999999996</v>
      </c>
      <c r="G761">
        <v>470.9</v>
      </c>
      <c r="I761">
        <f t="shared" si="34"/>
        <v>382.41774999999996</v>
      </c>
      <c r="J761" t="str">
        <f t="shared" si="35"/>
        <v>Our Cost</v>
      </c>
    </row>
    <row r="762" spans="1:11">
      <c r="A762" t="s">
        <v>4143</v>
      </c>
      <c r="B762" t="s">
        <v>3131</v>
      </c>
      <c r="C762" t="s">
        <v>3091</v>
      </c>
      <c r="D762" t="s">
        <v>3132</v>
      </c>
      <c r="E762">
        <f t="shared" si="33"/>
        <v>219.39775</v>
      </c>
      <c r="I762">
        <f t="shared" si="34"/>
        <v>219.39775</v>
      </c>
      <c r="J762" t="str">
        <f t="shared" si="35"/>
        <v>Our Cost</v>
      </c>
    </row>
    <row r="763" spans="1:11">
      <c r="A763" t="s">
        <v>4144</v>
      </c>
      <c r="B763" t="s">
        <v>3133</v>
      </c>
      <c r="C763" t="s">
        <v>2248</v>
      </c>
      <c r="D763" t="s">
        <v>2257</v>
      </c>
      <c r="E763">
        <f t="shared" si="33"/>
        <v>4.7547499999999996</v>
      </c>
      <c r="H763">
        <v>6.44</v>
      </c>
      <c r="I763">
        <f t="shared" si="34"/>
        <v>4.7547499999999996</v>
      </c>
      <c r="J763" t="str">
        <f t="shared" si="35"/>
        <v>Our Cost</v>
      </c>
      <c r="K763" t="s">
        <v>3395</v>
      </c>
    </row>
    <row r="764" spans="1:11">
      <c r="A764" t="s">
        <v>4145</v>
      </c>
      <c r="B764" t="s">
        <v>3134</v>
      </c>
      <c r="C764" t="s">
        <v>2248</v>
      </c>
      <c r="D764" t="s">
        <v>2917</v>
      </c>
      <c r="E764">
        <f t="shared" si="33"/>
        <v>127.01974999999999</v>
      </c>
      <c r="I764">
        <f t="shared" si="34"/>
        <v>127.01974999999999</v>
      </c>
      <c r="J764" t="str">
        <f t="shared" si="35"/>
        <v>Our Cost</v>
      </c>
    </row>
    <row r="765" spans="1:11">
      <c r="A765" t="s">
        <v>4146</v>
      </c>
      <c r="B765" t="s">
        <v>3135</v>
      </c>
      <c r="C765" t="s">
        <v>2249</v>
      </c>
      <c r="D765" t="s">
        <v>2314</v>
      </c>
      <c r="E765">
        <f t="shared" si="33"/>
        <v>1.3585</v>
      </c>
      <c r="I765">
        <f t="shared" si="34"/>
        <v>1.3585</v>
      </c>
      <c r="J765" t="str">
        <f t="shared" si="35"/>
        <v>Our Cost</v>
      </c>
    </row>
    <row r="766" spans="1:11">
      <c r="A766" t="s">
        <v>4147</v>
      </c>
      <c r="B766" t="s">
        <v>3136</v>
      </c>
      <c r="C766" t="s">
        <v>2248</v>
      </c>
      <c r="D766" t="s">
        <v>3137</v>
      </c>
      <c r="E766">
        <f t="shared" si="33"/>
        <v>228.22799999999998</v>
      </c>
      <c r="I766">
        <f t="shared" si="34"/>
        <v>228.22799999999998</v>
      </c>
      <c r="J766" t="str">
        <f t="shared" si="35"/>
        <v>Our Cost</v>
      </c>
    </row>
    <row r="767" spans="1:11">
      <c r="A767" t="s">
        <v>4148</v>
      </c>
      <c r="B767" t="s">
        <v>3138</v>
      </c>
      <c r="C767" t="s">
        <v>2248</v>
      </c>
      <c r="D767" t="s">
        <v>2398</v>
      </c>
      <c r="E767">
        <f t="shared" si="33"/>
        <v>86.944000000000003</v>
      </c>
      <c r="I767">
        <f t="shared" si="34"/>
        <v>86.944000000000003</v>
      </c>
      <c r="J767" t="str">
        <f t="shared" si="35"/>
        <v>Our Cost</v>
      </c>
    </row>
    <row r="768" spans="1:11">
      <c r="A768" t="s">
        <v>4149</v>
      </c>
      <c r="B768" t="s">
        <v>3139</v>
      </c>
      <c r="C768" t="s">
        <v>2248</v>
      </c>
      <c r="D768" t="s">
        <v>3140</v>
      </c>
      <c r="E768">
        <f t="shared" si="33"/>
        <v>484.98449999999997</v>
      </c>
      <c r="I768">
        <f t="shared" si="34"/>
        <v>484.98449999999997</v>
      </c>
      <c r="J768" t="str">
        <f t="shared" si="35"/>
        <v>Our Cost</v>
      </c>
    </row>
    <row r="769" spans="1:10">
      <c r="A769" t="s">
        <v>4150</v>
      </c>
      <c r="B769" t="s">
        <v>3141</v>
      </c>
      <c r="C769" t="s">
        <v>2248</v>
      </c>
      <c r="D769" t="s">
        <v>2274</v>
      </c>
      <c r="E769">
        <f t="shared" si="33"/>
        <v>400.75749999999999</v>
      </c>
      <c r="I769">
        <f t="shared" si="34"/>
        <v>400.75749999999999</v>
      </c>
      <c r="J769" t="str">
        <f t="shared" si="35"/>
        <v>Our Cost</v>
      </c>
    </row>
    <row r="770" spans="1:10">
      <c r="A770" t="s">
        <v>2238</v>
      </c>
      <c r="B770" t="s">
        <v>2239</v>
      </c>
      <c r="C770" t="s">
        <v>2248</v>
      </c>
      <c r="D770" t="s">
        <v>3142</v>
      </c>
      <c r="E770">
        <f t="shared" si="33"/>
        <v>65.887249999999995</v>
      </c>
      <c r="I770">
        <f t="shared" si="34"/>
        <v>65.887249999999995</v>
      </c>
      <c r="J770" t="str">
        <f t="shared" si="35"/>
        <v>Our Cost</v>
      </c>
    </row>
    <row r="771" spans="1:10">
      <c r="A771" t="s">
        <v>4151</v>
      </c>
      <c r="B771" t="s">
        <v>3143</v>
      </c>
      <c r="C771" t="s">
        <v>2248</v>
      </c>
      <c r="D771" t="s">
        <v>3144</v>
      </c>
      <c r="E771">
        <f t="shared" ref="E771:E834" si="36">+D771*0.65*1.045</f>
        <v>669.74049999999988</v>
      </c>
      <c r="I771">
        <f t="shared" ref="I771:I834" si="37">+MIN(E771:H771)</f>
        <v>669.74049999999988</v>
      </c>
      <c r="J771" t="str">
        <f t="shared" ref="J771:J834" si="38">+_xlfn.SINGLE(_xlfn.XLOOKUP(I771,E771:H771,$E$1:$H$1))</f>
        <v>Our Cost</v>
      </c>
    </row>
    <row r="772" spans="1:10">
      <c r="A772" t="s">
        <v>4152</v>
      </c>
      <c r="B772" t="s">
        <v>3145</v>
      </c>
      <c r="C772" t="s">
        <v>2248</v>
      </c>
      <c r="D772" t="s">
        <v>3146</v>
      </c>
      <c r="E772">
        <f t="shared" si="36"/>
        <v>598.41924999999992</v>
      </c>
      <c r="I772">
        <f t="shared" si="37"/>
        <v>598.41924999999992</v>
      </c>
      <c r="J772" t="str">
        <f t="shared" si="38"/>
        <v>Our Cost</v>
      </c>
    </row>
    <row r="773" spans="1:10">
      <c r="A773" t="s">
        <v>4153</v>
      </c>
      <c r="B773" t="s">
        <v>3147</v>
      </c>
      <c r="C773" t="s">
        <v>2248</v>
      </c>
      <c r="D773" t="s">
        <v>3148</v>
      </c>
      <c r="E773">
        <f t="shared" si="36"/>
        <v>343.02124999999995</v>
      </c>
      <c r="I773">
        <f t="shared" si="37"/>
        <v>343.02124999999995</v>
      </c>
      <c r="J773" t="str">
        <f t="shared" si="38"/>
        <v>Our Cost</v>
      </c>
    </row>
    <row r="774" spans="1:10">
      <c r="A774" t="s">
        <v>4154</v>
      </c>
      <c r="B774" t="s">
        <v>3149</v>
      </c>
      <c r="C774" t="s">
        <v>2248</v>
      </c>
      <c r="D774" t="s">
        <v>3150</v>
      </c>
      <c r="E774">
        <f t="shared" si="36"/>
        <v>1855.7109999999998</v>
      </c>
      <c r="I774">
        <f t="shared" si="37"/>
        <v>1855.7109999999998</v>
      </c>
      <c r="J774" t="str">
        <f t="shared" si="38"/>
        <v>Our Cost</v>
      </c>
    </row>
    <row r="775" spans="1:10">
      <c r="A775" t="s">
        <v>4155</v>
      </c>
      <c r="B775" t="s">
        <v>3151</v>
      </c>
      <c r="C775" t="s">
        <v>2248</v>
      </c>
      <c r="D775" t="s">
        <v>3152</v>
      </c>
      <c r="E775">
        <f t="shared" si="36"/>
        <v>734.94849999999997</v>
      </c>
      <c r="H775">
        <v>622.15</v>
      </c>
      <c r="I775">
        <f t="shared" si="37"/>
        <v>622.15</v>
      </c>
      <c r="J775" t="str">
        <f t="shared" si="38"/>
        <v>DC</v>
      </c>
    </row>
    <row r="776" spans="1:10">
      <c r="A776" t="s">
        <v>4156</v>
      </c>
      <c r="B776" t="s">
        <v>3153</v>
      </c>
      <c r="C776" t="s">
        <v>2248</v>
      </c>
      <c r="D776" t="s">
        <v>3154</v>
      </c>
      <c r="E776">
        <f t="shared" si="36"/>
        <v>411.62549999999999</v>
      </c>
      <c r="I776">
        <f t="shared" si="37"/>
        <v>411.62549999999999</v>
      </c>
      <c r="J776" t="str">
        <f t="shared" si="38"/>
        <v>Our Cost</v>
      </c>
    </row>
    <row r="777" spans="1:10">
      <c r="A777" t="s">
        <v>4157</v>
      </c>
      <c r="B777" t="s">
        <v>3155</v>
      </c>
      <c r="C777" t="s">
        <v>2248</v>
      </c>
      <c r="D777" t="s">
        <v>2842</v>
      </c>
      <c r="E777">
        <f t="shared" si="36"/>
        <v>150.11425</v>
      </c>
      <c r="H777">
        <v>203.32</v>
      </c>
      <c r="I777">
        <f t="shared" si="37"/>
        <v>150.11425</v>
      </c>
      <c r="J777" t="str">
        <f t="shared" si="38"/>
        <v>Our Cost</v>
      </c>
    </row>
    <row r="778" spans="1:10">
      <c r="A778" t="s">
        <v>4158</v>
      </c>
      <c r="B778" t="s">
        <v>3156</v>
      </c>
      <c r="C778" t="s">
        <v>2248</v>
      </c>
      <c r="D778" t="s">
        <v>3157</v>
      </c>
      <c r="E778">
        <f t="shared" si="36"/>
        <v>397.36124999999998</v>
      </c>
      <c r="I778">
        <f t="shared" si="37"/>
        <v>397.36124999999998</v>
      </c>
      <c r="J778" t="str">
        <f t="shared" si="38"/>
        <v>Our Cost</v>
      </c>
    </row>
    <row r="779" spans="1:10">
      <c r="A779" t="s">
        <v>4159</v>
      </c>
      <c r="B779" t="s">
        <v>3158</v>
      </c>
      <c r="C779" t="s">
        <v>2248</v>
      </c>
      <c r="D779" t="s">
        <v>2858</v>
      </c>
      <c r="E779">
        <f t="shared" si="36"/>
        <v>154.18975</v>
      </c>
      <c r="I779">
        <f t="shared" si="37"/>
        <v>154.18975</v>
      </c>
      <c r="J779" t="str">
        <f t="shared" si="38"/>
        <v>Our Cost</v>
      </c>
    </row>
    <row r="780" spans="1:10">
      <c r="A780" t="s">
        <v>4160</v>
      </c>
      <c r="B780" t="s">
        <v>3159</v>
      </c>
      <c r="C780" t="s">
        <v>2248</v>
      </c>
      <c r="D780" t="s">
        <v>2800</v>
      </c>
      <c r="E780">
        <f t="shared" si="36"/>
        <v>124.30274999999999</v>
      </c>
      <c r="I780">
        <f t="shared" si="37"/>
        <v>124.30274999999999</v>
      </c>
      <c r="J780" t="str">
        <f t="shared" si="38"/>
        <v>Our Cost</v>
      </c>
    </row>
    <row r="781" spans="1:10">
      <c r="A781" t="s">
        <v>4161</v>
      </c>
      <c r="B781" t="s">
        <v>3160</v>
      </c>
      <c r="C781" t="s">
        <v>2248</v>
      </c>
      <c r="D781" t="s">
        <v>3148</v>
      </c>
      <c r="E781">
        <f t="shared" si="36"/>
        <v>343.02124999999995</v>
      </c>
      <c r="I781">
        <f t="shared" si="37"/>
        <v>343.02124999999995</v>
      </c>
      <c r="J781" t="str">
        <f t="shared" si="38"/>
        <v>Our Cost</v>
      </c>
    </row>
    <row r="782" spans="1:10">
      <c r="A782" t="s">
        <v>4162</v>
      </c>
      <c r="B782" t="s">
        <v>3161</v>
      </c>
      <c r="C782" t="s">
        <v>2248</v>
      </c>
      <c r="D782" t="s">
        <v>3162</v>
      </c>
      <c r="E782">
        <f t="shared" si="36"/>
        <v>672.45749999999998</v>
      </c>
      <c r="I782">
        <f t="shared" si="37"/>
        <v>672.45749999999998</v>
      </c>
      <c r="J782" t="str">
        <f t="shared" si="38"/>
        <v>Our Cost</v>
      </c>
    </row>
    <row r="783" spans="1:10">
      <c r="A783" t="s">
        <v>4163</v>
      </c>
      <c r="B783" t="s">
        <v>3163</v>
      </c>
      <c r="C783" t="s">
        <v>2248</v>
      </c>
      <c r="D783" t="s">
        <v>3164</v>
      </c>
      <c r="E783">
        <f t="shared" si="36"/>
        <v>510.79599999999999</v>
      </c>
      <c r="H783">
        <v>691.84</v>
      </c>
      <c r="I783">
        <f t="shared" si="37"/>
        <v>510.79599999999999</v>
      </c>
      <c r="J783" t="str">
        <f t="shared" si="38"/>
        <v>Our Cost</v>
      </c>
    </row>
    <row r="784" spans="1:10">
      <c r="A784" t="s">
        <v>4164</v>
      </c>
      <c r="B784" t="s">
        <v>3165</v>
      </c>
      <c r="C784" t="s">
        <v>2248</v>
      </c>
      <c r="D784" t="s">
        <v>3166</v>
      </c>
      <c r="E784">
        <f t="shared" si="36"/>
        <v>2058.8067499999997</v>
      </c>
      <c r="H784">
        <v>2788.52</v>
      </c>
      <c r="I784">
        <f t="shared" si="37"/>
        <v>2058.8067499999997</v>
      </c>
      <c r="J784" t="str">
        <f t="shared" si="38"/>
        <v>Our Cost</v>
      </c>
    </row>
    <row r="785" spans="1:11">
      <c r="A785" t="s">
        <v>4165</v>
      </c>
      <c r="B785" t="s">
        <v>3167</v>
      </c>
      <c r="C785" t="s">
        <v>2248</v>
      </c>
      <c r="D785" t="s">
        <v>3168</v>
      </c>
      <c r="E785">
        <f t="shared" si="36"/>
        <v>3294.3624999999997</v>
      </c>
      <c r="I785">
        <f t="shared" si="37"/>
        <v>3294.3624999999997</v>
      </c>
      <c r="J785" t="str">
        <f t="shared" si="38"/>
        <v>Our Cost</v>
      </c>
    </row>
    <row r="786" spans="1:11">
      <c r="A786" t="s">
        <v>4166</v>
      </c>
      <c r="B786" t="s">
        <v>3169</v>
      </c>
      <c r="C786" t="s">
        <v>2248</v>
      </c>
      <c r="D786" t="s">
        <v>3170</v>
      </c>
      <c r="E786">
        <f t="shared" si="36"/>
        <v>603.85325</v>
      </c>
      <c r="I786">
        <f t="shared" si="37"/>
        <v>603.85325</v>
      </c>
      <c r="J786" t="str">
        <f t="shared" si="38"/>
        <v>Our Cost</v>
      </c>
    </row>
    <row r="787" spans="1:11">
      <c r="A787" t="s">
        <v>4167</v>
      </c>
      <c r="B787" t="s">
        <v>3171</v>
      </c>
      <c r="C787" t="s">
        <v>2248</v>
      </c>
      <c r="D787" t="s">
        <v>3172</v>
      </c>
      <c r="E787">
        <f t="shared" si="36"/>
        <v>527.09799999999996</v>
      </c>
      <c r="I787">
        <f t="shared" si="37"/>
        <v>527.09799999999996</v>
      </c>
      <c r="J787" t="str">
        <f t="shared" si="38"/>
        <v>Our Cost</v>
      </c>
    </row>
    <row r="788" spans="1:11">
      <c r="A788" t="s">
        <v>4168</v>
      </c>
      <c r="B788" t="s">
        <v>3173</v>
      </c>
      <c r="C788" t="s">
        <v>2248</v>
      </c>
      <c r="D788" t="s">
        <v>3174</v>
      </c>
      <c r="E788">
        <f t="shared" si="36"/>
        <v>127.699</v>
      </c>
      <c r="H788">
        <v>172.96</v>
      </c>
      <c r="I788">
        <f t="shared" si="37"/>
        <v>127.699</v>
      </c>
      <c r="J788" t="str">
        <f t="shared" si="38"/>
        <v>Our Cost</v>
      </c>
    </row>
    <row r="789" spans="1:11">
      <c r="A789" t="s">
        <v>4169</v>
      </c>
      <c r="B789" t="s">
        <v>3175</v>
      </c>
      <c r="C789" t="s">
        <v>2248</v>
      </c>
      <c r="D789" t="s">
        <v>2316</v>
      </c>
      <c r="E789">
        <f t="shared" si="36"/>
        <v>73.358999999999995</v>
      </c>
      <c r="H789">
        <v>99.36</v>
      </c>
      <c r="I789">
        <f t="shared" si="37"/>
        <v>73.358999999999995</v>
      </c>
      <c r="J789" t="str">
        <f t="shared" si="38"/>
        <v>Our Cost</v>
      </c>
    </row>
    <row r="790" spans="1:11">
      <c r="A790" t="s">
        <v>4170</v>
      </c>
      <c r="B790" t="s">
        <v>3176</v>
      </c>
      <c r="C790" t="s">
        <v>2248</v>
      </c>
      <c r="D790" t="s">
        <v>3177</v>
      </c>
      <c r="E790">
        <f t="shared" si="36"/>
        <v>185.43525</v>
      </c>
      <c r="G790">
        <v>217.6</v>
      </c>
      <c r="H790">
        <v>251.16</v>
      </c>
      <c r="I790">
        <f t="shared" si="37"/>
        <v>185.43525</v>
      </c>
      <c r="J790" t="str">
        <f t="shared" si="38"/>
        <v>Our Cost</v>
      </c>
      <c r="K790" t="s">
        <v>3394</v>
      </c>
    </row>
    <row r="791" spans="1:11">
      <c r="A791" t="s">
        <v>4171</v>
      </c>
      <c r="B791" t="s">
        <v>3178</v>
      </c>
      <c r="C791" t="s">
        <v>2248</v>
      </c>
      <c r="D791" t="s">
        <v>3179</v>
      </c>
      <c r="E791">
        <f t="shared" si="36"/>
        <v>957.06324999999993</v>
      </c>
      <c r="I791">
        <f t="shared" si="37"/>
        <v>957.06324999999993</v>
      </c>
      <c r="J791" t="str">
        <f t="shared" si="38"/>
        <v>Our Cost</v>
      </c>
    </row>
    <row r="792" spans="1:11">
      <c r="A792" t="s">
        <v>4172</v>
      </c>
      <c r="B792" t="s">
        <v>3180</v>
      </c>
      <c r="C792" t="s">
        <v>2248</v>
      </c>
      <c r="D792" t="s">
        <v>3181</v>
      </c>
      <c r="E792">
        <f t="shared" si="36"/>
        <v>484.30524999999994</v>
      </c>
      <c r="I792">
        <f t="shared" si="37"/>
        <v>484.30524999999994</v>
      </c>
      <c r="J792" t="str">
        <f t="shared" si="38"/>
        <v>Our Cost</v>
      </c>
    </row>
    <row r="793" spans="1:11">
      <c r="A793" t="s">
        <v>4173</v>
      </c>
      <c r="B793" t="s">
        <v>3182</v>
      </c>
      <c r="C793" t="s">
        <v>2248</v>
      </c>
      <c r="D793" t="s">
        <v>2917</v>
      </c>
      <c r="E793">
        <f t="shared" si="36"/>
        <v>127.01974999999999</v>
      </c>
      <c r="I793">
        <f t="shared" si="37"/>
        <v>127.01974999999999</v>
      </c>
      <c r="J793" t="str">
        <f t="shared" si="38"/>
        <v>Our Cost</v>
      </c>
    </row>
    <row r="794" spans="1:11">
      <c r="A794" t="s">
        <v>4174</v>
      </c>
      <c r="B794" t="s">
        <v>3183</v>
      </c>
      <c r="C794" t="s">
        <v>2248</v>
      </c>
      <c r="D794" t="s">
        <v>2917</v>
      </c>
      <c r="E794">
        <f t="shared" si="36"/>
        <v>127.01974999999999</v>
      </c>
      <c r="I794">
        <f t="shared" si="37"/>
        <v>127.01974999999999</v>
      </c>
      <c r="J794" t="str">
        <f t="shared" si="38"/>
        <v>Our Cost</v>
      </c>
    </row>
    <row r="795" spans="1:11">
      <c r="A795" t="s">
        <v>4175</v>
      </c>
      <c r="B795" t="s">
        <v>3184</v>
      </c>
      <c r="C795" t="s">
        <v>2248</v>
      </c>
      <c r="D795" t="s">
        <v>3185</v>
      </c>
      <c r="E795">
        <f t="shared" si="36"/>
        <v>153.51050000000001</v>
      </c>
      <c r="I795">
        <f t="shared" si="37"/>
        <v>153.51050000000001</v>
      </c>
      <c r="J795" t="str">
        <f t="shared" si="38"/>
        <v>Our Cost</v>
      </c>
    </row>
    <row r="796" spans="1:11">
      <c r="A796" t="s">
        <v>4176</v>
      </c>
      <c r="B796" t="s">
        <v>3186</v>
      </c>
      <c r="C796" t="s">
        <v>2248</v>
      </c>
      <c r="D796" t="s">
        <v>2254</v>
      </c>
      <c r="E796">
        <f t="shared" si="36"/>
        <v>112.7555</v>
      </c>
      <c r="I796">
        <f t="shared" si="37"/>
        <v>112.7555</v>
      </c>
      <c r="J796" t="str">
        <f t="shared" si="38"/>
        <v>Our Cost</v>
      </c>
    </row>
    <row r="797" spans="1:11">
      <c r="A797" t="s">
        <v>4177</v>
      </c>
      <c r="B797" t="s">
        <v>3187</v>
      </c>
      <c r="C797" t="s">
        <v>2248</v>
      </c>
      <c r="D797" t="s">
        <v>2469</v>
      </c>
      <c r="E797">
        <f t="shared" si="36"/>
        <v>17.660500000000003</v>
      </c>
      <c r="I797">
        <f t="shared" si="37"/>
        <v>17.660500000000003</v>
      </c>
      <c r="J797" t="str">
        <f t="shared" si="38"/>
        <v>Our Cost</v>
      </c>
    </row>
    <row r="798" spans="1:11">
      <c r="A798" t="s">
        <v>4178</v>
      </c>
      <c r="B798" t="s">
        <v>3188</v>
      </c>
      <c r="C798" t="s">
        <v>2248</v>
      </c>
      <c r="D798" t="s">
        <v>2452</v>
      </c>
      <c r="E798">
        <f t="shared" si="36"/>
        <v>9.5094999999999992</v>
      </c>
      <c r="I798">
        <f t="shared" si="37"/>
        <v>9.5094999999999992</v>
      </c>
      <c r="J798" t="str">
        <f t="shared" si="38"/>
        <v>Our Cost</v>
      </c>
      <c r="K798" t="s">
        <v>4339</v>
      </c>
    </row>
    <row r="799" spans="1:11">
      <c r="A799" t="s">
        <v>4179</v>
      </c>
      <c r="B799" t="s">
        <v>3189</v>
      </c>
      <c r="C799" t="s">
        <v>3091</v>
      </c>
      <c r="D799" t="s">
        <v>3190</v>
      </c>
      <c r="E799">
        <f t="shared" si="36"/>
        <v>2927.5674999999997</v>
      </c>
      <c r="G799">
        <v>2.61</v>
      </c>
      <c r="H799">
        <v>6.03</v>
      </c>
      <c r="I799">
        <f t="shared" si="37"/>
        <v>2.61</v>
      </c>
      <c r="J799" t="str">
        <f t="shared" si="38"/>
        <v>Addison</v>
      </c>
      <c r="K799" t="s">
        <v>3394</v>
      </c>
    </row>
    <row r="800" spans="1:11">
      <c r="A800" t="s">
        <v>4180</v>
      </c>
      <c r="B800" t="s">
        <v>3191</v>
      </c>
      <c r="C800" t="s">
        <v>2249</v>
      </c>
      <c r="D800" t="s">
        <v>2456</v>
      </c>
      <c r="E800">
        <f t="shared" si="36"/>
        <v>8.1509999999999998</v>
      </c>
      <c r="I800">
        <f t="shared" si="37"/>
        <v>8.1509999999999998</v>
      </c>
      <c r="J800" t="str">
        <f t="shared" si="38"/>
        <v>Our Cost</v>
      </c>
    </row>
    <row r="801" spans="1:11">
      <c r="A801" t="s">
        <v>4181</v>
      </c>
      <c r="B801" t="s">
        <v>3192</v>
      </c>
      <c r="C801" t="s">
        <v>2248</v>
      </c>
      <c r="D801" t="s">
        <v>3193</v>
      </c>
      <c r="E801">
        <f t="shared" si="36"/>
        <v>523.70174999999995</v>
      </c>
      <c r="H801">
        <v>709.32</v>
      </c>
      <c r="I801">
        <f t="shared" si="37"/>
        <v>523.70174999999995</v>
      </c>
      <c r="J801" t="str">
        <f t="shared" si="38"/>
        <v>Our Cost</v>
      </c>
    </row>
    <row r="802" spans="1:11">
      <c r="A802" t="s">
        <v>4182</v>
      </c>
      <c r="B802" t="s">
        <v>3194</v>
      </c>
      <c r="C802" t="s">
        <v>2248</v>
      </c>
      <c r="D802" t="s">
        <v>2442</v>
      </c>
      <c r="E802">
        <f t="shared" si="36"/>
        <v>5.4340000000000002</v>
      </c>
      <c r="H802">
        <v>7.36</v>
      </c>
      <c r="I802">
        <f t="shared" si="37"/>
        <v>5.4340000000000002</v>
      </c>
      <c r="J802" t="str">
        <f t="shared" si="38"/>
        <v>Our Cost</v>
      </c>
      <c r="K802" t="s">
        <v>3395</v>
      </c>
    </row>
    <row r="803" spans="1:11">
      <c r="A803" t="s">
        <v>4183</v>
      </c>
      <c r="B803" t="s">
        <v>3195</v>
      </c>
      <c r="C803" t="s">
        <v>2248</v>
      </c>
      <c r="D803" t="s">
        <v>2588</v>
      </c>
      <c r="E803">
        <f t="shared" si="36"/>
        <v>25.811499999999999</v>
      </c>
      <c r="H803">
        <v>34.96</v>
      </c>
      <c r="I803">
        <f t="shared" si="37"/>
        <v>25.811499999999999</v>
      </c>
      <c r="J803" t="str">
        <f t="shared" si="38"/>
        <v>Our Cost</v>
      </c>
      <c r="K803" t="s">
        <v>3395</v>
      </c>
    </row>
    <row r="804" spans="1:11">
      <c r="A804" t="s">
        <v>4184</v>
      </c>
      <c r="B804" t="s">
        <v>3196</v>
      </c>
      <c r="C804" t="s">
        <v>2248</v>
      </c>
      <c r="D804" t="s">
        <v>2780</v>
      </c>
      <c r="E804">
        <f t="shared" si="36"/>
        <v>19.018999999999998</v>
      </c>
      <c r="I804">
        <f t="shared" si="37"/>
        <v>19.018999999999998</v>
      </c>
      <c r="J804" t="str">
        <f t="shared" si="38"/>
        <v>Our Cost</v>
      </c>
    </row>
    <row r="805" spans="1:11">
      <c r="A805" t="s">
        <v>4185</v>
      </c>
      <c r="B805" t="s">
        <v>3197</v>
      </c>
      <c r="C805" t="s">
        <v>2248</v>
      </c>
      <c r="D805" t="s">
        <v>2660</v>
      </c>
      <c r="E805">
        <f t="shared" si="36"/>
        <v>31.92475</v>
      </c>
      <c r="I805">
        <f t="shared" si="37"/>
        <v>31.92475</v>
      </c>
      <c r="J805" t="str">
        <f t="shared" si="38"/>
        <v>Our Cost</v>
      </c>
    </row>
    <row r="806" spans="1:11">
      <c r="A806" t="s">
        <v>4186</v>
      </c>
      <c r="B806" t="s">
        <v>3198</v>
      </c>
      <c r="C806" t="s">
        <v>2248</v>
      </c>
      <c r="D806" t="s">
        <v>2961</v>
      </c>
      <c r="E806">
        <f t="shared" si="36"/>
        <v>97.132750000000001</v>
      </c>
      <c r="I806">
        <f t="shared" si="37"/>
        <v>97.132750000000001</v>
      </c>
      <c r="J806" t="str">
        <f t="shared" si="38"/>
        <v>Our Cost</v>
      </c>
    </row>
    <row r="807" spans="1:11">
      <c r="A807" t="s">
        <v>4187</v>
      </c>
      <c r="B807" t="s">
        <v>3199</v>
      </c>
      <c r="C807" t="s">
        <v>2248</v>
      </c>
      <c r="D807" t="s">
        <v>3200</v>
      </c>
      <c r="E807">
        <f t="shared" si="36"/>
        <v>123.62349999999999</v>
      </c>
      <c r="I807">
        <f t="shared" si="37"/>
        <v>123.62349999999999</v>
      </c>
      <c r="J807" t="str">
        <f t="shared" si="38"/>
        <v>Our Cost</v>
      </c>
    </row>
    <row r="808" spans="1:11">
      <c r="A808" t="s">
        <v>4188</v>
      </c>
      <c r="B808" t="s">
        <v>3201</v>
      </c>
      <c r="C808" t="s">
        <v>2248</v>
      </c>
      <c r="D808" t="s">
        <v>2757</v>
      </c>
      <c r="E808">
        <f t="shared" si="36"/>
        <v>178.64275000000001</v>
      </c>
      <c r="I808">
        <f t="shared" si="37"/>
        <v>178.64275000000001</v>
      </c>
      <c r="J808" t="str">
        <f t="shared" si="38"/>
        <v>Our Cost</v>
      </c>
    </row>
    <row r="809" spans="1:11">
      <c r="A809" t="s">
        <v>4189</v>
      </c>
      <c r="B809" t="s">
        <v>3202</v>
      </c>
      <c r="C809" t="s">
        <v>2248</v>
      </c>
      <c r="D809" t="s">
        <v>3203</v>
      </c>
      <c r="E809">
        <f t="shared" si="36"/>
        <v>796.08100000000002</v>
      </c>
      <c r="I809">
        <f t="shared" si="37"/>
        <v>796.08100000000002</v>
      </c>
      <c r="J809" t="str">
        <f t="shared" si="38"/>
        <v>Our Cost</v>
      </c>
    </row>
    <row r="810" spans="1:11">
      <c r="A810" t="s">
        <v>4190</v>
      </c>
      <c r="B810" t="s">
        <v>3204</v>
      </c>
      <c r="C810" t="s">
        <v>2248</v>
      </c>
      <c r="D810" t="s">
        <v>3205</v>
      </c>
      <c r="E810">
        <f t="shared" si="36"/>
        <v>171.85025000000002</v>
      </c>
      <c r="I810">
        <f t="shared" si="37"/>
        <v>171.85025000000002</v>
      </c>
      <c r="J810" t="str">
        <f t="shared" si="38"/>
        <v>Our Cost</v>
      </c>
      <c r="K810" t="s">
        <v>3395</v>
      </c>
    </row>
    <row r="811" spans="1:11">
      <c r="A811" t="s">
        <v>4191</v>
      </c>
      <c r="B811" t="s">
        <v>2188</v>
      </c>
      <c r="C811" t="s">
        <v>2248</v>
      </c>
      <c r="D811" t="s">
        <v>3206</v>
      </c>
      <c r="E811">
        <f t="shared" si="36"/>
        <v>118.86874999999999</v>
      </c>
      <c r="G811">
        <v>99.45</v>
      </c>
      <c r="I811">
        <f t="shared" si="37"/>
        <v>99.45</v>
      </c>
      <c r="J811" t="str">
        <f t="shared" si="38"/>
        <v>Addison</v>
      </c>
    </row>
    <row r="812" spans="1:11">
      <c r="A812" t="s">
        <v>4192</v>
      </c>
      <c r="B812" t="s">
        <v>2190</v>
      </c>
      <c r="C812" t="s">
        <v>2248</v>
      </c>
      <c r="D812" t="s">
        <v>3206</v>
      </c>
      <c r="E812">
        <f t="shared" si="36"/>
        <v>118.86874999999999</v>
      </c>
      <c r="G812">
        <v>96.9</v>
      </c>
      <c r="I812">
        <f t="shared" si="37"/>
        <v>96.9</v>
      </c>
      <c r="J812" t="str">
        <f t="shared" si="38"/>
        <v>Addison</v>
      </c>
    </row>
    <row r="813" spans="1:11">
      <c r="A813" t="s">
        <v>4193</v>
      </c>
      <c r="B813" t="s">
        <v>2189</v>
      </c>
      <c r="C813" t="s">
        <v>2248</v>
      </c>
      <c r="D813" t="s">
        <v>3206</v>
      </c>
      <c r="E813">
        <f t="shared" si="36"/>
        <v>118.86874999999999</v>
      </c>
      <c r="G813">
        <v>101.15</v>
      </c>
      <c r="H813">
        <v>161</v>
      </c>
      <c r="I813">
        <f t="shared" si="37"/>
        <v>101.15</v>
      </c>
      <c r="J813" t="str">
        <f t="shared" si="38"/>
        <v>Addison</v>
      </c>
      <c r="K813" t="s">
        <v>3394</v>
      </c>
    </row>
    <row r="814" spans="1:11">
      <c r="A814" t="s">
        <v>4194</v>
      </c>
      <c r="B814" t="s">
        <v>3207</v>
      </c>
      <c r="C814" t="s">
        <v>2248</v>
      </c>
      <c r="D814" t="s">
        <v>2501</v>
      </c>
      <c r="E814">
        <f t="shared" si="36"/>
        <v>35.321000000000005</v>
      </c>
      <c r="I814">
        <f t="shared" si="37"/>
        <v>35.321000000000005</v>
      </c>
      <c r="J814" t="str">
        <f t="shared" si="38"/>
        <v>Our Cost</v>
      </c>
    </row>
    <row r="815" spans="1:11">
      <c r="A815" t="s">
        <v>4195</v>
      </c>
      <c r="B815" t="s">
        <v>2191</v>
      </c>
      <c r="C815" t="s">
        <v>2248</v>
      </c>
      <c r="D815" t="s">
        <v>3206</v>
      </c>
      <c r="E815">
        <f t="shared" si="36"/>
        <v>118.86874999999999</v>
      </c>
      <c r="I815">
        <f t="shared" si="37"/>
        <v>118.86874999999999</v>
      </c>
      <c r="J815" t="str">
        <f t="shared" si="38"/>
        <v>Our Cost</v>
      </c>
    </row>
    <row r="816" spans="1:11">
      <c r="A816" t="s">
        <v>4196</v>
      </c>
      <c r="B816" t="s">
        <v>3208</v>
      </c>
      <c r="C816" t="s">
        <v>2248</v>
      </c>
      <c r="D816" t="s">
        <v>2939</v>
      </c>
      <c r="E816">
        <f t="shared" si="36"/>
        <v>108.67999999999999</v>
      </c>
      <c r="H816">
        <v>147.19999999999999</v>
      </c>
      <c r="I816">
        <f t="shared" si="37"/>
        <v>108.67999999999999</v>
      </c>
      <c r="J816" t="str">
        <f t="shared" si="38"/>
        <v>Our Cost</v>
      </c>
    </row>
    <row r="817" spans="1:11">
      <c r="A817" t="s">
        <v>4197</v>
      </c>
      <c r="B817" t="s">
        <v>3209</v>
      </c>
      <c r="C817" t="s">
        <v>2248</v>
      </c>
      <c r="D817" t="s">
        <v>2398</v>
      </c>
      <c r="E817">
        <f t="shared" si="36"/>
        <v>86.944000000000003</v>
      </c>
      <c r="I817">
        <f t="shared" si="37"/>
        <v>86.944000000000003</v>
      </c>
      <c r="J817" t="str">
        <f t="shared" si="38"/>
        <v>Our Cost</v>
      </c>
    </row>
    <row r="818" spans="1:11">
      <c r="A818" t="s">
        <v>2240</v>
      </c>
      <c r="B818" t="s">
        <v>2241</v>
      </c>
      <c r="C818" t="s">
        <v>2248</v>
      </c>
      <c r="D818" t="s">
        <v>2514</v>
      </c>
      <c r="E818">
        <f t="shared" si="36"/>
        <v>44.151249999999997</v>
      </c>
      <c r="I818">
        <f t="shared" si="37"/>
        <v>44.151249999999997</v>
      </c>
      <c r="J818" t="str">
        <f t="shared" si="38"/>
        <v>Our Cost</v>
      </c>
    </row>
    <row r="819" spans="1:11">
      <c r="A819" t="s">
        <v>4198</v>
      </c>
      <c r="B819" t="s">
        <v>3210</v>
      </c>
      <c r="C819" t="s">
        <v>2248</v>
      </c>
      <c r="D819" t="s">
        <v>2501</v>
      </c>
      <c r="E819">
        <f t="shared" si="36"/>
        <v>35.321000000000005</v>
      </c>
      <c r="G819">
        <v>41.65</v>
      </c>
      <c r="H819">
        <v>47.84</v>
      </c>
      <c r="I819">
        <f t="shared" si="37"/>
        <v>35.321000000000005</v>
      </c>
      <c r="J819" t="str">
        <f t="shared" si="38"/>
        <v>Our Cost</v>
      </c>
    </row>
    <row r="820" spans="1:11">
      <c r="A820" t="s">
        <v>4199</v>
      </c>
      <c r="B820" t="s">
        <v>3211</v>
      </c>
      <c r="C820" t="s">
        <v>2248</v>
      </c>
      <c r="D820" t="s">
        <v>2456</v>
      </c>
      <c r="E820">
        <f t="shared" si="36"/>
        <v>8.1509999999999998</v>
      </c>
      <c r="I820">
        <f t="shared" si="37"/>
        <v>8.1509999999999998</v>
      </c>
      <c r="J820" t="str">
        <f t="shared" si="38"/>
        <v>Our Cost</v>
      </c>
    </row>
    <row r="821" spans="1:11">
      <c r="A821" t="s">
        <v>4200</v>
      </c>
      <c r="B821" t="s">
        <v>3212</v>
      </c>
      <c r="C821" t="s">
        <v>2248</v>
      </c>
      <c r="D821" t="s">
        <v>2466</v>
      </c>
      <c r="E821">
        <f t="shared" si="36"/>
        <v>8.8302500000000013</v>
      </c>
      <c r="I821">
        <f t="shared" si="37"/>
        <v>8.8302500000000013</v>
      </c>
      <c r="J821" t="str">
        <f t="shared" si="38"/>
        <v>Our Cost</v>
      </c>
    </row>
    <row r="822" spans="1:11">
      <c r="A822" t="s">
        <v>4201</v>
      </c>
      <c r="B822" t="s">
        <v>3213</v>
      </c>
      <c r="C822" t="s">
        <v>2248</v>
      </c>
      <c r="D822" t="s">
        <v>3214</v>
      </c>
      <c r="E822">
        <f t="shared" si="36"/>
        <v>2861.0010000000002</v>
      </c>
      <c r="G822">
        <v>584.79999999999995</v>
      </c>
      <c r="I822">
        <f t="shared" si="37"/>
        <v>584.79999999999995</v>
      </c>
      <c r="J822" t="str">
        <f t="shared" si="38"/>
        <v>Addison</v>
      </c>
      <c r="K822" t="s">
        <v>3394</v>
      </c>
    </row>
    <row r="823" spans="1:11">
      <c r="A823" t="s">
        <v>4202</v>
      </c>
      <c r="B823" t="s">
        <v>3215</v>
      </c>
      <c r="C823" t="s">
        <v>2248</v>
      </c>
      <c r="D823" t="s">
        <v>3216</v>
      </c>
      <c r="E823">
        <f t="shared" si="36"/>
        <v>626.94775000000004</v>
      </c>
      <c r="G823">
        <v>238.85</v>
      </c>
      <c r="H823">
        <v>849.16</v>
      </c>
      <c r="I823">
        <f t="shared" si="37"/>
        <v>238.85</v>
      </c>
      <c r="J823" t="str">
        <f t="shared" si="38"/>
        <v>Addison</v>
      </c>
      <c r="K823" t="s">
        <v>3394</v>
      </c>
    </row>
    <row r="824" spans="1:11">
      <c r="A824" t="s">
        <v>4203</v>
      </c>
      <c r="B824" t="s">
        <v>3217</v>
      </c>
      <c r="C824" t="s">
        <v>2248</v>
      </c>
      <c r="D824" t="s">
        <v>2378</v>
      </c>
      <c r="E824">
        <f t="shared" si="36"/>
        <v>183.39749999999998</v>
      </c>
      <c r="G824">
        <v>199.75</v>
      </c>
      <c r="H824">
        <v>248.4</v>
      </c>
      <c r="I824">
        <f t="shared" si="37"/>
        <v>183.39749999999998</v>
      </c>
      <c r="J824" t="str">
        <f t="shared" si="38"/>
        <v>Our Cost</v>
      </c>
    </row>
    <row r="825" spans="1:11">
      <c r="A825" t="s">
        <v>4204</v>
      </c>
      <c r="B825" t="s">
        <v>3218</v>
      </c>
      <c r="C825" t="s">
        <v>2248</v>
      </c>
      <c r="D825" t="s">
        <v>3219</v>
      </c>
      <c r="E825">
        <f t="shared" si="36"/>
        <v>174.56725</v>
      </c>
      <c r="I825">
        <f t="shared" si="37"/>
        <v>174.56725</v>
      </c>
      <c r="J825" t="str">
        <f t="shared" si="38"/>
        <v>Our Cost</v>
      </c>
    </row>
    <row r="826" spans="1:11">
      <c r="A826" t="s">
        <v>4205</v>
      </c>
      <c r="B826" t="s">
        <v>3220</v>
      </c>
      <c r="C826" t="s">
        <v>2248</v>
      </c>
      <c r="D826" t="s">
        <v>3221</v>
      </c>
      <c r="E826">
        <f t="shared" si="36"/>
        <v>218.03924999999998</v>
      </c>
      <c r="H826">
        <v>541.41999999999996</v>
      </c>
      <c r="I826">
        <f t="shared" si="37"/>
        <v>218.03924999999998</v>
      </c>
      <c r="J826" t="str">
        <f t="shared" si="38"/>
        <v>Our Cost</v>
      </c>
      <c r="K826" t="s">
        <v>3395</v>
      </c>
    </row>
    <row r="827" spans="1:11">
      <c r="A827" t="s">
        <v>4206</v>
      </c>
      <c r="B827" t="s">
        <v>3222</v>
      </c>
      <c r="C827" t="s">
        <v>2248</v>
      </c>
      <c r="D827" t="s">
        <v>2802</v>
      </c>
      <c r="E827">
        <f t="shared" si="36"/>
        <v>305.66249999999997</v>
      </c>
      <c r="I827">
        <f t="shared" si="37"/>
        <v>305.66249999999997</v>
      </c>
      <c r="J827" t="str">
        <f t="shared" si="38"/>
        <v>Our Cost</v>
      </c>
    </row>
    <row r="828" spans="1:11">
      <c r="A828" t="s">
        <v>4207</v>
      </c>
      <c r="B828" t="s">
        <v>3223</v>
      </c>
      <c r="C828" t="s">
        <v>2248</v>
      </c>
      <c r="D828" t="s">
        <v>3224</v>
      </c>
      <c r="E828">
        <f t="shared" si="36"/>
        <v>184.756</v>
      </c>
      <c r="I828">
        <f t="shared" si="37"/>
        <v>184.756</v>
      </c>
      <c r="J828" t="str">
        <f t="shared" si="38"/>
        <v>Our Cost</v>
      </c>
    </row>
    <row r="829" spans="1:11">
      <c r="A829" t="s">
        <v>4208</v>
      </c>
      <c r="B829" t="s">
        <v>3225</v>
      </c>
      <c r="C829" t="s">
        <v>2248</v>
      </c>
      <c r="D829" t="s">
        <v>2802</v>
      </c>
      <c r="E829">
        <f t="shared" si="36"/>
        <v>305.66249999999997</v>
      </c>
      <c r="I829">
        <f t="shared" si="37"/>
        <v>305.66249999999997</v>
      </c>
      <c r="J829" t="str">
        <f t="shared" si="38"/>
        <v>Our Cost</v>
      </c>
    </row>
    <row r="830" spans="1:11">
      <c r="A830" t="s">
        <v>4209</v>
      </c>
      <c r="B830" t="s">
        <v>3226</v>
      </c>
      <c r="C830" t="s">
        <v>2248</v>
      </c>
      <c r="D830" t="s">
        <v>3227</v>
      </c>
      <c r="E830">
        <f t="shared" si="36"/>
        <v>3732.4787499999998</v>
      </c>
      <c r="I830">
        <f t="shared" si="37"/>
        <v>3732.4787499999998</v>
      </c>
      <c r="J830" t="str">
        <f t="shared" si="38"/>
        <v>Our Cost</v>
      </c>
    </row>
    <row r="831" spans="1:11">
      <c r="A831" t="s">
        <v>4210</v>
      </c>
      <c r="B831" t="s">
        <v>3228</v>
      </c>
      <c r="C831" t="s">
        <v>2248</v>
      </c>
      <c r="D831" t="s">
        <v>3229</v>
      </c>
      <c r="E831">
        <f t="shared" si="36"/>
        <v>1297.3674999999998</v>
      </c>
      <c r="I831">
        <f t="shared" si="37"/>
        <v>1297.3674999999998</v>
      </c>
      <c r="J831" t="str">
        <f t="shared" si="38"/>
        <v>Our Cost</v>
      </c>
    </row>
    <row r="832" spans="1:11">
      <c r="A832" t="s">
        <v>4211</v>
      </c>
      <c r="B832" t="s">
        <v>3230</v>
      </c>
      <c r="C832" t="s">
        <v>2248</v>
      </c>
      <c r="D832" t="s">
        <v>3231</v>
      </c>
      <c r="E832">
        <f t="shared" si="36"/>
        <v>1837.3712499999999</v>
      </c>
      <c r="I832">
        <f t="shared" si="37"/>
        <v>1837.3712499999999</v>
      </c>
      <c r="J832" t="str">
        <f t="shared" si="38"/>
        <v>Our Cost</v>
      </c>
    </row>
    <row r="833" spans="1:10">
      <c r="A833" t="s">
        <v>4212</v>
      </c>
      <c r="B833" t="s">
        <v>3232</v>
      </c>
      <c r="C833" t="s">
        <v>2248</v>
      </c>
      <c r="D833" t="s">
        <v>3231</v>
      </c>
      <c r="E833">
        <f t="shared" si="36"/>
        <v>1837.3712499999999</v>
      </c>
      <c r="I833">
        <f t="shared" si="37"/>
        <v>1837.3712499999999</v>
      </c>
      <c r="J833" t="str">
        <f t="shared" si="38"/>
        <v>Our Cost</v>
      </c>
    </row>
    <row r="834" spans="1:10">
      <c r="A834" t="s">
        <v>4213</v>
      </c>
      <c r="B834" t="s">
        <v>3233</v>
      </c>
      <c r="C834" t="s">
        <v>2248</v>
      </c>
      <c r="D834" t="s">
        <v>3231</v>
      </c>
      <c r="E834">
        <f t="shared" si="36"/>
        <v>1837.3712499999999</v>
      </c>
      <c r="I834">
        <f t="shared" si="37"/>
        <v>1837.3712499999999</v>
      </c>
      <c r="J834" t="str">
        <f t="shared" si="38"/>
        <v>Our Cost</v>
      </c>
    </row>
    <row r="835" spans="1:10">
      <c r="A835" t="s">
        <v>4214</v>
      </c>
      <c r="B835" t="s">
        <v>3234</v>
      </c>
      <c r="C835" t="s">
        <v>2248</v>
      </c>
      <c r="D835" t="s">
        <v>3229</v>
      </c>
      <c r="E835">
        <f t="shared" ref="E835:E898" si="39">+D835*0.65*1.045</f>
        <v>1297.3674999999998</v>
      </c>
      <c r="I835">
        <f t="shared" ref="I835:I898" si="40">+MIN(E835:H835)</f>
        <v>1297.3674999999998</v>
      </c>
      <c r="J835" t="str">
        <f t="shared" ref="J835:J898" si="41">+_xlfn.SINGLE(_xlfn.XLOOKUP(I835,E835:H835,$E$1:$H$1))</f>
        <v>Our Cost</v>
      </c>
    </row>
    <row r="836" spans="1:10">
      <c r="A836" t="s">
        <v>4215</v>
      </c>
      <c r="B836" t="s">
        <v>3235</v>
      </c>
      <c r="C836" t="s">
        <v>2248</v>
      </c>
      <c r="D836" t="s">
        <v>3229</v>
      </c>
      <c r="E836">
        <f t="shared" si="39"/>
        <v>1297.3674999999998</v>
      </c>
      <c r="I836">
        <f t="shared" si="40"/>
        <v>1297.3674999999998</v>
      </c>
      <c r="J836" t="str">
        <f t="shared" si="41"/>
        <v>Our Cost</v>
      </c>
    </row>
    <row r="837" spans="1:10">
      <c r="A837" t="s">
        <v>4216</v>
      </c>
      <c r="B837" t="s">
        <v>3236</v>
      </c>
      <c r="C837" t="s">
        <v>2248</v>
      </c>
      <c r="D837" t="s">
        <v>3229</v>
      </c>
      <c r="E837">
        <f t="shared" si="39"/>
        <v>1297.3674999999998</v>
      </c>
      <c r="I837">
        <f t="shared" si="40"/>
        <v>1297.3674999999998</v>
      </c>
      <c r="J837" t="str">
        <f t="shared" si="41"/>
        <v>Our Cost</v>
      </c>
    </row>
    <row r="838" spans="1:10">
      <c r="A838" t="s">
        <v>4217</v>
      </c>
      <c r="B838" t="s">
        <v>3237</v>
      </c>
      <c r="C838" t="s">
        <v>2248</v>
      </c>
      <c r="D838" t="s">
        <v>3231</v>
      </c>
      <c r="E838">
        <f t="shared" si="39"/>
        <v>1837.3712499999999</v>
      </c>
      <c r="I838">
        <f t="shared" si="40"/>
        <v>1837.3712499999999</v>
      </c>
      <c r="J838" t="str">
        <f t="shared" si="41"/>
        <v>Our Cost</v>
      </c>
    </row>
    <row r="839" spans="1:10">
      <c r="A839" t="s">
        <v>4218</v>
      </c>
      <c r="B839" t="s">
        <v>3238</v>
      </c>
      <c r="C839" t="s">
        <v>2248</v>
      </c>
      <c r="D839" t="s">
        <v>3231</v>
      </c>
      <c r="E839">
        <f t="shared" si="39"/>
        <v>1837.3712499999999</v>
      </c>
      <c r="I839">
        <f t="shared" si="40"/>
        <v>1837.3712499999999</v>
      </c>
      <c r="J839" t="str">
        <f t="shared" si="41"/>
        <v>Our Cost</v>
      </c>
    </row>
    <row r="840" spans="1:10">
      <c r="A840" t="s">
        <v>4219</v>
      </c>
      <c r="B840" t="s">
        <v>3239</v>
      </c>
      <c r="C840" t="s">
        <v>2248</v>
      </c>
      <c r="D840" t="s">
        <v>3240</v>
      </c>
      <c r="E840">
        <f t="shared" si="39"/>
        <v>1867.9374999999998</v>
      </c>
      <c r="I840">
        <f t="shared" si="40"/>
        <v>1867.9374999999998</v>
      </c>
      <c r="J840" t="str">
        <f t="shared" si="41"/>
        <v>Our Cost</v>
      </c>
    </row>
    <row r="841" spans="1:10">
      <c r="A841" t="s">
        <v>4220</v>
      </c>
      <c r="B841" t="s">
        <v>3241</v>
      </c>
      <c r="C841" t="s">
        <v>2248</v>
      </c>
      <c r="D841" t="s">
        <v>3231</v>
      </c>
      <c r="E841">
        <f t="shared" si="39"/>
        <v>1837.3712499999999</v>
      </c>
      <c r="I841">
        <f t="shared" si="40"/>
        <v>1837.3712499999999</v>
      </c>
      <c r="J841" t="str">
        <f t="shared" si="41"/>
        <v>Our Cost</v>
      </c>
    </row>
    <row r="842" spans="1:10">
      <c r="A842" t="s">
        <v>4221</v>
      </c>
      <c r="B842" t="s">
        <v>3242</v>
      </c>
      <c r="C842" t="s">
        <v>2248</v>
      </c>
      <c r="D842" t="s">
        <v>3231</v>
      </c>
      <c r="E842">
        <f t="shared" si="39"/>
        <v>1837.3712499999999</v>
      </c>
      <c r="I842">
        <f t="shared" si="40"/>
        <v>1837.3712499999999</v>
      </c>
      <c r="J842" t="str">
        <f t="shared" si="41"/>
        <v>Our Cost</v>
      </c>
    </row>
    <row r="843" spans="1:10">
      <c r="A843" t="s">
        <v>4222</v>
      </c>
      <c r="B843" t="s">
        <v>3243</v>
      </c>
      <c r="C843" t="s">
        <v>2248</v>
      </c>
      <c r="D843" t="s">
        <v>3229</v>
      </c>
      <c r="E843">
        <f t="shared" si="39"/>
        <v>1297.3674999999998</v>
      </c>
      <c r="I843">
        <f t="shared" si="40"/>
        <v>1297.3674999999998</v>
      </c>
      <c r="J843" t="str">
        <f t="shared" si="41"/>
        <v>Our Cost</v>
      </c>
    </row>
    <row r="844" spans="1:10">
      <c r="A844" t="s">
        <v>4223</v>
      </c>
      <c r="B844" t="s">
        <v>3243</v>
      </c>
      <c r="C844" t="s">
        <v>2248</v>
      </c>
      <c r="D844" t="s">
        <v>3229</v>
      </c>
      <c r="E844">
        <f t="shared" si="39"/>
        <v>1297.3674999999998</v>
      </c>
      <c r="I844">
        <f t="shared" si="40"/>
        <v>1297.3674999999998</v>
      </c>
      <c r="J844" t="str">
        <f t="shared" si="41"/>
        <v>Our Cost</v>
      </c>
    </row>
    <row r="845" spans="1:10">
      <c r="A845" t="s">
        <v>4224</v>
      </c>
      <c r="B845" t="s">
        <v>3244</v>
      </c>
      <c r="C845" t="s">
        <v>2248</v>
      </c>
      <c r="D845" t="s">
        <v>3229</v>
      </c>
      <c r="E845">
        <f t="shared" si="39"/>
        <v>1297.3674999999998</v>
      </c>
      <c r="I845">
        <f t="shared" si="40"/>
        <v>1297.3674999999998</v>
      </c>
      <c r="J845" t="str">
        <f t="shared" si="41"/>
        <v>Our Cost</v>
      </c>
    </row>
    <row r="846" spans="1:10">
      <c r="A846" t="s">
        <v>4225</v>
      </c>
      <c r="B846" t="s">
        <v>3245</v>
      </c>
      <c r="C846" t="s">
        <v>2248</v>
      </c>
      <c r="D846" t="s">
        <v>3231</v>
      </c>
      <c r="E846">
        <f t="shared" si="39"/>
        <v>1837.3712499999999</v>
      </c>
      <c r="I846">
        <f t="shared" si="40"/>
        <v>1837.3712499999999</v>
      </c>
      <c r="J846" t="str">
        <f t="shared" si="41"/>
        <v>Our Cost</v>
      </c>
    </row>
    <row r="847" spans="1:10">
      <c r="A847" t="s">
        <v>4226</v>
      </c>
      <c r="B847" t="s">
        <v>3246</v>
      </c>
      <c r="C847" t="s">
        <v>2248</v>
      </c>
      <c r="D847" t="s">
        <v>3231</v>
      </c>
      <c r="E847">
        <f t="shared" si="39"/>
        <v>1837.3712499999999</v>
      </c>
      <c r="I847">
        <f t="shared" si="40"/>
        <v>1837.3712499999999</v>
      </c>
      <c r="J847" t="str">
        <f t="shared" si="41"/>
        <v>Our Cost</v>
      </c>
    </row>
    <row r="848" spans="1:10">
      <c r="A848" t="s">
        <v>4227</v>
      </c>
      <c r="B848" t="s">
        <v>3247</v>
      </c>
      <c r="C848" t="s">
        <v>2248</v>
      </c>
      <c r="D848" t="s">
        <v>3231</v>
      </c>
      <c r="E848">
        <f t="shared" si="39"/>
        <v>1837.3712499999999</v>
      </c>
      <c r="I848">
        <f t="shared" si="40"/>
        <v>1837.3712499999999</v>
      </c>
      <c r="J848" t="str">
        <f t="shared" si="41"/>
        <v>Our Cost</v>
      </c>
    </row>
    <row r="849" spans="1:11">
      <c r="A849" t="s">
        <v>4228</v>
      </c>
      <c r="B849" t="s">
        <v>3247</v>
      </c>
      <c r="C849" t="s">
        <v>2248</v>
      </c>
      <c r="D849" t="s">
        <v>3231</v>
      </c>
      <c r="E849">
        <f t="shared" si="39"/>
        <v>1837.3712499999999</v>
      </c>
      <c r="I849">
        <f t="shared" si="40"/>
        <v>1837.3712499999999</v>
      </c>
      <c r="J849" t="str">
        <f t="shared" si="41"/>
        <v>Our Cost</v>
      </c>
    </row>
    <row r="850" spans="1:11">
      <c r="A850" t="s">
        <v>4229</v>
      </c>
      <c r="B850" t="s">
        <v>3248</v>
      </c>
      <c r="C850" t="s">
        <v>2248</v>
      </c>
      <c r="D850" t="s">
        <v>3231</v>
      </c>
      <c r="E850">
        <f t="shared" si="39"/>
        <v>1837.3712499999999</v>
      </c>
      <c r="I850">
        <f t="shared" si="40"/>
        <v>1837.3712499999999</v>
      </c>
      <c r="J850" t="str">
        <f t="shared" si="41"/>
        <v>Our Cost</v>
      </c>
    </row>
    <row r="851" spans="1:11">
      <c r="A851" t="s">
        <v>4230</v>
      </c>
      <c r="B851" t="s">
        <v>3249</v>
      </c>
      <c r="C851" t="s">
        <v>2248</v>
      </c>
      <c r="D851" t="s">
        <v>3250</v>
      </c>
      <c r="E851">
        <f t="shared" si="39"/>
        <v>509.43749999999994</v>
      </c>
      <c r="I851">
        <f t="shared" si="40"/>
        <v>509.43749999999994</v>
      </c>
      <c r="J851" t="str">
        <f t="shared" si="41"/>
        <v>Our Cost</v>
      </c>
    </row>
    <row r="852" spans="1:11">
      <c r="A852" t="s">
        <v>4231</v>
      </c>
      <c r="B852" t="s">
        <v>3251</v>
      </c>
      <c r="C852" t="s">
        <v>3091</v>
      </c>
      <c r="D852" t="s">
        <v>3252</v>
      </c>
      <c r="E852">
        <f t="shared" si="39"/>
        <v>857.21350000000007</v>
      </c>
      <c r="H852">
        <v>1161.04</v>
      </c>
      <c r="I852">
        <f t="shared" si="40"/>
        <v>857.21350000000007</v>
      </c>
      <c r="J852" t="str">
        <f t="shared" si="41"/>
        <v>Our Cost</v>
      </c>
    </row>
    <row r="853" spans="1:11">
      <c r="A853" t="s">
        <v>4232</v>
      </c>
      <c r="B853" t="s">
        <v>3253</v>
      </c>
      <c r="C853" t="s">
        <v>2249</v>
      </c>
      <c r="D853" t="s">
        <v>2314</v>
      </c>
      <c r="E853">
        <f t="shared" si="39"/>
        <v>1.3585</v>
      </c>
      <c r="I853">
        <f t="shared" si="40"/>
        <v>1.3585</v>
      </c>
      <c r="J853" t="str">
        <f t="shared" si="41"/>
        <v>Our Cost</v>
      </c>
    </row>
    <row r="854" spans="1:11">
      <c r="A854" t="s">
        <v>4233</v>
      </c>
      <c r="B854" t="s">
        <v>3254</v>
      </c>
      <c r="C854" t="s">
        <v>2248</v>
      </c>
      <c r="D854" t="s">
        <v>3219</v>
      </c>
      <c r="E854">
        <f t="shared" si="39"/>
        <v>174.56725</v>
      </c>
      <c r="I854">
        <f t="shared" si="40"/>
        <v>174.56725</v>
      </c>
      <c r="J854" t="str">
        <f t="shared" si="41"/>
        <v>Our Cost</v>
      </c>
    </row>
    <row r="855" spans="1:11">
      <c r="A855" t="s">
        <v>4234</v>
      </c>
      <c r="B855" t="s">
        <v>3255</v>
      </c>
      <c r="C855" t="s">
        <v>3256</v>
      </c>
      <c r="D855" t="s">
        <v>3257</v>
      </c>
      <c r="E855">
        <f t="shared" si="39"/>
        <v>958.42174999999986</v>
      </c>
      <c r="I855">
        <f t="shared" si="40"/>
        <v>958.42174999999986</v>
      </c>
      <c r="J855" t="str">
        <f t="shared" si="41"/>
        <v>Our Cost</v>
      </c>
    </row>
    <row r="856" spans="1:11">
      <c r="A856" t="s">
        <v>4235</v>
      </c>
      <c r="B856" t="s">
        <v>3258</v>
      </c>
      <c r="C856" t="s">
        <v>2248</v>
      </c>
      <c r="D856" t="s">
        <v>3259</v>
      </c>
      <c r="E856">
        <f t="shared" si="39"/>
        <v>1003.25225</v>
      </c>
      <c r="I856">
        <f t="shared" si="40"/>
        <v>1003.25225</v>
      </c>
      <c r="J856" t="str">
        <f t="shared" si="41"/>
        <v>Our Cost</v>
      </c>
    </row>
    <row r="857" spans="1:11">
      <c r="A857" t="s">
        <v>4236</v>
      </c>
      <c r="B857" t="s">
        <v>3260</v>
      </c>
      <c r="C857" t="s">
        <v>2248</v>
      </c>
      <c r="D857" t="s">
        <v>2619</v>
      </c>
      <c r="E857">
        <f t="shared" si="39"/>
        <v>10.188749999999999</v>
      </c>
      <c r="I857">
        <f t="shared" si="40"/>
        <v>10.188749999999999</v>
      </c>
      <c r="J857" t="str">
        <f t="shared" si="41"/>
        <v>Our Cost</v>
      </c>
    </row>
    <row r="858" spans="1:11">
      <c r="A858" t="s">
        <v>4237</v>
      </c>
      <c r="B858" t="s">
        <v>3261</v>
      </c>
      <c r="C858" t="s">
        <v>2248</v>
      </c>
      <c r="D858" t="s">
        <v>2330</v>
      </c>
      <c r="E858">
        <f t="shared" si="39"/>
        <v>7.4717500000000001</v>
      </c>
      <c r="H858">
        <v>10.119999999999999</v>
      </c>
      <c r="I858">
        <f t="shared" si="40"/>
        <v>7.4717500000000001</v>
      </c>
      <c r="J858" t="str">
        <f t="shared" si="41"/>
        <v>Our Cost</v>
      </c>
      <c r="K858" t="s">
        <v>3394</v>
      </c>
    </row>
    <row r="859" spans="1:11">
      <c r="A859" t="s">
        <v>4238</v>
      </c>
      <c r="B859" t="s">
        <v>3262</v>
      </c>
      <c r="C859" t="s">
        <v>2248</v>
      </c>
      <c r="D859" t="s">
        <v>2466</v>
      </c>
      <c r="E859">
        <f t="shared" si="39"/>
        <v>8.8302500000000013</v>
      </c>
      <c r="G859">
        <v>10.199999999999999</v>
      </c>
      <c r="H859">
        <v>13.74</v>
      </c>
      <c r="I859">
        <f t="shared" si="40"/>
        <v>8.8302500000000013</v>
      </c>
      <c r="J859" t="str">
        <f t="shared" si="41"/>
        <v>Our Cost</v>
      </c>
      <c r="K859" t="s">
        <v>3395</v>
      </c>
    </row>
    <row r="860" spans="1:11">
      <c r="A860" t="s">
        <v>4239</v>
      </c>
      <c r="B860" t="s">
        <v>3263</v>
      </c>
      <c r="C860" t="s">
        <v>3256</v>
      </c>
      <c r="D860" t="s">
        <v>2477</v>
      </c>
      <c r="E860">
        <f t="shared" si="39"/>
        <v>52.302250000000001</v>
      </c>
      <c r="I860">
        <f t="shared" si="40"/>
        <v>52.302250000000001</v>
      </c>
      <c r="J860" t="str">
        <f t="shared" si="41"/>
        <v>Our Cost</v>
      </c>
    </row>
    <row r="861" spans="1:11">
      <c r="A861" t="s">
        <v>4240</v>
      </c>
      <c r="B861" t="s">
        <v>3264</v>
      </c>
      <c r="C861" t="s">
        <v>3256</v>
      </c>
      <c r="D861" t="s">
        <v>2251</v>
      </c>
      <c r="E861">
        <f t="shared" si="39"/>
        <v>53.66075</v>
      </c>
      <c r="I861">
        <f t="shared" si="40"/>
        <v>53.66075</v>
      </c>
      <c r="J861" t="str">
        <f t="shared" si="41"/>
        <v>Our Cost</v>
      </c>
    </row>
    <row r="862" spans="1:11">
      <c r="A862" t="s">
        <v>4241</v>
      </c>
      <c r="B862" t="s">
        <v>3265</v>
      </c>
      <c r="C862" t="s">
        <v>2248</v>
      </c>
      <c r="D862" t="s">
        <v>3266</v>
      </c>
      <c r="E862">
        <f t="shared" si="39"/>
        <v>157.58600000000001</v>
      </c>
      <c r="H862">
        <v>213.44</v>
      </c>
      <c r="I862">
        <f t="shared" si="40"/>
        <v>157.58600000000001</v>
      </c>
      <c r="J862" t="str">
        <f t="shared" si="41"/>
        <v>Our Cost</v>
      </c>
    </row>
    <row r="863" spans="1:11">
      <c r="A863" t="s">
        <v>4242</v>
      </c>
      <c r="B863" t="s">
        <v>3267</v>
      </c>
      <c r="C863" t="s">
        <v>2248</v>
      </c>
      <c r="D863" t="s">
        <v>2380</v>
      </c>
      <c r="E863">
        <f t="shared" si="39"/>
        <v>25.132249999999999</v>
      </c>
      <c r="I863">
        <f t="shared" si="40"/>
        <v>25.132249999999999</v>
      </c>
      <c r="J863" t="str">
        <f t="shared" si="41"/>
        <v>Our Cost</v>
      </c>
    </row>
    <row r="864" spans="1:11">
      <c r="A864" t="s">
        <v>4243</v>
      </c>
      <c r="B864" t="s">
        <v>3268</v>
      </c>
      <c r="C864" t="s">
        <v>2248</v>
      </c>
      <c r="D864" t="s">
        <v>2870</v>
      </c>
      <c r="E864">
        <f t="shared" si="39"/>
        <v>26.490749999999998</v>
      </c>
      <c r="I864">
        <f t="shared" si="40"/>
        <v>26.490749999999998</v>
      </c>
      <c r="J864" t="str">
        <f t="shared" si="41"/>
        <v>Our Cost</v>
      </c>
    </row>
    <row r="865" spans="1:11">
      <c r="A865" t="s">
        <v>4244</v>
      </c>
      <c r="B865" t="s">
        <v>3269</v>
      </c>
      <c r="C865" t="s">
        <v>2248</v>
      </c>
      <c r="D865" t="s">
        <v>3115</v>
      </c>
      <c r="E865">
        <f t="shared" si="39"/>
        <v>64.528750000000002</v>
      </c>
      <c r="G865">
        <v>57.8</v>
      </c>
      <c r="I865">
        <f t="shared" si="40"/>
        <v>57.8</v>
      </c>
      <c r="J865" t="str">
        <f t="shared" si="41"/>
        <v>Addison</v>
      </c>
    </row>
    <row r="866" spans="1:11">
      <c r="A866" t="s">
        <v>2242</v>
      </c>
      <c r="B866" t="s">
        <v>2243</v>
      </c>
      <c r="C866" t="s">
        <v>2248</v>
      </c>
      <c r="D866" t="s">
        <v>3142</v>
      </c>
      <c r="E866">
        <f t="shared" si="39"/>
        <v>65.887249999999995</v>
      </c>
      <c r="I866">
        <f t="shared" si="40"/>
        <v>65.887249999999995</v>
      </c>
      <c r="J866" t="str">
        <f t="shared" si="41"/>
        <v>Our Cost</v>
      </c>
    </row>
    <row r="867" spans="1:11">
      <c r="A867" t="s">
        <v>4245</v>
      </c>
      <c r="B867" t="s">
        <v>3270</v>
      </c>
      <c r="C867" t="s">
        <v>2248</v>
      </c>
      <c r="D867" t="s">
        <v>2559</v>
      </c>
      <c r="E867">
        <f t="shared" si="39"/>
        <v>16.302</v>
      </c>
      <c r="I867">
        <f t="shared" si="40"/>
        <v>16.302</v>
      </c>
      <c r="J867" t="str">
        <f t="shared" si="41"/>
        <v>Our Cost</v>
      </c>
    </row>
    <row r="868" spans="1:11">
      <c r="A868" t="s">
        <v>4246</v>
      </c>
      <c r="B868" t="s">
        <v>3270</v>
      </c>
      <c r="C868" t="s">
        <v>2248</v>
      </c>
      <c r="D868" t="s">
        <v>2469</v>
      </c>
      <c r="E868">
        <f t="shared" si="39"/>
        <v>17.660500000000003</v>
      </c>
      <c r="I868">
        <f t="shared" si="40"/>
        <v>17.660500000000003</v>
      </c>
      <c r="J868" t="str">
        <f t="shared" si="41"/>
        <v>Our Cost</v>
      </c>
    </row>
    <row r="869" spans="1:11">
      <c r="A869" t="s">
        <v>4247</v>
      </c>
      <c r="B869" t="s">
        <v>3271</v>
      </c>
      <c r="C869" t="s">
        <v>2248</v>
      </c>
      <c r="D869" t="s">
        <v>2511</v>
      </c>
      <c r="E869">
        <f t="shared" si="39"/>
        <v>33.962499999999999</v>
      </c>
      <c r="I869">
        <f t="shared" si="40"/>
        <v>33.962499999999999</v>
      </c>
      <c r="J869" t="str">
        <f t="shared" si="41"/>
        <v>Our Cost</v>
      </c>
    </row>
    <row r="870" spans="1:11">
      <c r="A870" t="s">
        <v>4248</v>
      </c>
      <c r="B870" t="s">
        <v>3272</v>
      </c>
      <c r="C870" t="s">
        <v>2248</v>
      </c>
      <c r="D870" t="s">
        <v>2566</v>
      </c>
      <c r="E870">
        <f t="shared" si="39"/>
        <v>36.679499999999997</v>
      </c>
      <c r="I870">
        <f t="shared" si="40"/>
        <v>36.679499999999997</v>
      </c>
      <c r="J870" t="str">
        <f t="shared" si="41"/>
        <v>Our Cost</v>
      </c>
    </row>
    <row r="871" spans="1:11">
      <c r="A871" t="s">
        <v>4249</v>
      </c>
      <c r="B871" t="s">
        <v>3273</v>
      </c>
      <c r="C871" t="s">
        <v>2248</v>
      </c>
      <c r="D871" t="s">
        <v>3274</v>
      </c>
      <c r="E871">
        <f t="shared" si="39"/>
        <v>55.698500000000003</v>
      </c>
      <c r="H871">
        <v>75.44</v>
      </c>
      <c r="I871">
        <f t="shared" si="40"/>
        <v>55.698500000000003</v>
      </c>
      <c r="J871" t="str">
        <f t="shared" si="41"/>
        <v>Our Cost</v>
      </c>
    </row>
    <row r="872" spans="1:11">
      <c r="A872" t="s">
        <v>4250</v>
      </c>
      <c r="B872" t="s">
        <v>3275</v>
      </c>
      <c r="C872" t="s">
        <v>2248</v>
      </c>
      <c r="D872" t="s">
        <v>3276</v>
      </c>
      <c r="E872">
        <f t="shared" si="39"/>
        <v>103.246</v>
      </c>
      <c r="H872">
        <v>139.84</v>
      </c>
      <c r="I872">
        <f t="shared" si="40"/>
        <v>103.246</v>
      </c>
      <c r="J872" t="str">
        <f t="shared" si="41"/>
        <v>Our Cost</v>
      </c>
    </row>
    <row r="873" spans="1:11">
      <c r="A873" t="s">
        <v>4251</v>
      </c>
      <c r="B873" t="s">
        <v>3277</v>
      </c>
      <c r="C873" t="s">
        <v>2249</v>
      </c>
      <c r="D873" t="s">
        <v>2946</v>
      </c>
      <c r="E873">
        <f t="shared" si="39"/>
        <v>37.358750000000001</v>
      </c>
      <c r="I873">
        <f t="shared" si="40"/>
        <v>37.358750000000001</v>
      </c>
      <c r="J873" t="str">
        <f t="shared" si="41"/>
        <v>Our Cost</v>
      </c>
    </row>
    <row r="874" spans="1:11">
      <c r="A874" t="s">
        <v>4252</v>
      </c>
      <c r="B874" t="s">
        <v>3278</v>
      </c>
      <c r="C874" t="s">
        <v>2248</v>
      </c>
      <c r="D874" t="s">
        <v>3279</v>
      </c>
      <c r="E874">
        <f t="shared" si="39"/>
        <v>893.21374999999989</v>
      </c>
      <c r="I874">
        <f t="shared" si="40"/>
        <v>893.21374999999989</v>
      </c>
      <c r="J874" t="str">
        <f t="shared" si="41"/>
        <v>Our Cost</v>
      </c>
    </row>
    <row r="875" spans="1:11">
      <c r="A875" t="s">
        <v>4253</v>
      </c>
      <c r="B875" t="s">
        <v>3280</v>
      </c>
      <c r="C875" t="s">
        <v>2248</v>
      </c>
      <c r="D875" t="s">
        <v>3281</v>
      </c>
      <c r="E875">
        <f t="shared" si="39"/>
        <v>893.89299999999992</v>
      </c>
      <c r="I875">
        <f t="shared" si="40"/>
        <v>893.89299999999992</v>
      </c>
      <c r="J875" t="str">
        <f t="shared" si="41"/>
        <v>Our Cost</v>
      </c>
    </row>
    <row r="876" spans="1:11">
      <c r="A876" t="s">
        <v>4254</v>
      </c>
      <c r="B876" t="s">
        <v>3282</v>
      </c>
      <c r="C876" t="s">
        <v>2248</v>
      </c>
      <c r="D876" t="s">
        <v>3283</v>
      </c>
      <c r="E876">
        <f t="shared" si="39"/>
        <v>751.92975000000001</v>
      </c>
      <c r="I876">
        <f t="shared" si="40"/>
        <v>751.92975000000001</v>
      </c>
      <c r="J876" t="str">
        <f t="shared" si="41"/>
        <v>Our Cost</v>
      </c>
    </row>
    <row r="877" spans="1:11">
      <c r="A877" t="s">
        <v>4255</v>
      </c>
      <c r="B877" t="s">
        <v>3284</v>
      </c>
      <c r="C877" t="s">
        <v>2248</v>
      </c>
      <c r="D877" t="s">
        <v>3285</v>
      </c>
      <c r="E877">
        <f t="shared" si="39"/>
        <v>214.643</v>
      </c>
      <c r="H877">
        <v>290.72000000000003</v>
      </c>
      <c r="I877">
        <f t="shared" si="40"/>
        <v>214.643</v>
      </c>
      <c r="J877" t="str">
        <f t="shared" si="41"/>
        <v>Our Cost</v>
      </c>
    </row>
    <row r="878" spans="1:11">
      <c r="A878" t="s">
        <v>4256</v>
      </c>
      <c r="B878" t="s">
        <v>3286</v>
      </c>
      <c r="C878" t="s">
        <v>2248</v>
      </c>
      <c r="D878" t="s">
        <v>2876</v>
      </c>
      <c r="E878">
        <f t="shared" si="39"/>
        <v>30.566249999999997</v>
      </c>
      <c r="H878">
        <v>41.4</v>
      </c>
      <c r="I878">
        <f t="shared" si="40"/>
        <v>30.566249999999997</v>
      </c>
      <c r="J878" t="str">
        <f t="shared" si="41"/>
        <v>Our Cost</v>
      </c>
    </row>
    <row r="879" spans="1:11">
      <c r="A879" t="s">
        <v>4257</v>
      </c>
      <c r="B879" t="s">
        <v>3287</v>
      </c>
      <c r="C879" t="s">
        <v>2248</v>
      </c>
      <c r="D879" t="s">
        <v>3288</v>
      </c>
      <c r="E879">
        <f t="shared" si="39"/>
        <v>217.35999999999999</v>
      </c>
      <c r="I879">
        <f t="shared" si="40"/>
        <v>217.35999999999999</v>
      </c>
      <c r="J879" t="str">
        <f t="shared" si="41"/>
        <v>Our Cost</v>
      </c>
    </row>
    <row r="880" spans="1:11">
      <c r="A880" t="s">
        <v>4258</v>
      </c>
      <c r="B880" t="s">
        <v>3289</v>
      </c>
      <c r="C880" t="s">
        <v>2248</v>
      </c>
      <c r="D880" t="s">
        <v>2330</v>
      </c>
      <c r="E880">
        <f t="shared" si="39"/>
        <v>7.4717500000000001</v>
      </c>
      <c r="H880">
        <v>10.119999999999999</v>
      </c>
      <c r="I880">
        <f t="shared" si="40"/>
        <v>7.4717500000000001</v>
      </c>
      <c r="J880" t="str">
        <f t="shared" si="41"/>
        <v>Our Cost</v>
      </c>
      <c r="K880" t="s">
        <v>3395</v>
      </c>
    </row>
    <row r="881" spans="1:11">
      <c r="A881" t="s">
        <v>4259</v>
      </c>
      <c r="B881" t="s">
        <v>3289</v>
      </c>
      <c r="C881" t="s">
        <v>2248</v>
      </c>
      <c r="D881" t="s">
        <v>2303</v>
      </c>
      <c r="E881">
        <f t="shared" si="39"/>
        <v>28.528499999999998</v>
      </c>
      <c r="I881">
        <f t="shared" si="40"/>
        <v>28.528499999999998</v>
      </c>
      <c r="J881" t="str">
        <f t="shared" si="41"/>
        <v>Our Cost</v>
      </c>
    </row>
    <row r="882" spans="1:11">
      <c r="A882" t="s">
        <v>4260</v>
      </c>
      <c r="B882" t="s">
        <v>3290</v>
      </c>
      <c r="C882" t="s">
        <v>2248</v>
      </c>
      <c r="D882" t="s">
        <v>2283</v>
      </c>
      <c r="E882">
        <f t="shared" si="39"/>
        <v>3.3962499999999998</v>
      </c>
      <c r="I882">
        <f t="shared" si="40"/>
        <v>3.3962499999999998</v>
      </c>
      <c r="J882" t="str">
        <f t="shared" si="41"/>
        <v>Our Cost</v>
      </c>
    </row>
    <row r="883" spans="1:11">
      <c r="A883" t="s">
        <v>4261</v>
      </c>
      <c r="B883" t="s">
        <v>3291</v>
      </c>
      <c r="C883" t="s">
        <v>2248</v>
      </c>
      <c r="D883" t="s">
        <v>2442</v>
      </c>
      <c r="E883">
        <f t="shared" si="39"/>
        <v>5.4340000000000002</v>
      </c>
      <c r="I883">
        <f t="shared" si="40"/>
        <v>5.4340000000000002</v>
      </c>
      <c r="J883" t="str">
        <f t="shared" si="41"/>
        <v>Our Cost</v>
      </c>
    </row>
    <row r="884" spans="1:11">
      <c r="A884" t="s">
        <v>4262</v>
      </c>
      <c r="B884" t="s">
        <v>3292</v>
      </c>
      <c r="C884" t="s">
        <v>2248</v>
      </c>
      <c r="D884" t="s">
        <v>2322</v>
      </c>
      <c r="E884">
        <f t="shared" si="39"/>
        <v>2.7170000000000001</v>
      </c>
      <c r="I884">
        <f t="shared" si="40"/>
        <v>2.7170000000000001</v>
      </c>
      <c r="J884" t="str">
        <f t="shared" si="41"/>
        <v>Our Cost</v>
      </c>
    </row>
    <row r="885" spans="1:11">
      <c r="A885" t="s">
        <v>4263</v>
      </c>
      <c r="B885" t="s">
        <v>3293</v>
      </c>
      <c r="C885" t="s">
        <v>2248</v>
      </c>
      <c r="D885" t="s">
        <v>2258</v>
      </c>
      <c r="E885">
        <f t="shared" si="39"/>
        <v>2.03775</v>
      </c>
      <c r="I885">
        <f t="shared" si="40"/>
        <v>2.03775</v>
      </c>
      <c r="J885" t="str">
        <f t="shared" si="41"/>
        <v>Our Cost</v>
      </c>
    </row>
    <row r="886" spans="1:11">
      <c r="A886" t="s">
        <v>4264</v>
      </c>
      <c r="B886" t="s">
        <v>3294</v>
      </c>
      <c r="C886" t="s">
        <v>2248</v>
      </c>
      <c r="D886" t="s">
        <v>2258</v>
      </c>
      <c r="E886">
        <f t="shared" si="39"/>
        <v>2.03775</v>
      </c>
      <c r="I886">
        <f t="shared" si="40"/>
        <v>2.03775</v>
      </c>
      <c r="J886" t="str">
        <f t="shared" si="41"/>
        <v>Our Cost</v>
      </c>
    </row>
    <row r="887" spans="1:11">
      <c r="A887" t="s">
        <v>4265</v>
      </c>
      <c r="B887" t="s">
        <v>3295</v>
      </c>
      <c r="C887" t="s">
        <v>2248</v>
      </c>
      <c r="D887" t="s">
        <v>3296</v>
      </c>
      <c r="E887">
        <f t="shared" si="39"/>
        <v>508.07899999999995</v>
      </c>
      <c r="H887">
        <v>688.16</v>
      </c>
      <c r="I887">
        <f t="shared" si="40"/>
        <v>508.07899999999995</v>
      </c>
      <c r="J887" t="str">
        <f t="shared" si="41"/>
        <v>Our Cost</v>
      </c>
    </row>
    <row r="888" spans="1:11">
      <c r="A888" t="s">
        <v>4266</v>
      </c>
      <c r="B888" t="s">
        <v>3297</v>
      </c>
      <c r="C888" t="s">
        <v>2248</v>
      </c>
      <c r="D888" t="s">
        <v>3298</v>
      </c>
      <c r="E888">
        <f t="shared" si="39"/>
        <v>1949.4474999999998</v>
      </c>
      <c r="I888">
        <f t="shared" si="40"/>
        <v>1949.4474999999998</v>
      </c>
      <c r="J888" t="str">
        <f t="shared" si="41"/>
        <v>Our Cost</v>
      </c>
      <c r="K888" t="s">
        <v>3394</v>
      </c>
    </row>
    <row r="889" spans="1:11">
      <c r="A889" t="s">
        <v>4267</v>
      </c>
      <c r="B889" t="s">
        <v>3299</v>
      </c>
      <c r="C889" t="s">
        <v>2248</v>
      </c>
      <c r="D889" t="s">
        <v>3300</v>
      </c>
      <c r="E889">
        <f t="shared" si="39"/>
        <v>311.77575000000002</v>
      </c>
      <c r="G889">
        <v>338.3</v>
      </c>
      <c r="H889">
        <v>422.28</v>
      </c>
      <c r="I889">
        <f t="shared" si="40"/>
        <v>311.77575000000002</v>
      </c>
      <c r="J889" t="str">
        <f t="shared" si="41"/>
        <v>Our Cost</v>
      </c>
      <c r="K889" t="s">
        <v>3394</v>
      </c>
    </row>
    <row r="890" spans="1:11">
      <c r="A890" t="s">
        <v>4268</v>
      </c>
      <c r="B890" t="s">
        <v>3301</v>
      </c>
      <c r="C890" t="s">
        <v>2248</v>
      </c>
      <c r="D890" t="s">
        <v>2322</v>
      </c>
      <c r="E890">
        <f t="shared" si="39"/>
        <v>2.7170000000000001</v>
      </c>
      <c r="I890">
        <f t="shared" si="40"/>
        <v>2.7170000000000001</v>
      </c>
      <c r="J890" t="str">
        <f t="shared" si="41"/>
        <v>Our Cost</v>
      </c>
    </row>
    <row r="891" spans="1:11">
      <c r="A891" t="s">
        <v>4269</v>
      </c>
      <c r="B891" t="s">
        <v>3302</v>
      </c>
      <c r="C891" t="s">
        <v>2248</v>
      </c>
      <c r="D891" t="s">
        <v>2322</v>
      </c>
      <c r="E891">
        <f t="shared" si="39"/>
        <v>2.7170000000000001</v>
      </c>
      <c r="I891">
        <f t="shared" si="40"/>
        <v>2.7170000000000001</v>
      </c>
      <c r="J891" t="str">
        <f t="shared" si="41"/>
        <v>Our Cost</v>
      </c>
    </row>
    <row r="892" spans="1:11">
      <c r="A892" t="s">
        <v>4270</v>
      </c>
      <c r="B892" t="s">
        <v>3303</v>
      </c>
      <c r="C892" t="s">
        <v>2248</v>
      </c>
      <c r="D892" t="s">
        <v>2703</v>
      </c>
      <c r="E892">
        <f t="shared" si="39"/>
        <v>20.377499999999998</v>
      </c>
      <c r="H892">
        <v>27.6</v>
      </c>
      <c r="I892">
        <f t="shared" si="40"/>
        <v>20.377499999999998</v>
      </c>
      <c r="J892" t="str">
        <f t="shared" si="41"/>
        <v>Our Cost</v>
      </c>
    </row>
    <row r="893" spans="1:11">
      <c r="A893" t="s">
        <v>4271</v>
      </c>
      <c r="B893" t="s">
        <v>3304</v>
      </c>
      <c r="C893" t="s">
        <v>2248</v>
      </c>
      <c r="D893" t="s">
        <v>2257</v>
      </c>
      <c r="E893">
        <f t="shared" si="39"/>
        <v>4.7547499999999996</v>
      </c>
      <c r="I893">
        <f t="shared" si="40"/>
        <v>4.7547499999999996</v>
      </c>
      <c r="J893" t="str">
        <f t="shared" si="41"/>
        <v>Our Cost</v>
      </c>
    </row>
    <row r="894" spans="1:11">
      <c r="A894" t="s">
        <v>4272</v>
      </c>
      <c r="B894" t="s">
        <v>3305</v>
      </c>
      <c r="C894" t="s">
        <v>2248</v>
      </c>
      <c r="D894" t="s">
        <v>2283</v>
      </c>
      <c r="E894">
        <f t="shared" si="39"/>
        <v>3.3962499999999998</v>
      </c>
      <c r="I894">
        <f t="shared" si="40"/>
        <v>3.3962499999999998</v>
      </c>
      <c r="J894" t="str">
        <f t="shared" si="41"/>
        <v>Our Cost</v>
      </c>
    </row>
    <row r="895" spans="1:11">
      <c r="A895" t="s">
        <v>4273</v>
      </c>
      <c r="B895" t="s">
        <v>3306</v>
      </c>
      <c r="C895" t="s">
        <v>2249</v>
      </c>
      <c r="D895" t="s">
        <v>2314</v>
      </c>
      <c r="E895">
        <f t="shared" si="39"/>
        <v>1.3585</v>
      </c>
      <c r="I895">
        <f t="shared" si="40"/>
        <v>1.3585</v>
      </c>
      <c r="J895" t="str">
        <f t="shared" si="41"/>
        <v>Our Cost</v>
      </c>
    </row>
    <row r="896" spans="1:11">
      <c r="A896" t="s">
        <v>4274</v>
      </c>
      <c r="B896" t="s">
        <v>3307</v>
      </c>
      <c r="C896" t="s">
        <v>2248</v>
      </c>
      <c r="D896" t="s">
        <v>3308</v>
      </c>
      <c r="E896">
        <f t="shared" si="39"/>
        <v>492.45624999999995</v>
      </c>
      <c r="I896">
        <f t="shared" si="40"/>
        <v>492.45624999999995</v>
      </c>
      <c r="J896" t="str">
        <f t="shared" si="41"/>
        <v>Our Cost</v>
      </c>
    </row>
    <row r="897" spans="1:11">
      <c r="A897" t="s">
        <v>4275</v>
      </c>
      <c r="B897" t="s">
        <v>3307</v>
      </c>
      <c r="C897" t="s">
        <v>2248</v>
      </c>
      <c r="D897" t="s">
        <v>3309</v>
      </c>
      <c r="E897">
        <f t="shared" si="39"/>
        <v>508.75824999999998</v>
      </c>
      <c r="I897">
        <f t="shared" si="40"/>
        <v>508.75824999999998</v>
      </c>
      <c r="J897" t="str">
        <f t="shared" si="41"/>
        <v>Our Cost</v>
      </c>
    </row>
    <row r="898" spans="1:11">
      <c r="A898" t="s">
        <v>4276</v>
      </c>
      <c r="B898" t="s">
        <v>3310</v>
      </c>
      <c r="C898" t="s">
        <v>2248</v>
      </c>
      <c r="D898" t="s">
        <v>3311</v>
      </c>
      <c r="E898">
        <f t="shared" si="39"/>
        <v>620.83449999999993</v>
      </c>
      <c r="I898">
        <f t="shared" si="40"/>
        <v>620.83449999999993</v>
      </c>
      <c r="J898" t="str">
        <f t="shared" si="41"/>
        <v>Our Cost</v>
      </c>
    </row>
    <row r="899" spans="1:11">
      <c r="A899" t="s">
        <v>4277</v>
      </c>
      <c r="B899" t="s">
        <v>3310</v>
      </c>
      <c r="C899" t="s">
        <v>2248</v>
      </c>
      <c r="D899" t="s">
        <v>3312</v>
      </c>
      <c r="E899">
        <f t="shared" ref="E899:E962" si="42">+D899*0.65*1.045</f>
        <v>650.04225000000008</v>
      </c>
      <c r="I899">
        <f t="shared" ref="I899:I962" si="43">+MIN(E899:H899)</f>
        <v>650.04225000000008</v>
      </c>
      <c r="J899" t="str">
        <f t="shared" ref="J899:J962" si="44">+_xlfn.SINGLE(_xlfn.XLOOKUP(I899,E899:H899,$E$1:$H$1))</f>
        <v>Our Cost</v>
      </c>
    </row>
    <row r="900" spans="1:11">
      <c r="A900" t="s">
        <v>4278</v>
      </c>
      <c r="B900" t="s">
        <v>3313</v>
      </c>
      <c r="C900" t="s">
        <v>2248</v>
      </c>
      <c r="D900" t="s">
        <v>3314</v>
      </c>
      <c r="E900">
        <f t="shared" si="42"/>
        <v>1107.1775</v>
      </c>
      <c r="I900">
        <f t="shared" si="43"/>
        <v>1107.1775</v>
      </c>
      <c r="J900" t="str">
        <f t="shared" si="44"/>
        <v>Our Cost</v>
      </c>
    </row>
    <row r="901" spans="1:11">
      <c r="A901" t="s">
        <v>4279</v>
      </c>
      <c r="B901" t="s">
        <v>3313</v>
      </c>
      <c r="C901" t="s">
        <v>2248</v>
      </c>
      <c r="D901" t="s">
        <v>3315</v>
      </c>
      <c r="E901">
        <f t="shared" si="42"/>
        <v>1130.9512499999998</v>
      </c>
      <c r="I901">
        <f t="shared" si="43"/>
        <v>1130.9512499999998</v>
      </c>
      <c r="J901" t="str">
        <f t="shared" si="44"/>
        <v>Our Cost</v>
      </c>
    </row>
    <row r="902" spans="1:11">
      <c r="A902" t="s">
        <v>4280</v>
      </c>
      <c r="B902" t="s">
        <v>3316</v>
      </c>
      <c r="C902" t="s">
        <v>2248</v>
      </c>
      <c r="D902" t="s">
        <v>3317</v>
      </c>
      <c r="E902">
        <f t="shared" si="42"/>
        <v>257.43574999999998</v>
      </c>
      <c r="I902">
        <f t="shared" si="43"/>
        <v>257.43574999999998</v>
      </c>
      <c r="J902" t="str">
        <f t="shared" si="44"/>
        <v>Our Cost</v>
      </c>
    </row>
    <row r="903" spans="1:11">
      <c r="A903" t="s">
        <v>4281</v>
      </c>
      <c r="B903" t="s">
        <v>3316</v>
      </c>
      <c r="C903" t="s">
        <v>2248</v>
      </c>
      <c r="D903" t="s">
        <v>3318</v>
      </c>
      <c r="E903">
        <f t="shared" si="42"/>
        <v>282.56800000000004</v>
      </c>
      <c r="I903">
        <f t="shared" si="43"/>
        <v>282.56800000000004</v>
      </c>
      <c r="J903" t="str">
        <f t="shared" si="44"/>
        <v>Our Cost</v>
      </c>
    </row>
    <row r="904" spans="1:11">
      <c r="A904" t="s">
        <v>4282</v>
      </c>
      <c r="B904" t="s">
        <v>3319</v>
      </c>
      <c r="C904" t="s">
        <v>3256</v>
      </c>
      <c r="D904" t="s">
        <v>3318</v>
      </c>
      <c r="E904">
        <f t="shared" si="42"/>
        <v>282.56800000000004</v>
      </c>
      <c r="I904">
        <f t="shared" si="43"/>
        <v>282.56800000000004</v>
      </c>
      <c r="J904" t="str">
        <f t="shared" si="44"/>
        <v>Our Cost</v>
      </c>
    </row>
    <row r="905" spans="1:11">
      <c r="A905" t="s">
        <v>4283</v>
      </c>
      <c r="B905" t="s">
        <v>3320</v>
      </c>
      <c r="C905" t="s">
        <v>2248</v>
      </c>
      <c r="D905" t="s">
        <v>3321</v>
      </c>
      <c r="E905">
        <f t="shared" si="42"/>
        <v>312.45499999999998</v>
      </c>
      <c r="I905">
        <f t="shared" si="43"/>
        <v>312.45499999999998</v>
      </c>
      <c r="J905" t="str">
        <f t="shared" si="44"/>
        <v>Our Cost</v>
      </c>
    </row>
    <row r="906" spans="1:11">
      <c r="A906" t="s">
        <v>4284</v>
      </c>
      <c r="B906" t="s">
        <v>3320</v>
      </c>
      <c r="C906" t="s">
        <v>2248</v>
      </c>
      <c r="D906" t="s">
        <v>3322</v>
      </c>
      <c r="E906">
        <f t="shared" si="42"/>
        <v>448.30499999999995</v>
      </c>
      <c r="I906">
        <f t="shared" si="43"/>
        <v>448.30499999999995</v>
      </c>
      <c r="J906" t="str">
        <f t="shared" si="44"/>
        <v>Our Cost</v>
      </c>
    </row>
    <row r="907" spans="1:11">
      <c r="A907" t="s">
        <v>4285</v>
      </c>
      <c r="B907" t="s">
        <v>3323</v>
      </c>
      <c r="C907" t="s">
        <v>2248</v>
      </c>
      <c r="D907" t="s">
        <v>3324</v>
      </c>
      <c r="E907">
        <f t="shared" si="42"/>
        <v>402.79524999999995</v>
      </c>
      <c r="I907">
        <f t="shared" si="43"/>
        <v>402.79524999999995</v>
      </c>
      <c r="J907" t="str">
        <f t="shared" si="44"/>
        <v>Our Cost</v>
      </c>
    </row>
    <row r="908" spans="1:11">
      <c r="A908" t="s">
        <v>4286</v>
      </c>
      <c r="B908" t="s">
        <v>3323</v>
      </c>
      <c r="C908" t="s">
        <v>2248</v>
      </c>
      <c r="D908" t="s">
        <v>3324</v>
      </c>
      <c r="E908">
        <f t="shared" si="42"/>
        <v>402.79524999999995</v>
      </c>
      <c r="I908">
        <f t="shared" si="43"/>
        <v>402.79524999999995</v>
      </c>
      <c r="J908" t="str">
        <f t="shared" si="44"/>
        <v>Our Cost</v>
      </c>
    </row>
    <row r="909" spans="1:11">
      <c r="A909" t="s">
        <v>4287</v>
      </c>
      <c r="B909" t="s">
        <v>3325</v>
      </c>
      <c r="C909" t="s">
        <v>2248</v>
      </c>
      <c r="D909" t="s">
        <v>3326</v>
      </c>
      <c r="E909">
        <f t="shared" si="42"/>
        <v>599.77774999999997</v>
      </c>
      <c r="I909">
        <f t="shared" si="43"/>
        <v>599.77774999999997</v>
      </c>
      <c r="J909" t="str">
        <f t="shared" si="44"/>
        <v>Our Cost</v>
      </c>
    </row>
    <row r="910" spans="1:11">
      <c r="A910" t="s">
        <v>4288</v>
      </c>
      <c r="B910" t="s">
        <v>3327</v>
      </c>
      <c r="C910" t="s">
        <v>2248</v>
      </c>
      <c r="D910" t="s">
        <v>3328</v>
      </c>
      <c r="E910">
        <f t="shared" si="42"/>
        <v>327.39850000000001</v>
      </c>
      <c r="H910">
        <v>443.44</v>
      </c>
      <c r="I910">
        <f t="shared" si="43"/>
        <v>327.39850000000001</v>
      </c>
      <c r="J910" t="str">
        <f t="shared" si="44"/>
        <v>Our Cost</v>
      </c>
    </row>
    <row r="911" spans="1:11">
      <c r="A911" t="s">
        <v>4289</v>
      </c>
      <c r="B911" t="s">
        <v>3329</v>
      </c>
      <c r="C911" t="s">
        <v>2248</v>
      </c>
      <c r="D911" t="s">
        <v>2650</v>
      </c>
      <c r="E911">
        <f t="shared" si="42"/>
        <v>270.3415</v>
      </c>
      <c r="G911">
        <v>362</v>
      </c>
      <c r="I911">
        <f t="shared" si="43"/>
        <v>270.3415</v>
      </c>
      <c r="J911" t="str">
        <f t="shared" si="44"/>
        <v>Our Cost</v>
      </c>
    </row>
    <row r="912" spans="1:11">
      <c r="A912" t="s">
        <v>4290</v>
      </c>
      <c r="B912" t="s">
        <v>3330</v>
      </c>
      <c r="C912" t="s">
        <v>2248</v>
      </c>
      <c r="D912" t="s">
        <v>3331</v>
      </c>
      <c r="E912">
        <f t="shared" si="42"/>
        <v>112.07624999999999</v>
      </c>
      <c r="H912">
        <v>151.80000000000001</v>
      </c>
      <c r="I912">
        <f t="shared" si="43"/>
        <v>112.07624999999999</v>
      </c>
      <c r="J912" t="str">
        <f t="shared" si="44"/>
        <v>Our Cost</v>
      </c>
      <c r="K912" t="s">
        <v>3395</v>
      </c>
    </row>
    <row r="913" spans="1:11">
      <c r="A913" t="s">
        <v>4291</v>
      </c>
      <c r="B913" t="s">
        <v>3332</v>
      </c>
      <c r="C913" t="s">
        <v>2248</v>
      </c>
      <c r="D913" t="s">
        <v>2514</v>
      </c>
      <c r="E913">
        <f t="shared" si="42"/>
        <v>44.151249999999997</v>
      </c>
      <c r="H913">
        <v>71.66</v>
      </c>
      <c r="I913">
        <f t="shared" si="43"/>
        <v>44.151249999999997</v>
      </c>
      <c r="J913" t="str">
        <f t="shared" si="44"/>
        <v>Our Cost</v>
      </c>
      <c r="K913" t="s">
        <v>3395</v>
      </c>
    </row>
    <row r="914" spans="1:11">
      <c r="A914" t="s">
        <v>2244</v>
      </c>
      <c r="B914" t="s">
        <v>2245</v>
      </c>
      <c r="C914" t="s">
        <v>2248</v>
      </c>
      <c r="D914" t="s">
        <v>2780</v>
      </c>
      <c r="E914">
        <f t="shared" si="42"/>
        <v>19.018999999999998</v>
      </c>
      <c r="I914">
        <f t="shared" si="43"/>
        <v>19.018999999999998</v>
      </c>
      <c r="J914" t="str">
        <f t="shared" si="44"/>
        <v>Our Cost</v>
      </c>
    </row>
    <row r="915" spans="1:11">
      <c r="A915" t="s">
        <v>4292</v>
      </c>
      <c r="B915" t="s">
        <v>3333</v>
      </c>
      <c r="C915" t="s">
        <v>3048</v>
      </c>
      <c r="D915" t="s">
        <v>2477</v>
      </c>
      <c r="E915">
        <f t="shared" si="42"/>
        <v>52.302250000000001</v>
      </c>
      <c r="I915">
        <f t="shared" si="43"/>
        <v>52.302250000000001</v>
      </c>
      <c r="J915" t="str">
        <f t="shared" si="44"/>
        <v>Our Cost</v>
      </c>
    </row>
    <row r="916" spans="1:11">
      <c r="A916" t="s">
        <v>4293</v>
      </c>
      <c r="B916" t="s">
        <v>3334</v>
      </c>
      <c r="C916" t="s">
        <v>2248</v>
      </c>
      <c r="D916" t="s">
        <v>2284</v>
      </c>
      <c r="E916">
        <f t="shared" si="42"/>
        <v>0.67925000000000002</v>
      </c>
      <c r="I916">
        <f t="shared" si="43"/>
        <v>0.67925000000000002</v>
      </c>
      <c r="J916" t="str">
        <f t="shared" si="44"/>
        <v>Our Cost</v>
      </c>
    </row>
    <row r="917" spans="1:11">
      <c r="A917" t="s">
        <v>4294</v>
      </c>
      <c r="B917" t="s">
        <v>3335</v>
      </c>
      <c r="C917" t="s">
        <v>2248</v>
      </c>
      <c r="D917" t="s">
        <v>2257</v>
      </c>
      <c r="E917">
        <f t="shared" si="42"/>
        <v>4.7547499999999996</v>
      </c>
      <c r="H917">
        <v>6.44</v>
      </c>
      <c r="I917">
        <f t="shared" si="43"/>
        <v>4.7547499999999996</v>
      </c>
      <c r="J917" t="str">
        <f t="shared" si="44"/>
        <v>Our Cost</v>
      </c>
    </row>
    <row r="918" spans="1:11">
      <c r="A918" t="s">
        <v>4295</v>
      </c>
      <c r="B918" t="s">
        <v>3336</v>
      </c>
      <c r="C918" t="s">
        <v>2248</v>
      </c>
      <c r="D918" t="s">
        <v>2284</v>
      </c>
      <c r="E918">
        <f t="shared" si="42"/>
        <v>0.67925000000000002</v>
      </c>
      <c r="I918">
        <f t="shared" si="43"/>
        <v>0.67925000000000002</v>
      </c>
      <c r="J918" t="str">
        <f t="shared" si="44"/>
        <v>Our Cost</v>
      </c>
    </row>
    <row r="919" spans="1:11">
      <c r="A919" t="s">
        <v>4296</v>
      </c>
      <c r="B919" t="s">
        <v>3337</v>
      </c>
      <c r="C919" t="s">
        <v>2248</v>
      </c>
      <c r="D919" t="s">
        <v>2258</v>
      </c>
      <c r="E919">
        <f t="shared" si="42"/>
        <v>2.03775</v>
      </c>
      <c r="I919">
        <f t="shared" si="43"/>
        <v>2.03775</v>
      </c>
      <c r="J919" t="str">
        <f t="shared" si="44"/>
        <v>Our Cost</v>
      </c>
    </row>
    <row r="920" spans="1:11">
      <c r="A920" t="s">
        <v>4297</v>
      </c>
      <c r="B920" t="s">
        <v>3338</v>
      </c>
      <c r="C920" t="s">
        <v>2248</v>
      </c>
      <c r="D920" t="s">
        <v>2314</v>
      </c>
      <c r="E920">
        <f t="shared" si="42"/>
        <v>1.3585</v>
      </c>
      <c r="I920">
        <f t="shared" si="43"/>
        <v>1.3585</v>
      </c>
      <c r="J920" t="str">
        <f t="shared" si="44"/>
        <v>Our Cost</v>
      </c>
    </row>
    <row r="921" spans="1:11">
      <c r="A921" t="s">
        <v>4298</v>
      </c>
      <c r="B921" t="s">
        <v>3339</v>
      </c>
      <c r="C921" t="s">
        <v>2248</v>
      </c>
      <c r="D921" t="s">
        <v>2314</v>
      </c>
      <c r="E921">
        <f t="shared" si="42"/>
        <v>1.3585</v>
      </c>
      <c r="I921">
        <f t="shared" si="43"/>
        <v>1.3585</v>
      </c>
      <c r="J921" t="str">
        <f t="shared" si="44"/>
        <v>Our Cost</v>
      </c>
    </row>
    <row r="922" spans="1:11">
      <c r="A922" t="s">
        <v>4299</v>
      </c>
      <c r="B922" t="s">
        <v>3340</v>
      </c>
      <c r="C922" t="s">
        <v>2248</v>
      </c>
      <c r="D922" t="s">
        <v>2277</v>
      </c>
      <c r="E922">
        <f t="shared" si="42"/>
        <v>11.54725</v>
      </c>
      <c r="I922">
        <f t="shared" si="43"/>
        <v>11.54725</v>
      </c>
      <c r="J922" t="str">
        <f t="shared" si="44"/>
        <v>Our Cost</v>
      </c>
    </row>
    <row r="923" spans="1:11">
      <c r="A923" t="s">
        <v>4300</v>
      </c>
      <c r="B923" t="s">
        <v>3341</v>
      </c>
      <c r="C923" t="s">
        <v>2249</v>
      </c>
      <c r="D923" t="s">
        <v>2442</v>
      </c>
      <c r="E923">
        <f t="shared" si="42"/>
        <v>5.4340000000000002</v>
      </c>
      <c r="I923">
        <f t="shared" si="43"/>
        <v>5.4340000000000002</v>
      </c>
      <c r="J923" t="str">
        <f t="shared" si="44"/>
        <v>Our Cost</v>
      </c>
    </row>
    <row r="924" spans="1:11">
      <c r="A924" t="s">
        <v>4301</v>
      </c>
      <c r="B924" t="s">
        <v>3342</v>
      </c>
      <c r="C924" t="s">
        <v>3048</v>
      </c>
      <c r="D924" t="s">
        <v>2557</v>
      </c>
      <c r="E924">
        <f t="shared" si="42"/>
        <v>40.075749999999999</v>
      </c>
      <c r="I924">
        <f t="shared" si="43"/>
        <v>40.075749999999999</v>
      </c>
      <c r="J924" t="str">
        <f t="shared" si="44"/>
        <v>Our Cost</v>
      </c>
    </row>
    <row r="925" spans="1:11">
      <c r="A925" t="s">
        <v>4302</v>
      </c>
      <c r="B925" t="s">
        <v>3343</v>
      </c>
      <c r="C925" t="s">
        <v>2248</v>
      </c>
      <c r="D925" t="s">
        <v>2259</v>
      </c>
      <c r="E925">
        <f t="shared" si="42"/>
        <v>23.77375</v>
      </c>
      <c r="I925">
        <f t="shared" si="43"/>
        <v>23.77375</v>
      </c>
      <c r="J925" t="str">
        <f t="shared" si="44"/>
        <v>Our Cost</v>
      </c>
    </row>
    <row r="926" spans="1:11">
      <c r="A926" t="s">
        <v>4303</v>
      </c>
      <c r="B926" t="s">
        <v>3344</v>
      </c>
      <c r="C926" t="s">
        <v>2248</v>
      </c>
      <c r="D926" t="s">
        <v>3345</v>
      </c>
      <c r="E926">
        <f t="shared" si="42"/>
        <v>18.339749999999999</v>
      </c>
      <c r="I926">
        <f t="shared" si="43"/>
        <v>18.339749999999999</v>
      </c>
      <c r="J926" t="str">
        <f t="shared" si="44"/>
        <v>Our Cost</v>
      </c>
    </row>
    <row r="927" spans="1:11">
      <c r="A927" t="s">
        <v>4304</v>
      </c>
      <c r="B927" t="s">
        <v>3346</v>
      </c>
      <c r="C927" t="s">
        <v>2248</v>
      </c>
      <c r="D927" t="s">
        <v>2687</v>
      </c>
      <c r="E927">
        <f t="shared" si="42"/>
        <v>21.056750000000001</v>
      </c>
      <c r="I927">
        <f t="shared" si="43"/>
        <v>21.056750000000001</v>
      </c>
      <c r="J927" t="str">
        <f t="shared" si="44"/>
        <v>Our Cost</v>
      </c>
    </row>
    <row r="928" spans="1:11">
      <c r="A928" t="s">
        <v>4305</v>
      </c>
      <c r="B928" t="s">
        <v>3347</v>
      </c>
      <c r="C928" t="s">
        <v>2248</v>
      </c>
      <c r="D928" t="s">
        <v>2946</v>
      </c>
      <c r="E928">
        <f t="shared" si="42"/>
        <v>37.358750000000001</v>
      </c>
      <c r="I928">
        <f t="shared" si="43"/>
        <v>37.358750000000001</v>
      </c>
      <c r="J928" t="str">
        <f t="shared" si="44"/>
        <v>Our Cost</v>
      </c>
    </row>
    <row r="929" spans="1:11">
      <c r="A929" t="s">
        <v>4306</v>
      </c>
      <c r="B929" t="s">
        <v>3348</v>
      </c>
      <c r="C929" t="s">
        <v>2248</v>
      </c>
      <c r="D929" t="s">
        <v>2703</v>
      </c>
      <c r="E929">
        <f t="shared" si="42"/>
        <v>20.377499999999998</v>
      </c>
      <c r="I929">
        <f t="shared" si="43"/>
        <v>20.377499999999998</v>
      </c>
      <c r="J929" t="str">
        <f t="shared" si="44"/>
        <v>Our Cost</v>
      </c>
    </row>
    <row r="930" spans="1:11">
      <c r="A930" t="s">
        <v>4307</v>
      </c>
      <c r="B930" t="s">
        <v>3349</v>
      </c>
      <c r="C930" t="s">
        <v>2248</v>
      </c>
      <c r="D930" t="s">
        <v>3345</v>
      </c>
      <c r="E930">
        <f t="shared" si="42"/>
        <v>18.339749999999999</v>
      </c>
      <c r="I930">
        <f t="shared" si="43"/>
        <v>18.339749999999999</v>
      </c>
      <c r="J930" t="str">
        <f t="shared" si="44"/>
        <v>Our Cost</v>
      </c>
    </row>
    <row r="931" spans="1:11">
      <c r="A931" t="s">
        <v>4308</v>
      </c>
      <c r="B931" t="s">
        <v>3350</v>
      </c>
      <c r="C931" t="s">
        <v>2248</v>
      </c>
      <c r="D931" t="s">
        <v>3345</v>
      </c>
      <c r="E931">
        <f t="shared" si="42"/>
        <v>18.339749999999999</v>
      </c>
      <c r="I931">
        <f t="shared" si="43"/>
        <v>18.339749999999999</v>
      </c>
      <c r="J931" t="str">
        <f t="shared" si="44"/>
        <v>Our Cost</v>
      </c>
    </row>
    <row r="932" spans="1:11">
      <c r="A932" t="s">
        <v>4309</v>
      </c>
      <c r="B932" t="s">
        <v>3351</v>
      </c>
      <c r="C932" t="s">
        <v>2248</v>
      </c>
      <c r="D932" t="s">
        <v>3345</v>
      </c>
      <c r="E932">
        <f t="shared" si="42"/>
        <v>18.339749999999999</v>
      </c>
      <c r="I932">
        <f t="shared" si="43"/>
        <v>18.339749999999999</v>
      </c>
      <c r="J932" t="str">
        <f t="shared" si="44"/>
        <v>Our Cost</v>
      </c>
    </row>
    <row r="933" spans="1:11">
      <c r="A933" t="s">
        <v>4310</v>
      </c>
      <c r="B933" t="s">
        <v>3352</v>
      </c>
      <c r="C933" t="s">
        <v>2248</v>
      </c>
      <c r="D933" t="s">
        <v>3345</v>
      </c>
      <c r="E933">
        <f t="shared" si="42"/>
        <v>18.339749999999999</v>
      </c>
      <c r="I933">
        <f t="shared" si="43"/>
        <v>18.339749999999999</v>
      </c>
      <c r="J933" t="str">
        <f t="shared" si="44"/>
        <v>Our Cost</v>
      </c>
    </row>
    <row r="934" spans="1:11">
      <c r="A934" t="s">
        <v>4311</v>
      </c>
      <c r="B934" t="s">
        <v>3344</v>
      </c>
      <c r="C934" t="s">
        <v>2248</v>
      </c>
      <c r="D934" t="s">
        <v>3345</v>
      </c>
      <c r="E934">
        <f t="shared" si="42"/>
        <v>18.339749999999999</v>
      </c>
      <c r="I934">
        <f t="shared" si="43"/>
        <v>18.339749999999999</v>
      </c>
      <c r="J934" t="str">
        <f t="shared" si="44"/>
        <v>Our Cost</v>
      </c>
    </row>
    <row r="935" spans="1:11">
      <c r="A935" t="s">
        <v>4312</v>
      </c>
      <c r="B935" t="s">
        <v>3353</v>
      </c>
      <c r="C935" t="s">
        <v>2248</v>
      </c>
      <c r="D935" t="s">
        <v>2257</v>
      </c>
      <c r="E935">
        <f t="shared" si="42"/>
        <v>4.7547499999999996</v>
      </c>
      <c r="I935">
        <f t="shared" si="43"/>
        <v>4.7547499999999996</v>
      </c>
      <c r="J935" t="str">
        <f t="shared" si="44"/>
        <v>Our Cost</v>
      </c>
    </row>
    <row r="936" spans="1:11">
      <c r="A936" t="s">
        <v>4313</v>
      </c>
      <c r="B936" t="s">
        <v>3354</v>
      </c>
      <c r="C936" t="s">
        <v>3048</v>
      </c>
      <c r="D936" t="s">
        <v>2477</v>
      </c>
      <c r="E936">
        <f t="shared" si="42"/>
        <v>52.302250000000001</v>
      </c>
      <c r="H936">
        <v>44.28</v>
      </c>
      <c r="I936">
        <f t="shared" si="43"/>
        <v>44.28</v>
      </c>
      <c r="J936" t="str">
        <f t="shared" si="44"/>
        <v>DC</v>
      </c>
    </row>
    <row r="937" spans="1:11">
      <c r="A937" t="s">
        <v>4314</v>
      </c>
      <c r="B937" t="s">
        <v>3355</v>
      </c>
      <c r="C937" t="s">
        <v>3048</v>
      </c>
      <c r="D937" t="s">
        <v>2477</v>
      </c>
      <c r="E937">
        <f t="shared" si="42"/>
        <v>52.302250000000001</v>
      </c>
      <c r="I937">
        <f t="shared" si="43"/>
        <v>52.302250000000001</v>
      </c>
      <c r="J937" t="str">
        <f t="shared" si="44"/>
        <v>Our Cost</v>
      </c>
    </row>
    <row r="938" spans="1:11">
      <c r="A938" t="s">
        <v>4315</v>
      </c>
      <c r="B938" t="s">
        <v>3356</v>
      </c>
      <c r="C938" t="s">
        <v>2249</v>
      </c>
      <c r="D938" t="s">
        <v>2314</v>
      </c>
      <c r="E938">
        <f t="shared" si="42"/>
        <v>1.3585</v>
      </c>
      <c r="G938">
        <v>0.81</v>
      </c>
      <c r="H938">
        <v>1.83</v>
      </c>
      <c r="I938">
        <f t="shared" si="43"/>
        <v>0.81</v>
      </c>
      <c r="J938" t="str">
        <f t="shared" si="44"/>
        <v>Addison</v>
      </c>
      <c r="K938" t="s">
        <v>3394</v>
      </c>
    </row>
    <row r="939" spans="1:11">
      <c r="A939" t="s">
        <v>4316</v>
      </c>
      <c r="B939" t="s">
        <v>3357</v>
      </c>
      <c r="C939" t="s">
        <v>2249</v>
      </c>
      <c r="D939" t="s">
        <v>2258</v>
      </c>
      <c r="E939">
        <f t="shared" si="42"/>
        <v>2.03775</v>
      </c>
      <c r="I939">
        <f t="shared" si="43"/>
        <v>2.03775</v>
      </c>
      <c r="J939" t="str">
        <f t="shared" si="44"/>
        <v>Our Cost</v>
      </c>
    </row>
    <row r="940" spans="1:11">
      <c r="A940" t="s">
        <v>4317</v>
      </c>
      <c r="B940" t="s">
        <v>3358</v>
      </c>
      <c r="C940" t="s">
        <v>2248</v>
      </c>
      <c r="D940" t="s">
        <v>2257</v>
      </c>
      <c r="E940">
        <f t="shared" si="42"/>
        <v>4.7547499999999996</v>
      </c>
      <c r="H940">
        <v>29.86</v>
      </c>
      <c r="I940">
        <f t="shared" si="43"/>
        <v>4.7547499999999996</v>
      </c>
      <c r="J940" t="str">
        <f t="shared" si="44"/>
        <v>Our Cost</v>
      </c>
    </row>
    <row r="941" spans="1:11">
      <c r="A941" t="s">
        <v>4318</v>
      </c>
      <c r="B941" t="s">
        <v>3359</v>
      </c>
      <c r="C941" t="s">
        <v>2248</v>
      </c>
      <c r="D941" t="s">
        <v>3360</v>
      </c>
      <c r="E941">
        <f t="shared" si="42"/>
        <v>74.717500000000001</v>
      </c>
      <c r="I941">
        <f t="shared" si="43"/>
        <v>74.717500000000001</v>
      </c>
      <c r="J941" t="str">
        <f t="shared" si="44"/>
        <v>Our Cost</v>
      </c>
    </row>
    <row r="942" spans="1:11">
      <c r="A942" t="s">
        <v>4319</v>
      </c>
      <c r="B942" t="s">
        <v>3361</v>
      </c>
      <c r="C942" t="s">
        <v>2248</v>
      </c>
      <c r="D942" t="s">
        <v>3360</v>
      </c>
      <c r="E942">
        <f t="shared" si="42"/>
        <v>74.717500000000001</v>
      </c>
      <c r="I942">
        <f t="shared" si="43"/>
        <v>74.717500000000001</v>
      </c>
      <c r="J942" t="str">
        <f t="shared" si="44"/>
        <v>Our Cost</v>
      </c>
    </row>
    <row r="943" spans="1:11">
      <c r="A943" t="s">
        <v>4320</v>
      </c>
      <c r="B943" t="s">
        <v>3362</v>
      </c>
      <c r="C943" t="s">
        <v>2568</v>
      </c>
      <c r="D943" t="s">
        <v>3363</v>
      </c>
      <c r="E943">
        <f t="shared" si="42"/>
        <v>285.28499999999997</v>
      </c>
      <c r="H943">
        <v>386.4</v>
      </c>
      <c r="I943">
        <f t="shared" si="43"/>
        <v>285.28499999999997</v>
      </c>
      <c r="J943" t="str">
        <f t="shared" si="44"/>
        <v>Our Cost</v>
      </c>
    </row>
    <row r="944" spans="1:11">
      <c r="A944" t="s">
        <v>4321</v>
      </c>
      <c r="B944" t="s">
        <v>3364</v>
      </c>
      <c r="C944" t="s">
        <v>2248</v>
      </c>
      <c r="D944" t="s">
        <v>2876</v>
      </c>
      <c r="E944">
        <f t="shared" si="42"/>
        <v>30.566249999999997</v>
      </c>
      <c r="I944">
        <f t="shared" si="43"/>
        <v>30.566249999999997</v>
      </c>
      <c r="J944" t="str">
        <f t="shared" si="44"/>
        <v>Our Cost</v>
      </c>
    </row>
    <row r="945" spans="1:11">
      <c r="A945" t="s">
        <v>4322</v>
      </c>
      <c r="B945" t="s">
        <v>3365</v>
      </c>
      <c r="C945" t="s">
        <v>2249</v>
      </c>
      <c r="D945" t="s">
        <v>3366</v>
      </c>
      <c r="E945">
        <f t="shared" si="42"/>
        <v>156.90674999999999</v>
      </c>
      <c r="I945">
        <f t="shared" si="43"/>
        <v>156.90674999999999</v>
      </c>
      <c r="J945" t="str">
        <f t="shared" si="44"/>
        <v>Our Cost</v>
      </c>
    </row>
    <row r="946" spans="1:11">
      <c r="A946" t="s">
        <v>4323</v>
      </c>
      <c r="B946" t="s">
        <v>3367</v>
      </c>
      <c r="C946" t="s">
        <v>2248</v>
      </c>
      <c r="D946" t="s">
        <v>3368</v>
      </c>
      <c r="E946">
        <f t="shared" si="42"/>
        <v>170.49175</v>
      </c>
      <c r="I946">
        <f t="shared" si="43"/>
        <v>170.49175</v>
      </c>
      <c r="J946" t="str">
        <f t="shared" si="44"/>
        <v>Our Cost</v>
      </c>
      <c r="K946" t="s">
        <v>3395</v>
      </c>
    </row>
    <row r="947" spans="1:11">
      <c r="A947" t="s">
        <v>4324</v>
      </c>
      <c r="B947" t="s">
        <v>3369</v>
      </c>
      <c r="C947" t="s">
        <v>3091</v>
      </c>
      <c r="D947" t="s">
        <v>3366</v>
      </c>
      <c r="E947">
        <f t="shared" si="42"/>
        <v>156.90674999999999</v>
      </c>
      <c r="H947">
        <v>0.92</v>
      </c>
      <c r="I947">
        <f t="shared" si="43"/>
        <v>0.92</v>
      </c>
      <c r="J947" t="str">
        <f t="shared" si="44"/>
        <v>DC</v>
      </c>
      <c r="K947" t="s">
        <v>3394</v>
      </c>
    </row>
    <row r="948" spans="1:11">
      <c r="A948" t="s">
        <v>4325</v>
      </c>
      <c r="B948" t="s">
        <v>3370</v>
      </c>
      <c r="C948" t="s">
        <v>2248</v>
      </c>
      <c r="D948" t="s">
        <v>2514</v>
      </c>
      <c r="E948">
        <f t="shared" si="42"/>
        <v>44.151249999999997</v>
      </c>
      <c r="I948">
        <f t="shared" si="43"/>
        <v>44.151249999999997</v>
      </c>
      <c r="J948" t="str">
        <f t="shared" si="44"/>
        <v>Our Cost</v>
      </c>
    </row>
    <row r="949" spans="1:11">
      <c r="A949" t="s">
        <v>4326</v>
      </c>
      <c r="B949" t="s">
        <v>3371</v>
      </c>
      <c r="C949" t="s">
        <v>2249</v>
      </c>
      <c r="D949" t="s">
        <v>3372</v>
      </c>
      <c r="E949">
        <f t="shared" si="42"/>
        <v>496.53174999999999</v>
      </c>
      <c r="I949">
        <f t="shared" si="43"/>
        <v>496.53174999999999</v>
      </c>
      <c r="J949" t="str">
        <f t="shared" si="44"/>
        <v>Our Cost</v>
      </c>
      <c r="K949" t="s">
        <v>3395</v>
      </c>
    </row>
    <row r="950" spans="1:11">
      <c r="A950" t="s">
        <v>4327</v>
      </c>
      <c r="B950" t="s">
        <v>3373</v>
      </c>
      <c r="C950" t="s">
        <v>2248</v>
      </c>
      <c r="D950" t="s">
        <v>2254</v>
      </c>
      <c r="E950">
        <f t="shared" si="42"/>
        <v>112.7555</v>
      </c>
      <c r="I950">
        <f t="shared" si="43"/>
        <v>112.7555</v>
      </c>
      <c r="J950" t="str">
        <f t="shared" si="44"/>
        <v>Our Cost</v>
      </c>
    </row>
    <row r="951" spans="1:11">
      <c r="A951" t="s">
        <v>4328</v>
      </c>
      <c r="B951" t="s">
        <v>3374</v>
      </c>
      <c r="C951" t="s">
        <v>2248</v>
      </c>
      <c r="D951" t="s">
        <v>2891</v>
      </c>
      <c r="E951">
        <f t="shared" si="42"/>
        <v>29.887</v>
      </c>
      <c r="I951">
        <f t="shared" si="43"/>
        <v>29.887</v>
      </c>
      <c r="J951" t="str">
        <f t="shared" si="44"/>
        <v>Our Cost</v>
      </c>
    </row>
    <row r="952" spans="1:11">
      <c r="A952" t="s">
        <v>4329</v>
      </c>
      <c r="B952" t="s">
        <v>3375</v>
      </c>
      <c r="C952" t="s">
        <v>2248</v>
      </c>
      <c r="D952" t="s">
        <v>3376</v>
      </c>
      <c r="E952">
        <f t="shared" si="42"/>
        <v>1476.01025</v>
      </c>
      <c r="I952">
        <f t="shared" si="43"/>
        <v>1476.01025</v>
      </c>
      <c r="J952" t="str">
        <f t="shared" si="44"/>
        <v>Our Cost</v>
      </c>
    </row>
    <row r="953" spans="1:11">
      <c r="A953" t="s">
        <v>4330</v>
      </c>
      <c r="B953" t="s">
        <v>3377</v>
      </c>
      <c r="C953" t="s">
        <v>2248</v>
      </c>
      <c r="D953" t="s">
        <v>3376</v>
      </c>
      <c r="E953">
        <f t="shared" si="42"/>
        <v>1476.01025</v>
      </c>
      <c r="I953">
        <f t="shared" si="43"/>
        <v>1476.01025</v>
      </c>
      <c r="J953" t="str">
        <f t="shared" si="44"/>
        <v>Our Cost</v>
      </c>
    </row>
    <row r="954" spans="1:11">
      <c r="A954" t="s">
        <v>4331</v>
      </c>
      <c r="B954" t="s">
        <v>3378</v>
      </c>
      <c r="C954" t="s">
        <v>2248</v>
      </c>
      <c r="D954" t="s">
        <v>3376</v>
      </c>
      <c r="E954">
        <f t="shared" si="42"/>
        <v>1476.01025</v>
      </c>
      <c r="I954">
        <f t="shared" si="43"/>
        <v>1476.01025</v>
      </c>
      <c r="J954" t="str">
        <f t="shared" si="44"/>
        <v>Our Cost</v>
      </c>
    </row>
    <row r="955" spans="1:11">
      <c r="A955" t="s">
        <v>4332</v>
      </c>
      <c r="B955" t="s">
        <v>3379</v>
      </c>
      <c r="C955" t="s">
        <v>2248</v>
      </c>
      <c r="D955" t="s">
        <v>3376</v>
      </c>
      <c r="E955">
        <f t="shared" si="42"/>
        <v>1476.01025</v>
      </c>
      <c r="I955">
        <f t="shared" si="43"/>
        <v>1476.01025</v>
      </c>
      <c r="J955" t="str">
        <f t="shared" si="44"/>
        <v>Our Cost</v>
      </c>
    </row>
    <row r="956" spans="1:11">
      <c r="A956" t="s">
        <v>4333</v>
      </c>
      <c r="B956" t="s">
        <v>3380</v>
      </c>
      <c r="C956" t="s">
        <v>2248</v>
      </c>
      <c r="D956" t="s">
        <v>3376</v>
      </c>
      <c r="E956">
        <f t="shared" si="42"/>
        <v>1476.01025</v>
      </c>
      <c r="I956">
        <f t="shared" si="43"/>
        <v>1476.01025</v>
      </c>
      <c r="J956" t="str">
        <f t="shared" si="44"/>
        <v>Our Cost</v>
      </c>
    </row>
    <row r="957" spans="1:11">
      <c r="A957" t="s">
        <v>4334</v>
      </c>
      <c r="B957" t="s">
        <v>3381</v>
      </c>
      <c r="C957" t="s">
        <v>2248</v>
      </c>
      <c r="D957" t="s">
        <v>3376</v>
      </c>
      <c r="E957">
        <f t="shared" si="42"/>
        <v>1476.01025</v>
      </c>
      <c r="I957">
        <f t="shared" si="43"/>
        <v>1476.01025</v>
      </c>
      <c r="J957" t="str">
        <f t="shared" si="44"/>
        <v>Our Cost</v>
      </c>
    </row>
    <row r="958" spans="1:11">
      <c r="A958" t="s">
        <v>4335</v>
      </c>
      <c r="B958" t="s">
        <v>3382</v>
      </c>
      <c r="C958" t="s">
        <v>2248</v>
      </c>
      <c r="D958" t="s">
        <v>3376</v>
      </c>
      <c r="E958">
        <f t="shared" si="42"/>
        <v>1476.01025</v>
      </c>
      <c r="I958">
        <f t="shared" si="43"/>
        <v>1476.01025</v>
      </c>
      <c r="J958" t="str">
        <f t="shared" si="44"/>
        <v>Our Cost</v>
      </c>
    </row>
    <row r="959" spans="1:11">
      <c r="A959" t="s">
        <v>4336</v>
      </c>
      <c r="B959" t="s">
        <v>3383</v>
      </c>
      <c r="C959" t="s">
        <v>2248</v>
      </c>
      <c r="D959" t="s">
        <v>3384</v>
      </c>
      <c r="E959">
        <f t="shared" si="42"/>
        <v>1401.4285999999997</v>
      </c>
      <c r="I959">
        <f t="shared" si="43"/>
        <v>1401.4285999999997</v>
      </c>
      <c r="J959" t="str">
        <f t="shared" si="44"/>
        <v>Our Cost</v>
      </c>
    </row>
    <row r="960" spans="1:11">
      <c r="A960" t="s">
        <v>4337</v>
      </c>
      <c r="B960" t="s">
        <v>3385</v>
      </c>
      <c r="C960" t="s">
        <v>2248</v>
      </c>
      <c r="D960" t="s">
        <v>3386</v>
      </c>
      <c r="E960">
        <f t="shared" si="42"/>
        <v>1681.6871500000002</v>
      </c>
      <c r="I960">
        <f t="shared" si="43"/>
        <v>1681.6871500000002</v>
      </c>
      <c r="J960" t="str">
        <f t="shared" si="44"/>
        <v>Our Cost</v>
      </c>
    </row>
    <row r="961" spans="1:10">
      <c r="A961" t="s">
        <v>4338</v>
      </c>
      <c r="B961" t="s">
        <v>3387</v>
      </c>
      <c r="C961" t="s">
        <v>2248</v>
      </c>
      <c r="D961" t="s">
        <v>3388</v>
      </c>
      <c r="E961">
        <f t="shared" si="42"/>
        <v>836.15674999999987</v>
      </c>
      <c r="I961">
        <f t="shared" si="43"/>
        <v>836.15674999999987</v>
      </c>
      <c r="J961" t="str">
        <f t="shared" si="44"/>
        <v>Our Cost</v>
      </c>
    </row>
    <row r="962" spans="1:10">
      <c r="A962" t="s">
        <v>2246</v>
      </c>
      <c r="B962" t="s">
        <v>2247</v>
      </c>
      <c r="C962" t="s">
        <v>2160</v>
      </c>
      <c r="D962" t="s">
        <v>3389</v>
      </c>
      <c r="E962">
        <f t="shared" si="42"/>
        <v>476.83349999999996</v>
      </c>
      <c r="I962">
        <f t="shared" si="43"/>
        <v>476.83349999999996</v>
      </c>
      <c r="J962" t="str">
        <f t="shared" si="44"/>
        <v>Our Cost</v>
      </c>
    </row>
  </sheetData>
  <autoFilter ref="A1:L962" xr:uid="{BF6D893F-BCED-44CD-B81B-659785336A2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14.28515625" customWidth="1"/>
    <col min="4" max="4" width="3.140625" customWidth="1"/>
    <col min="5" max="5" width="3.7109375" customWidth="1"/>
    <col min="6" max="6" width="15.7109375" customWidth="1"/>
    <col min="7" max="7" width="0.140625" customWidth="1"/>
    <col min="8" max="8" width="3.7109375" customWidth="1"/>
    <col min="9" max="9" width="6.140625" customWidth="1"/>
    <col min="10" max="10" width="9.42578125" customWidth="1"/>
    <col min="11" max="11" width="8.140625" customWidth="1"/>
    <col min="12" max="12" width="7.7109375" customWidth="1"/>
    <col min="13" max="13" width="4.42578125" customWidth="1"/>
    <col min="14" max="14" width="6" customWidth="1"/>
    <col min="15" max="15" width="3.5703125" customWidth="1"/>
    <col min="16" max="16" width="6.5703125" customWidth="1"/>
    <col min="17" max="17" width="6.140625" customWidth="1"/>
    <col min="18" max="18" width="11.7109375" customWidth="1"/>
    <col min="19" max="19" width="0.28515625" customWidth="1"/>
    <col min="20" max="20" width="3.140625" customWidth="1"/>
    <col min="21" max="21" width="2.85546875" customWidth="1"/>
    <col min="22" max="22" width="0.42578125" customWidth="1"/>
    <col min="23" max="23" width="4.42578125" customWidth="1"/>
    <col min="24" max="24" width="1.85546875" customWidth="1"/>
    <col min="25" max="25" width="2.42578125" customWidth="1"/>
    <col min="26" max="26" width="6.140625" customWidth="1"/>
    <col min="27" max="27" width="1" customWidth="1"/>
    <col min="28" max="28" width="3.85546875" customWidth="1"/>
  </cols>
  <sheetData>
    <row r="1" spans="1:28" ht="98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</row>
    <row r="2" spans="1:28" ht="15.75" customHeight="1">
      <c r="A2" s="3"/>
      <c r="B2" s="9" t="s">
        <v>0</v>
      </c>
      <c r="C2" s="10"/>
      <c r="D2" s="10"/>
      <c r="E2" s="10"/>
      <c r="F2" s="11"/>
      <c r="G2" s="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9" t="s">
        <v>2</v>
      </c>
      <c r="U2" s="11"/>
      <c r="V2" s="4"/>
      <c r="W2" s="1"/>
      <c r="X2" s="1"/>
      <c r="Y2" s="1"/>
      <c r="Z2" s="1"/>
      <c r="AA2" s="1"/>
      <c r="AB2" s="1"/>
    </row>
    <row r="3" spans="1:28" ht="15.7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2"/>
      <c r="U3" s="14"/>
      <c r="V3" s="4"/>
      <c r="W3" s="1"/>
      <c r="X3" s="8" t="s">
        <v>3</v>
      </c>
      <c r="Y3" s="8"/>
      <c r="Z3" s="8"/>
      <c r="AA3" s="8"/>
      <c r="AB3" s="1"/>
    </row>
    <row r="4" spans="1:28" ht="4.5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  <c r="T4" s="15"/>
      <c r="U4" s="17"/>
      <c r="V4" s="4"/>
      <c r="W4" s="1"/>
      <c r="X4" s="1"/>
      <c r="Y4" s="1"/>
      <c r="Z4" s="1"/>
      <c r="AA4" s="1"/>
      <c r="AB4" s="1"/>
    </row>
    <row r="5" spans="1:28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"/>
      <c r="W5" s="1"/>
      <c r="X5" s="1"/>
      <c r="Y5" s="1"/>
      <c r="Z5" s="1"/>
      <c r="AA5" s="1"/>
      <c r="AB5" s="1"/>
    </row>
    <row r="6" spans="1:28" ht="23.25" customHeight="1">
      <c r="A6" s="1"/>
      <c r="B6" s="1"/>
      <c r="C6" s="1" t="s">
        <v>2155</v>
      </c>
      <c r="D6" s="1"/>
      <c r="E6" s="1"/>
      <c r="F6" s="1"/>
      <c r="G6" s="1"/>
      <c r="H6" s="1" t="s">
        <v>2156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8" t="s">
        <v>7</v>
      </c>
      <c r="U6" s="8"/>
      <c r="V6" s="8"/>
      <c r="W6" s="8"/>
      <c r="X6" s="1"/>
      <c r="Y6" s="8" t="s">
        <v>4</v>
      </c>
      <c r="Z6" s="8"/>
      <c r="AA6" s="1"/>
      <c r="AB6" s="1"/>
    </row>
    <row r="7" spans="1:28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1.25" customHeight="1">
      <c r="A8" s="1"/>
      <c r="B8" s="1"/>
      <c r="C8" s="8" t="s">
        <v>5</v>
      </c>
      <c r="D8" s="8"/>
      <c r="E8" s="8"/>
      <c r="F8" s="1"/>
      <c r="G8" s="1"/>
      <c r="H8" s="8" t="s">
        <v>6</v>
      </c>
      <c r="I8" s="8"/>
      <c r="J8" s="8"/>
      <c r="K8" s="8"/>
      <c r="L8" s="8"/>
      <c r="M8" s="8"/>
      <c r="N8" s="1"/>
      <c r="O8" s="1"/>
      <c r="P8" s="1"/>
      <c r="Q8" s="1"/>
      <c r="R8" s="1"/>
      <c r="S8" s="8" t="s">
        <v>7</v>
      </c>
      <c r="T8" s="8"/>
      <c r="U8" s="8"/>
      <c r="V8" s="8"/>
      <c r="W8" s="1"/>
      <c r="X8" s="1"/>
      <c r="Y8" s="8" t="s">
        <v>8</v>
      </c>
      <c r="Z8" s="8"/>
      <c r="AA8" s="1"/>
      <c r="AB8" s="1"/>
    </row>
    <row r="9" spans="1:28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1.25" customHeight="1">
      <c r="A10" s="1"/>
      <c r="B10" s="1"/>
      <c r="C10" s="8" t="s">
        <v>9</v>
      </c>
      <c r="D10" s="8"/>
      <c r="E10" s="8"/>
      <c r="F10" s="1"/>
      <c r="G10" s="1"/>
      <c r="H10" s="8" t="s">
        <v>10</v>
      </c>
      <c r="I10" s="8"/>
      <c r="J10" s="8"/>
      <c r="K10" s="8"/>
      <c r="L10" s="8"/>
      <c r="M10" s="1"/>
      <c r="N10" s="1"/>
      <c r="O10" s="1"/>
      <c r="P10" s="1"/>
      <c r="Q10" s="1"/>
      <c r="R10" s="1"/>
      <c r="S10" s="8" t="s">
        <v>7</v>
      </c>
      <c r="T10" s="8"/>
      <c r="U10" s="8"/>
      <c r="V10" s="8"/>
      <c r="W10" s="1"/>
      <c r="X10" s="1"/>
      <c r="Y10" s="8" t="s">
        <v>11</v>
      </c>
      <c r="Z10" s="8"/>
      <c r="AA10" s="1"/>
      <c r="AB10" s="1"/>
    </row>
    <row r="11" spans="1:28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1.25" customHeight="1">
      <c r="A12" s="1"/>
      <c r="B12" s="1"/>
      <c r="C12" s="8" t="s">
        <v>12</v>
      </c>
      <c r="D12" s="8"/>
      <c r="E12" s="8"/>
      <c r="F12" s="1"/>
      <c r="G12" s="1"/>
      <c r="H12" s="8" t="s">
        <v>13</v>
      </c>
      <c r="I12" s="8"/>
      <c r="J12" s="8"/>
      <c r="K12" s="8"/>
      <c r="L12" s="1"/>
      <c r="M12" s="1"/>
      <c r="N12" s="1"/>
      <c r="O12" s="1"/>
      <c r="P12" s="1"/>
      <c r="Q12" s="1"/>
      <c r="R12" s="1"/>
      <c r="S12" s="8" t="s">
        <v>7</v>
      </c>
      <c r="T12" s="8"/>
      <c r="U12" s="8"/>
      <c r="V12" s="8"/>
      <c r="W12" s="1"/>
      <c r="X12" s="8" t="s">
        <v>14</v>
      </c>
      <c r="Y12" s="8"/>
      <c r="Z12" s="8"/>
      <c r="AA12" s="1"/>
      <c r="AB12" s="1"/>
    </row>
    <row r="13" spans="1:28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1.25" customHeight="1">
      <c r="A14" s="1"/>
      <c r="B14" s="1"/>
      <c r="C14" s="8" t="s">
        <v>15</v>
      </c>
      <c r="D14" s="8"/>
      <c r="E14" s="8"/>
      <c r="F14" s="1"/>
      <c r="G14" s="1"/>
      <c r="H14" s="8" t="s">
        <v>16</v>
      </c>
      <c r="I14" s="8"/>
      <c r="J14" s="8"/>
      <c r="K14" s="8"/>
      <c r="L14" s="8"/>
      <c r="M14" s="8"/>
      <c r="N14" s="8"/>
      <c r="O14" s="1"/>
      <c r="P14" s="1"/>
      <c r="Q14" s="1"/>
      <c r="R14" s="1"/>
      <c r="S14" s="8" t="s">
        <v>7</v>
      </c>
      <c r="T14" s="8"/>
      <c r="U14" s="8"/>
      <c r="V14" s="8"/>
      <c r="W14" s="1"/>
      <c r="X14" s="1"/>
      <c r="Y14" s="8" t="s">
        <v>17</v>
      </c>
      <c r="Z14" s="8"/>
      <c r="AA14" s="1"/>
      <c r="AB14" s="1"/>
    </row>
    <row r="15" spans="1:28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1.25" customHeight="1">
      <c r="A16" s="1"/>
      <c r="B16" s="1"/>
      <c r="C16" s="8" t="s">
        <v>18</v>
      </c>
      <c r="D16" s="8"/>
      <c r="E16" s="8"/>
      <c r="F16" s="1"/>
      <c r="G16" s="1"/>
      <c r="H16" s="8" t="s">
        <v>19</v>
      </c>
      <c r="I16" s="8"/>
      <c r="J16" s="8"/>
      <c r="K16" s="8"/>
      <c r="L16" s="8"/>
      <c r="M16" s="8"/>
      <c r="N16" s="8"/>
      <c r="O16" s="1"/>
      <c r="P16" s="1"/>
      <c r="Q16" s="1"/>
      <c r="R16" s="1"/>
      <c r="S16" s="8" t="s">
        <v>7</v>
      </c>
      <c r="T16" s="8"/>
      <c r="U16" s="8"/>
      <c r="V16" s="8"/>
      <c r="W16" s="1"/>
      <c r="X16" s="1"/>
      <c r="Y16" s="8" t="s">
        <v>20</v>
      </c>
      <c r="Z16" s="8"/>
      <c r="AA16" s="1"/>
      <c r="AB16" s="1"/>
    </row>
    <row r="17" spans="1:28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1.25" customHeight="1">
      <c r="A18" s="1"/>
      <c r="B18" s="1"/>
      <c r="C18" s="8" t="s">
        <v>21</v>
      </c>
      <c r="D18" s="8"/>
      <c r="E18" s="8"/>
      <c r="F18" s="1"/>
      <c r="G18" s="1"/>
      <c r="H18" s="8" t="s">
        <v>22</v>
      </c>
      <c r="I18" s="8"/>
      <c r="J18" s="8"/>
      <c r="K18" s="8"/>
      <c r="L18" s="1"/>
      <c r="M18" s="1"/>
      <c r="N18" s="1"/>
      <c r="O18" s="1"/>
      <c r="P18" s="1"/>
      <c r="Q18" s="1"/>
      <c r="R18" s="1"/>
      <c r="S18" s="8" t="s">
        <v>7</v>
      </c>
      <c r="T18" s="8"/>
      <c r="U18" s="8"/>
      <c r="V18" s="8"/>
      <c r="W18" s="1"/>
      <c r="X18" s="1"/>
      <c r="Y18" s="8" t="s">
        <v>23</v>
      </c>
      <c r="Z18" s="8"/>
      <c r="AA18" s="1"/>
      <c r="AB18" s="1"/>
    </row>
    <row r="19" spans="1:28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1.25" customHeight="1">
      <c r="A20" s="1"/>
      <c r="B20" s="1"/>
      <c r="C20" s="8" t="s">
        <v>24</v>
      </c>
      <c r="D20" s="8"/>
      <c r="E20" s="1"/>
      <c r="F20" s="1"/>
      <c r="G20" s="1"/>
      <c r="H20" s="8" t="s">
        <v>25</v>
      </c>
      <c r="I20" s="8"/>
      <c r="J20" s="8"/>
      <c r="K20" s="1"/>
      <c r="L20" s="1"/>
      <c r="M20" s="1"/>
      <c r="N20" s="1"/>
      <c r="O20" s="1"/>
      <c r="P20" s="1"/>
      <c r="Q20" s="1"/>
      <c r="R20" s="1"/>
      <c r="S20" s="1"/>
      <c r="T20" s="1"/>
      <c r="U20" s="8" t="s">
        <v>26</v>
      </c>
      <c r="V20" s="8"/>
      <c r="W20" s="1"/>
      <c r="X20" s="1"/>
      <c r="Y20" s="1"/>
      <c r="Z20" s="5" t="s">
        <v>27</v>
      </c>
      <c r="AA20" s="1"/>
      <c r="AB20" s="1"/>
    </row>
    <row r="21" spans="1:28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1.25" customHeight="1">
      <c r="A22" s="1"/>
      <c r="B22" s="1"/>
      <c r="C22" s="8" t="s">
        <v>28</v>
      </c>
      <c r="D22" s="8"/>
      <c r="E22" s="1"/>
      <c r="F22" s="1"/>
      <c r="G22" s="1"/>
      <c r="H22" s="8" t="s">
        <v>29</v>
      </c>
      <c r="I22" s="8"/>
      <c r="J22" s="8"/>
      <c r="K22" s="8"/>
      <c r="L22" s="8"/>
      <c r="M22" s="1"/>
      <c r="N22" s="1"/>
      <c r="O22" s="1"/>
      <c r="P22" s="1"/>
      <c r="Q22" s="1"/>
      <c r="R22" s="1"/>
      <c r="S22" s="1"/>
      <c r="T22" s="1"/>
      <c r="U22" s="8" t="s">
        <v>26</v>
      </c>
      <c r="V22" s="8"/>
      <c r="W22" s="1"/>
      <c r="X22" s="1"/>
      <c r="Y22" s="1"/>
      <c r="Z22" s="5" t="s">
        <v>30</v>
      </c>
      <c r="AA22" s="1"/>
      <c r="AB22" s="1"/>
    </row>
    <row r="23" spans="1:28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1.25" customHeight="1">
      <c r="A24" s="1"/>
      <c r="B24" s="1"/>
      <c r="C24" s="8" t="s">
        <v>31</v>
      </c>
      <c r="D24" s="8"/>
      <c r="E24" s="1"/>
      <c r="F24" s="1"/>
      <c r="G24" s="1"/>
      <c r="H24" s="8" t="s">
        <v>32</v>
      </c>
      <c r="I24" s="8"/>
      <c r="J24" s="8"/>
      <c r="K24" s="8"/>
      <c r="L24" s="8"/>
      <c r="M24" s="8"/>
      <c r="N24" s="8"/>
      <c r="O24" s="8"/>
      <c r="P24" s="8"/>
      <c r="Q24" s="1"/>
      <c r="R24" s="1"/>
      <c r="S24" s="8" t="s">
        <v>7</v>
      </c>
      <c r="T24" s="8"/>
      <c r="U24" s="8"/>
      <c r="V24" s="8"/>
      <c r="W24" s="1"/>
      <c r="X24" s="1"/>
      <c r="Y24" s="8" t="s">
        <v>33</v>
      </c>
      <c r="Z24" s="8"/>
      <c r="AA24" s="1"/>
      <c r="AB24" s="1"/>
    </row>
    <row r="25" spans="1:28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1.25" customHeight="1">
      <c r="A26" s="1"/>
      <c r="B26" s="1"/>
      <c r="C26" s="8" t="s">
        <v>34</v>
      </c>
      <c r="D26" s="8"/>
      <c r="E26" s="1"/>
      <c r="F26" s="1"/>
      <c r="G26" s="1"/>
      <c r="H26" s="8" t="s">
        <v>35</v>
      </c>
      <c r="I26" s="8"/>
      <c r="J26" s="8"/>
      <c r="K26" s="8"/>
      <c r="L26" s="8"/>
      <c r="M26" s="8"/>
      <c r="N26" s="8"/>
      <c r="O26" s="8"/>
      <c r="P26" s="8"/>
      <c r="Q26" s="1"/>
      <c r="R26" s="1"/>
      <c r="S26" s="8" t="s">
        <v>7</v>
      </c>
      <c r="T26" s="8"/>
      <c r="U26" s="8"/>
      <c r="V26" s="8"/>
      <c r="W26" s="1"/>
      <c r="X26" s="1"/>
      <c r="Y26" s="8" t="s">
        <v>33</v>
      </c>
      <c r="Z26" s="8"/>
      <c r="AA26" s="1"/>
      <c r="AB26" s="1"/>
    </row>
    <row r="27" spans="1:28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1.25" customHeight="1">
      <c r="A28" s="1"/>
      <c r="B28" s="1"/>
      <c r="C28" s="8" t="s">
        <v>36</v>
      </c>
      <c r="D28" s="8"/>
      <c r="E28" s="1"/>
      <c r="F28" s="1"/>
      <c r="G28" s="1"/>
      <c r="H28" s="8" t="s">
        <v>37</v>
      </c>
      <c r="I28" s="8"/>
      <c r="J28" s="8"/>
      <c r="K28" s="8"/>
      <c r="L28" s="8"/>
      <c r="M28" s="8"/>
      <c r="N28" s="8"/>
      <c r="O28" s="8"/>
      <c r="P28" s="8"/>
      <c r="Q28" s="1"/>
      <c r="R28" s="1"/>
      <c r="S28" s="8" t="s">
        <v>7</v>
      </c>
      <c r="T28" s="8"/>
      <c r="U28" s="8"/>
      <c r="V28" s="8"/>
      <c r="W28" s="1"/>
      <c r="X28" s="1"/>
      <c r="Y28" s="8" t="s">
        <v>33</v>
      </c>
      <c r="Z28" s="8"/>
      <c r="AA28" s="1"/>
      <c r="AB28" s="1"/>
    </row>
    <row r="29" spans="1:28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1.25" customHeight="1">
      <c r="A30" s="1"/>
      <c r="B30" s="1"/>
      <c r="C30" s="8" t="s">
        <v>38</v>
      </c>
      <c r="D30" s="8"/>
      <c r="E30" s="1"/>
      <c r="F30" s="1"/>
      <c r="G30" s="1"/>
      <c r="H30" s="8" t="s">
        <v>39</v>
      </c>
      <c r="I30" s="8"/>
      <c r="J30" s="8"/>
      <c r="K30" s="8"/>
      <c r="L30" s="8"/>
      <c r="M30" s="8"/>
      <c r="N30" s="8"/>
      <c r="O30" s="8"/>
      <c r="P30" s="8"/>
      <c r="Q30" s="1"/>
      <c r="R30" s="1"/>
      <c r="S30" s="8" t="s">
        <v>7</v>
      </c>
      <c r="T30" s="8"/>
      <c r="U30" s="8"/>
      <c r="V30" s="8"/>
      <c r="W30" s="1"/>
      <c r="X30" s="1"/>
      <c r="Y30" s="8" t="s">
        <v>33</v>
      </c>
      <c r="Z30" s="8"/>
      <c r="AA30" s="1"/>
      <c r="AB30" s="1"/>
    </row>
    <row r="31" spans="1:28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1.25" customHeight="1">
      <c r="A32" s="1"/>
      <c r="B32" s="1"/>
      <c r="C32" s="8" t="s">
        <v>40</v>
      </c>
      <c r="D32" s="8"/>
      <c r="E32" s="8"/>
      <c r="F32" s="1"/>
      <c r="G32" s="1"/>
      <c r="H32" s="8" t="s">
        <v>41</v>
      </c>
      <c r="I32" s="8"/>
      <c r="J32" s="8"/>
      <c r="K32" s="8"/>
      <c r="L32" s="8"/>
      <c r="M32" s="8"/>
      <c r="N32" s="8"/>
      <c r="O32" s="8"/>
      <c r="P32" s="1"/>
      <c r="Q32" s="1"/>
      <c r="R32" s="1"/>
      <c r="S32" s="8" t="s">
        <v>7</v>
      </c>
      <c r="T32" s="8"/>
      <c r="U32" s="8"/>
      <c r="V32" s="8"/>
      <c r="W32" s="1"/>
      <c r="X32" s="8" t="s">
        <v>42</v>
      </c>
      <c r="Y32" s="8"/>
      <c r="Z32" s="8"/>
      <c r="AA32" s="1"/>
      <c r="AB32" s="1"/>
    </row>
    <row r="33" spans="1:28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1.25" customHeight="1">
      <c r="A34" s="1"/>
      <c r="B34" s="1"/>
      <c r="C34" s="8" t="s">
        <v>43</v>
      </c>
      <c r="D34" s="8"/>
      <c r="E34" s="8"/>
      <c r="F34" s="1"/>
      <c r="G34" s="1"/>
      <c r="H34" s="8" t="s">
        <v>44</v>
      </c>
      <c r="I34" s="8"/>
      <c r="J34" s="8"/>
      <c r="K34" s="8"/>
      <c r="L34" s="1"/>
      <c r="M34" s="1"/>
      <c r="N34" s="1"/>
      <c r="O34" s="1"/>
      <c r="P34" s="1"/>
      <c r="Q34" s="1"/>
      <c r="R34" s="1"/>
      <c r="S34" s="8" t="s">
        <v>7</v>
      </c>
      <c r="T34" s="8"/>
      <c r="U34" s="8"/>
      <c r="V34" s="8"/>
      <c r="W34" s="1"/>
      <c r="X34" s="1"/>
      <c r="Y34" s="8" t="s">
        <v>45</v>
      </c>
      <c r="Z34" s="8"/>
      <c r="AA34" s="1"/>
      <c r="AB34" s="1"/>
    </row>
    <row r="35" spans="1:28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1.25" customHeight="1">
      <c r="A36" s="1"/>
      <c r="B36" s="1"/>
      <c r="C36" s="8" t="s">
        <v>46</v>
      </c>
      <c r="D36" s="8"/>
      <c r="E36" s="8"/>
      <c r="F36" s="1"/>
      <c r="G36" s="1"/>
      <c r="H36" s="8" t="s">
        <v>47</v>
      </c>
      <c r="I36" s="8"/>
      <c r="J36" s="8"/>
      <c r="K36" s="8"/>
      <c r="L36" s="8"/>
      <c r="M36" s="8"/>
      <c r="N36" s="8"/>
      <c r="O36" s="8"/>
      <c r="P36" s="8"/>
      <c r="Q36" s="1"/>
      <c r="R36" s="1"/>
      <c r="S36" s="8" t="s">
        <v>7</v>
      </c>
      <c r="T36" s="8"/>
      <c r="U36" s="8"/>
      <c r="V36" s="8"/>
      <c r="W36" s="1"/>
      <c r="X36" s="1"/>
      <c r="Y36" s="8" t="s">
        <v>48</v>
      </c>
      <c r="Z36" s="8"/>
      <c r="AA36" s="1"/>
      <c r="AB36" s="1"/>
    </row>
    <row r="37" spans="1:28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1.25" customHeight="1">
      <c r="A38" s="1"/>
      <c r="B38" s="1"/>
      <c r="C38" s="8" t="s">
        <v>49</v>
      </c>
      <c r="D38" s="8"/>
      <c r="E38" s="8"/>
      <c r="F38" s="1"/>
      <c r="G38" s="1"/>
      <c r="H38" s="8" t="s">
        <v>50</v>
      </c>
      <c r="I38" s="8"/>
      <c r="J38" s="8"/>
      <c r="K38" s="8"/>
      <c r="L38" s="8"/>
      <c r="M38" s="8"/>
      <c r="N38" s="8"/>
      <c r="O38" s="8"/>
      <c r="P38" s="8"/>
      <c r="Q38" s="1"/>
      <c r="R38" s="1"/>
      <c r="S38" s="8" t="s">
        <v>7</v>
      </c>
      <c r="T38" s="8"/>
      <c r="U38" s="8"/>
      <c r="V38" s="8"/>
      <c r="W38" s="1"/>
      <c r="X38" s="1"/>
      <c r="Y38" s="8" t="s">
        <v>51</v>
      </c>
      <c r="Z38" s="8"/>
      <c r="AA38" s="1"/>
      <c r="AB38" s="1"/>
    </row>
    <row r="39" spans="1:28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1.25" customHeight="1">
      <c r="A40" s="1"/>
      <c r="B40" s="1"/>
      <c r="C40" s="8" t="s">
        <v>52</v>
      </c>
      <c r="D40" s="8"/>
      <c r="E40" s="8"/>
      <c r="F40" s="1"/>
      <c r="G40" s="1"/>
      <c r="H40" s="8" t="s">
        <v>53</v>
      </c>
      <c r="I40" s="8"/>
      <c r="J40" s="8"/>
      <c r="K40" s="8"/>
      <c r="L40" s="8"/>
      <c r="M40" s="8"/>
      <c r="N40" s="8"/>
      <c r="O40" s="8"/>
      <c r="P40" s="8"/>
      <c r="Q40" s="1"/>
      <c r="R40" s="1"/>
      <c r="S40" s="8" t="s">
        <v>7</v>
      </c>
      <c r="T40" s="8"/>
      <c r="U40" s="8"/>
      <c r="V40" s="8"/>
      <c r="W40" s="1"/>
      <c r="X40" s="1"/>
      <c r="Y40" s="8" t="s">
        <v>48</v>
      </c>
      <c r="Z40" s="8"/>
      <c r="AA40" s="1"/>
      <c r="AB40" s="1"/>
    </row>
    <row r="41" spans="1:28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1.25" customHeight="1">
      <c r="A42" s="1"/>
      <c r="B42" s="1"/>
      <c r="C42" s="8" t="s">
        <v>54</v>
      </c>
      <c r="D42" s="8"/>
      <c r="E42" s="8"/>
      <c r="F42" s="1"/>
      <c r="G42" s="1"/>
      <c r="H42" s="8" t="s">
        <v>55</v>
      </c>
      <c r="I42" s="8"/>
      <c r="J42" s="8"/>
      <c r="K42" s="8"/>
      <c r="L42" s="8"/>
      <c r="M42" s="8"/>
      <c r="N42" s="8"/>
      <c r="O42" s="8"/>
      <c r="P42" s="8"/>
      <c r="Q42" s="1"/>
      <c r="R42" s="1"/>
      <c r="S42" s="8" t="s">
        <v>7</v>
      </c>
      <c r="T42" s="8"/>
      <c r="U42" s="8"/>
      <c r="V42" s="8"/>
      <c r="W42" s="1"/>
      <c r="X42" s="1"/>
      <c r="Y42" s="8" t="s">
        <v>56</v>
      </c>
      <c r="Z42" s="8"/>
      <c r="AA42" s="1"/>
      <c r="AB42" s="1"/>
    </row>
    <row r="43" spans="1:28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1.25" customHeight="1">
      <c r="A44" s="1"/>
      <c r="B44" s="1"/>
      <c r="C44" s="8" t="s">
        <v>57</v>
      </c>
      <c r="D44" s="8"/>
      <c r="E44" s="8"/>
      <c r="F44" s="1"/>
      <c r="G44" s="1"/>
      <c r="H44" s="8" t="s">
        <v>58</v>
      </c>
      <c r="I44" s="8"/>
      <c r="J44" s="8"/>
      <c r="K44" s="8"/>
      <c r="L44" s="1"/>
      <c r="M44" s="1"/>
      <c r="N44" s="1"/>
      <c r="O44" s="1"/>
      <c r="P44" s="1"/>
      <c r="Q44" s="1"/>
      <c r="R44" s="1"/>
      <c r="S44" s="8" t="s">
        <v>7</v>
      </c>
      <c r="T44" s="8"/>
      <c r="U44" s="8"/>
      <c r="V44" s="8"/>
      <c r="W44" s="1"/>
      <c r="X44" s="8" t="s">
        <v>59</v>
      </c>
      <c r="Y44" s="8"/>
      <c r="Z44" s="8"/>
      <c r="AA44" s="1"/>
      <c r="AB44" s="1"/>
    </row>
    <row r="45" spans="1:28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1.25" customHeight="1">
      <c r="A46" s="1"/>
      <c r="B46" s="1"/>
      <c r="C46" s="8" t="s">
        <v>60</v>
      </c>
      <c r="D46" s="8"/>
      <c r="E46" s="8"/>
      <c r="F46" s="1"/>
      <c r="G46" s="1"/>
      <c r="H46" s="8" t="s">
        <v>61</v>
      </c>
      <c r="I46" s="8"/>
      <c r="J46" s="8"/>
      <c r="K46" s="8"/>
      <c r="L46" s="8"/>
      <c r="M46" s="8"/>
      <c r="N46" s="1"/>
      <c r="O46" s="1"/>
      <c r="P46" s="1"/>
      <c r="Q46" s="1"/>
      <c r="R46" s="1"/>
      <c r="S46" s="8" t="s">
        <v>7</v>
      </c>
      <c r="T46" s="8"/>
      <c r="U46" s="8"/>
      <c r="V46" s="8"/>
      <c r="W46" s="1"/>
      <c r="X46" s="8" t="s">
        <v>59</v>
      </c>
      <c r="Y46" s="8"/>
      <c r="Z46" s="8"/>
      <c r="AA46" s="1"/>
      <c r="AB46" s="1"/>
    </row>
    <row r="47" spans="1:28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1.25" customHeight="1">
      <c r="A48" s="1"/>
      <c r="B48" s="1"/>
      <c r="C48" s="8" t="s">
        <v>62</v>
      </c>
      <c r="D48" s="8"/>
      <c r="E48" s="8"/>
      <c r="F48" s="1"/>
      <c r="G48" s="1"/>
      <c r="H48" s="8" t="s">
        <v>63</v>
      </c>
      <c r="I48" s="8"/>
      <c r="J48" s="8"/>
      <c r="K48" s="8"/>
      <c r="L48" s="8"/>
      <c r="M48" s="8"/>
      <c r="N48" s="1"/>
      <c r="O48" s="1"/>
      <c r="P48" s="1"/>
      <c r="Q48" s="1"/>
      <c r="R48" s="1"/>
      <c r="S48" s="8" t="s">
        <v>7</v>
      </c>
      <c r="T48" s="8"/>
      <c r="U48" s="8"/>
      <c r="V48" s="8"/>
      <c r="W48" s="1"/>
      <c r="X48" s="8" t="s">
        <v>59</v>
      </c>
      <c r="Y48" s="8"/>
      <c r="Z48" s="8"/>
      <c r="AA48" s="1"/>
      <c r="AB48" s="1"/>
    </row>
    <row r="49" spans="1:28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1.25" customHeight="1">
      <c r="A50" s="1"/>
      <c r="B50" s="1"/>
      <c r="C50" s="8" t="s">
        <v>64</v>
      </c>
      <c r="D50" s="8"/>
      <c r="E50" s="8"/>
      <c r="F50" s="1"/>
      <c r="G50" s="1"/>
      <c r="H50" s="8" t="s">
        <v>65</v>
      </c>
      <c r="I50" s="8"/>
      <c r="J50" s="8"/>
      <c r="K50" s="8"/>
      <c r="L50" s="8"/>
      <c r="M50" s="8"/>
      <c r="N50" s="8"/>
      <c r="O50" s="8"/>
      <c r="P50" s="8"/>
      <c r="Q50" s="1"/>
      <c r="R50" s="1"/>
      <c r="S50" s="8" t="s">
        <v>7</v>
      </c>
      <c r="T50" s="8"/>
      <c r="U50" s="8"/>
      <c r="V50" s="8"/>
      <c r="W50" s="1"/>
      <c r="X50" s="1"/>
      <c r="Y50" s="8" t="s">
        <v>66</v>
      </c>
      <c r="Z50" s="8"/>
      <c r="AA50" s="1"/>
      <c r="AB50" s="1"/>
    </row>
    <row r="51" spans="1:28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1.25" customHeight="1">
      <c r="A52" s="1"/>
      <c r="B52" s="1"/>
      <c r="C52" s="8" t="s">
        <v>67</v>
      </c>
      <c r="D52" s="8"/>
      <c r="E52" s="8"/>
      <c r="F52" s="1"/>
      <c r="G52" s="1"/>
      <c r="H52" s="8" t="s">
        <v>68</v>
      </c>
      <c r="I52" s="8"/>
      <c r="J52" s="8"/>
      <c r="K52" s="8"/>
      <c r="L52" s="8"/>
      <c r="M52" s="8"/>
      <c r="N52" s="8"/>
      <c r="O52" s="8"/>
      <c r="P52" s="8"/>
      <c r="Q52" s="1"/>
      <c r="R52" s="1"/>
      <c r="S52" s="8" t="s">
        <v>7</v>
      </c>
      <c r="T52" s="8"/>
      <c r="U52" s="8"/>
      <c r="V52" s="8"/>
      <c r="W52" s="1"/>
      <c r="X52" s="1"/>
      <c r="Y52" s="8" t="s">
        <v>66</v>
      </c>
      <c r="Z52" s="8"/>
      <c r="AA52" s="1"/>
      <c r="AB52" s="1"/>
    </row>
    <row r="53" spans="1:28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1.25" customHeight="1">
      <c r="A54" s="1"/>
      <c r="B54" s="1"/>
      <c r="C54" s="8" t="s">
        <v>69</v>
      </c>
      <c r="D54" s="8"/>
      <c r="E54" s="8"/>
      <c r="F54" s="1"/>
      <c r="G54" s="1"/>
      <c r="H54" s="8" t="s">
        <v>70</v>
      </c>
      <c r="I54" s="8"/>
      <c r="J54" s="8"/>
      <c r="K54" s="8"/>
      <c r="L54" s="8"/>
      <c r="M54" s="8"/>
      <c r="N54" s="8"/>
      <c r="O54" s="8"/>
      <c r="P54" s="8"/>
      <c r="Q54" s="1"/>
      <c r="R54" s="1"/>
      <c r="S54" s="8" t="s">
        <v>7</v>
      </c>
      <c r="T54" s="8"/>
      <c r="U54" s="8"/>
      <c r="V54" s="8"/>
      <c r="W54" s="1"/>
      <c r="X54" s="1"/>
      <c r="Y54" s="8" t="s">
        <v>66</v>
      </c>
      <c r="Z54" s="8"/>
      <c r="AA54" s="1"/>
      <c r="AB54" s="1"/>
    </row>
    <row r="55" spans="1:28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1.25" customHeight="1">
      <c r="A56" s="1"/>
      <c r="B56" s="1"/>
      <c r="C56" s="8" t="s">
        <v>71</v>
      </c>
      <c r="D56" s="8"/>
      <c r="E56" s="8"/>
      <c r="F56" s="1"/>
      <c r="G56" s="1"/>
      <c r="H56" s="8" t="s">
        <v>72</v>
      </c>
      <c r="I56" s="8"/>
      <c r="J56" s="8"/>
      <c r="K56" s="8"/>
      <c r="L56" s="8"/>
      <c r="M56" s="8"/>
      <c r="N56" s="8"/>
      <c r="O56" s="8"/>
      <c r="P56" s="8"/>
      <c r="Q56" s="1"/>
      <c r="R56" s="1"/>
      <c r="S56" s="8" t="s">
        <v>7</v>
      </c>
      <c r="T56" s="8"/>
      <c r="U56" s="8"/>
      <c r="V56" s="8"/>
      <c r="W56" s="1"/>
      <c r="X56" s="1"/>
      <c r="Y56" s="8" t="s">
        <v>66</v>
      </c>
      <c r="Z56" s="8"/>
      <c r="AA56" s="1"/>
      <c r="AB56" s="1"/>
    </row>
    <row r="57" spans="1:28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1.25" customHeight="1">
      <c r="A58" s="1"/>
      <c r="B58" s="1"/>
      <c r="C58" s="8" t="s">
        <v>73</v>
      </c>
      <c r="D58" s="8"/>
      <c r="E58" s="8"/>
      <c r="F58" s="1"/>
      <c r="G58" s="1"/>
      <c r="H58" s="8" t="s">
        <v>74</v>
      </c>
      <c r="I58" s="8"/>
      <c r="J58" s="8"/>
      <c r="K58" s="8"/>
      <c r="L58" s="8"/>
      <c r="M58" s="1"/>
      <c r="N58" s="1"/>
      <c r="O58" s="1"/>
      <c r="P58" s="1"/>
      <c r="Q58" s="1"/>
      <c r="R58" s="1"/>
      <c r="S58" s="8" t="s">
        <v>7</v>
      </c>
      <c r="T58" s="8"/>
      <c r="U58" s="8"/>
      <c r="V58" s="8"/>
      <c r="W58" s="1"/>
      <c r="X58" s="8" t="s">
        <v>75</v>
      </c>
      <c r="Y58" s="8"/>
      <c r="Z58" s="8"/>
      <c r="AA58" s="1"/>
      <c r="AB58" s="1"/>
    </row>
    <row r="59" spans="1:28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1.25" customHeight="1">
      <c r="A60" s="1"/>
      <c r="B60" s="1"/>
      <c r="C60" s="8" t="s">
        <v>76</v>
      </c>
      <c r="D60" s="8"/>
      <c r="E60" s="8"/>
      <c r="F60" s="1"/>
      <c r="G60" s="1"/>
      <c r="H60" s="8" t="s">
        <v>77</v>
      </c>
      <c r="I60" s="8"/>
      <c r="J60" s="8"/>
      <c r="K60" s="8"/>
      <c r="L60" s="8"/>
      <c r="M60" s="8"/>
      <c r="N60" s="8"/>
      <c r="O60" s="1"/>
      <c r="P60" s="1"/>
      <c r="Q60" s="1"/>
      <c r="R60" s="1"/>
      <c r="S60" s="8" t="s">
        <v>7</v>
      </c>
      <c r="T60" s="8"/>
      <c r="U60" s="8"/>
      <c r="V60" s="8"/>
      <c r="W60" s="1"/>
      <c r="X60" s="8" t="s">
        <v>75</v>
      </c>
      <c r="Y60" s="8"/>
      <c r="Z60" s="8"/>
      <c r="AA60" s="1"/>
      <c r="AB60" s="1"/>
    </row>
    <row r="61" spans="1:28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1.25" customHeight="1">
      <c r="A62" s="1"/>
      <c r="B62" s="1"/>
      <c r="C62" s="8" t="s">
        <v>78</v>
      </c>
      <c r="D62" s="8"/>
      <c r="E62" s="8"/>
      <c r="F62" s="1"/>
      <c r="G62" s="1"/>
      <c r="H62" s="8" t="s">
        <v>79</v>
      </c>
      <c r="I62" s="8"/>
      <c r="J62" s="8"/>
      <c r="K62" s="8"/>
      <c r="L62" s="8"/>
      <c r="M62" s="8"/>
      <c r="N62" s="8"/>
      <c r="O62" s="1"/>
      <c r="P62" s="1"/>
      <c r="Q62" s="1"/>
      <c r="R62" s="1"/>
      <c r="S62" s="8" t="s">
        <v>7</v>
      </c>
      <c r="T62" s="8"/>
      <c r="U62" s="8"/>
      <c r="V62" s="8"/>
      <c r="W62" s="1"/>
      <c r="X62" s="8" t="s">
        <v>75</v>
      </c>
      <c r="Y62" s="8"/>
      <c r="Z62" s="8"/>
      <c r="AA62" s="1"/>
      <c r="AB62" s="1"/>
    </row>
    <row r="63" spans="1:28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1.25" customHeight="1">
      <c r="A64" s="1"/>
      <c r="B64" s="1"/>
      <c r="C64" s="8" t="s">
        <v>80</v>
      </c>
      <c r="D64" s="8"/>
      <c r="E64" s="8"/>
      <c r="F64" s="1"/>
      <c r="G64" s="1"/>
      <c r="H64" s="8" t="s">
        <v>81</v>
      </c>
      <c r="I64" s="8"/>
      <c r="J64" s="8"/>
      <c r="K64" s="8"/>
      <c r="L64" s="8"/>
      <c r="M64" s="8"/>
      <c r="N64" s="8"/>
      <c r="O64" s="1"/>
      <c r="P64" s="1"/>
      <c r="Q64" s="1"/>
      <c r="R64" s="1"/>
      <c r="S64" s="8" t="s">
        <v>7</v>
      </c>
      <c r="T64" s="8"/>
      <c r="U64" s="8"/>
      <c r="V64" s="8"/>
      <c r="W64" s="1"/>
      <c r="X64" s="1"/>
      <c r="Y64" s="8" t="s">
        <v>82</v>
      </c>
      <c r="Z64" s="8"/>
      <c r="AA64" s="1"/>
      <c r="AB64" s="1"/>
    </row>
    <row r="65" spans="1:28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1.25" customHeight="1">
      <c r="A66" s="1"/>
      <c r="B66" s="1"/>
      <c r="C66" s="8" t="s">
        <v>83</v>
      </c>
      <c r="D66" s="8"/>
      <c r="E66" s="1"/>
      <c r="F66" s="1"/>
      <c r="G66" s="1"/>
      <c r="H66" s="8" t="s">
        <v>84</v>
      </c>
      <c r="I66" s="8"/>
      <c r="J66" s="8"/>
      <c r="K66" s="8"/>
      <c r="L66" s="8"/>
      <c r="M66" s="8"/>
      <c r="N66" s="8"/>
      <c r="O66" s="8"/>
      <c r="P66" s="8"/>
      <c r="Q66" s="1"/>
      <c r="R66" s="1"/>
      <c r="S66" s="8" t="s">
        <v>7</v>
      </c>
      <c r="T66" s="8"/>
      <c r="U66" s="8"/>
      <c r="V66" s="8"/>
      <c r="W66" s="1"/>
      <c r="X66" s="8" t="s">
        <v>85</v>
      </c>
      <c r="Y66" s="8"/>
      <c r="Z66" s="8"/>
      <c r="AA66" s="1"/>
      <c r="AB66" s="1"/>
    </row>
    <row r="67" spans="1:28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1.25" customHeight="1">
      <c r="A68" s="1"/>
      <c r="B68" s="1"/>
      <c r="C68" s="7">
        <v>1025017</v>
      </c>
      <c r="D68" s="1"/>
      <c r="E68" s="1"/>
      <c r="F68" s="1"/>
      <c r="G68" s="1"/>
      <c r="H68" s="8" t="s">
        <v>86</v>
      </c>
      <c r="I68" s="8"/>
      <c r="J68" s="8"/>
      <c r="K68" s="8"/>
      <c r="L68" s="8"/>
      <c r="M68" s="8"/>
      <c r="N68" s="8"/>
      <c r="O68" s="8"/>
      <c r="P68" s="8"/>
      <c r="Q68" s="1"/>
      <c r="R68" s="1"/>
      <c r="S68" s="8" t="s">
        <v>7</v>
      </c>
      <c r="T68" s="8"/>
      <c r="U68" s="8"/>
      <c r="V68" s="8"/>
      <c r="W68" s="1"/>
      <c r="X68" s="1"/>
      <c r="Y68" s="8" t="s">
        <v>87</v>
      </c>
      <c r="Z68" s="8"/>
      <c r="AA68" s="1"/>
      <c r="AB68" s="1"/>
    </row>
    <row r="69" spans="1:28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1.25" customHeight="1">
      <c r="A70" s="1"/>
      <c r="B70" s="1"/>
      <c r="C70" s="8" t="s">
        <v>88</v>
      </c>
      <c r="D70" s="8"/>
      <c r="E70" s="8"/>
      <c r="F70" s="1"/>
      <c r="G70" s="1"/>
      <c r="H70" s="8" t="s">
        <v>89</v>
      </c>
      <c r="I70" s="8"/>
      <c r="J70" s="8"/>
      <c r="K70" s="8"/>
      <c r="L70" s="1"/>
      <c r="M70" s="1"/>
      <c r="N70" s="1"/>
      <c r="O70" s="1"/>
      <c r="P70" s="1"/>
      <c r="Q70" s="1"/>
      <c r="R70" s="1"/>
      <c r="S70" s="8" t="s">
        <v>7</v>
      </c>
      <c r="T70" s="8"/>
      <c r="U70" s="8"/>
      <c r="V70" s="8"/>
      <c r="W70" s="1"/>
      <c r="X70" s="1"/>
      <c r="Y70" s="8" t="s">
        <v>90</v>
      </c>
      <c r="Z70" s="8"/>
      <c r="AA70" s="1"/>
      <c r="AB70" s="1"/>
    </row>
    <row r="71" spans="1:28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1.25" customHeight="1">
      <c r="A72" s="1"/>
      <c r="B72" s="1"/>
      <c r="C72" s="8" t="s">
        <v>91</v>
      </c>
      <c r="D72" s="8"/>
      <c r="E72" s="8"/>
      <c r="F72" s="1"/>
      <c r="G72" s="1"/>
      <c r="H72" s="8" t="s">
        <v>92</v>
      </c>
      <c r="I72" s="8"/>
      <c r="J72" s="8"/>
      <c r="K72" s="8"/>
      <c r="L72" s="1"/>
      <c r="M72" s="1"/>
      <c r="N72" s="1"/>
      <c r="O72" s="1"/>
      <c r="P72" s="1"/>
      <c r="Q72" s="1"/>
      <c r="R72" s="1"/>
      <c r="S72" s="8" t="s">
        <v>7</v>
      </c>
      <c r="T72" s="8"/>
      <c r="U72" s="8"/>
      <c r="V72" s="8"/>
      <c r="W72" s="1"/>
      <c r="X72" s="1"/>
      <c r="Y72" s="8" t="s">
        <v>93</v>
      </c>
      <c r="Z72" s="8"/>
      <c r="AA72" s="1"/>
      <c r="AB72" s="1"/>
    </row>
    <row r="73" spans="1:28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1.25" customHeight="1">
      <c r="A74" s="1"/>
      <c r="B74" s="1"/>
      <c r="C74" s="8" t="s">
        <v>94</v>
      </c>
      <c r="D74" s="8"/>
      <c r="E74" s="8"/>
      <c r="F74" s="1"/>
      <c r="G74" s="1"/>
      <c r="H74" s="8" t="s">
        <v>95</v>
      </c>
      <c r="I74" s="8"/>
      <c r="J74" s="8"/>
      <c r="K74" s="8"/>
      <c r="L74" s="1"/>
      <c r="M74" s="1"/>
      <c r="N74" s="1"/>
      <c r="O74" s="1"/>
      <c r="P74" s="1"/>
      <c r="Q74" s="1"/>
      <c r="R74" s="1"/>
      <c r="S74" s="8" t="s">
        <v>7</v>
      </c>
      <c r="T74" s="8"/>
      <c r="U74" s="8"/>
      <c r="V74" s="8"/>
      <c r="W74" s="1"/>
      <c r="X74" s="1"/>
      <c r="Y74" s="8" t="s">
        <v>96</v>
      </c>
      <c r="Z74" s="8"/>
      <c r="AA74" s="1"/>
      <c r="AB74" s="1"/>
    </row>
    <row r="75" spans="1:28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1.25" customHeight="1">
      <c r="A76" s="1"/>
      <c r="B76" s="1"/>
      <c r="C76" s="8" t="s">
        <v>97</v>
      </c>
      <c r="D76" s="8"/>
      <c r="E76" s="8"/>
      <c r="F76" s="1"/>
      <c r="G76" s="1"/>
      <c r="H76" s="8" t="s">
        <v>98</v>
      </c>
      <c r="I76" s="8"/>
      <c r="J76" s="8"/>
      <c r="K76" s="8"/>
      <c r="L76" s="8"/>
      <c r="M76" s="8"/>
      <c r="N76" s="8"/>
      <c r="O76" s="8"/>
      <c r="P76" s="8"/>
      <c r="Q76" s="1"/>
      <c r="R76" s="1"/>
      <c r="S76" s="8" t="s">
        <v>7</v>
      </c>
      <c r="T76" s="8"/>
      <c r="U76" s="8"/>
      <c r="V76" s="8"/>
      <c r="W76" s="1"/>
      <c r="X76" s="1"/>
      <c r="Y76" s="8" t="s">
        <v>99</v>
      </c>
      <c r="Z76" s="8"/>
      <c r="AA76" s="1"/>
      <c r="AB76" s="1"/>
    </row>
    <row r="77" spans="1:28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1.25" customHeight="1">
      <c r="A78" s="1"/>
      <c r="B78" s="1"/>
      <c r="C78" s="8" t="s">
        <v>100</v>
      </c>
      <c r="D78" s="8"/>
      <c r="E78" s="8"/>
      <c r="F78" s="1"/>
      <c r="G78" s="1"/>
      <c r="H78" s="8" t="s">
        <v>101</v>
      </c>
      <c r="I78" s="8"/>
      <c r="J78" s="8"/>
      <c r="K78" s="8"/>
      <c r="L78" s="8"/>
      <c r="M78" s="8"/>
      <c r="N78" s="8"/>
      <c r="O78" s="8"/>
      <c r="P78" s="8"/>
      <c r="Q78" s="8"/>
      <c r="R78" s="1"/>
      <c r="S78" s="8" t="s">
        <v>7</v>
      </c>
      <c r="T78" s="8"/>
      <c r="U78" s="8"/>
      <c r="V78" s="8"/>
      <c r="W78" s="1"/>
      <c r="X78" s="1"/>
      <c r="Y78" s="8" t="s">
        <v>102</v>
      </c>
      <c r="Z78" s="8"/>
      <c r="AA78" s="1"/>
      <c r="AB78" s="1"/>
    </row>
    <row r="79" spans="1:28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1.25" customHeight="1">
      <c r="A80" s="1"/>
      <c r="B80" s="1"/>
      <c r="C80" s="8" t="s">
        <v>103</v>
      </c>
      <c r="D80" s="8"/>
      <c r="E80" s="8"/>
      <c r="F80" s="1"/>
      <c r="G80" s="1"/>
      <c r="H80" s="8" t="s">
        <v>104</v>
      </c>
      <c r="I80" s="8"/>
      <c r="J80" s="8"/>
      <c r="K80" s="8"/>
      <c r="L80" s="8"/>
      <c r="M80" s="8"/>
      <c r="N80" s="8"/>
      <c r="O80" s="8"/>
      <c r="P80" s="8"/>
      <c r="Q80" s="8"/>
      <c r="R80" s="1"/>
      <c r="S80" s="8" t="s">
        <v>7</v>
      </c>
      <c r="T80" s="8"/>
      <c r="U80" s="8"/>
      <c r="V80" s="8"/>
      <c r="W80" s="1"/>
      <c r="X80" s="1"/>
      <c r="Y80" s="8" t="s">
        <v>105</v>
      </c>
      <c r="Z80" s="8"/>
      <c r="AA80" s="1"/>
      <c r="AB80" s="1"/>
    </row>
    <row r="81" spans="1:28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1.25" customHeight="1">
      <c r="A82" s="1"/>
      <c r="B82" s="1"/>
      <c r="C82" s="8" t="s">
        <v>106</v>
      </c>
      <c r="D82" s="8"/>
      <c r="E82" s="8"/>
      <c r="F82" s="1"/>
      <c r="G82" s="1"/>
      <c r="H82" s="8" t="s">
        <v>107</v>
      </c>
      <c r="I82" s="8"/>
      <c r="J82" s="8"/>
      <c r="K82" s="8"/>
      <c r="L82" s="8"/>
      <c r="M82" s="8"/>
      <c r="N82" s="8"/>
      <c r="O82" s="8"/>
      <c r="P82" s="8"/>
      <c r="Q82" s="8"/>
      <c r="R82" s="1"/>
      <c r="S82" s="8" t="s">
        <v>7</v>
      </c>
      <c r="T82" s="8"/>
      <c r="U82" s="8"/>
      <c r="V82" s="8"/>
      <c r="W82" s="1"/>
      <c r="X82" s="1"/>
      <c r="Y82" s="8" t="s">
        <v>105</v>
      </c>
      <c r="Z82" s="8"/>
      <c r="AA82" s="1"/>
      <c r="AB82" s="1"/>
    </row>
    <row r="83" spans="1:28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1.25" customHeight="1">
      <c r="A84" s="1"/>
      <c r="B84" s="1"/>
      <c r="C84" s="8" t="s">
        <v>108</v>
      </c>
      <c r="D84" s="8"/>
      <c r="E84" s="8"/>
      <c r="F84" s="1"/>
      <c r="G84" s="1"/>
      <c r="H84" s="8" t="s">
        <v>109</v>
      </c>
      <c r="I84" s="8"/>
      <c r="J84" s="8"/>
      <c r="K84" s="8"/>
      <c r="L84" s="8"/>
      <c r="M84" s="1"/>
      <c r="N84" s="1"/>
      <c r="O84" s="1"/>
      <c r="P84" s="1"/>
      <c r="Q84" s="1"/>
      <c r="R84" s="1"/>
      <c r="S84" s="8" t="s">
        <v>7</v>
      </c>
      <c r="T84" s="8"/>
      <c r="U84" s="8"/>
      <c r="V84" s="8"/>
      <c r="W84" s="1"/>
      <c r="X84" s="1"/>
      <c r="Y84" s="8" t="s">
        <v>110</v>
      </c>
      <c r="Z84" s="8"/>
      <c r="AA84" s="1"/>
      <c r="AB84" s="1"/>
    </row>
    <row r="85" spans="1:28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1.25" customHeight="1">
      <c r="A86" s="1"/>
      <c r="B86" s="1"/>
      <c r="C86" s="8" t="s">
        <v>111</v>
      </c>
      <c r="D86" s="8"/>
      <c r="E86" s="8"/>
      <c r="F86" s="1"/>
      <c r="G86" s="1"/>
      <c r="H86" s="8" t="s">
        <v>112</v>
      </c>
      <c r="I86" s="8"/>
      <c r="J86" s="8"/>
      <c r="K86" s="8"/>
      <c r="L86" s="1"/>
      <c r="M86" s="1"/>
      <c r="N86" s="1"/>
      <c r="O86" s="1"/>
      <c r="P86" s="1"/>
      <c r="Q86" s="1"/>
      <c r="R86" s="1"/>
      <c r="S86" s="8" t="s">
        <v>7</v>
      </c>
      <c r="T86" s="8"/>
      <c r="U86" s="8"/>
      <c r="V86" s="8"/>
      <c r="W86" s="1"/>
      <c r="X86" s="1"/>
      <c r="Y86" s="1"/>
      <c r="Z86" s="5" t="s">
        <v>30</v>
      </c>
      <c r="AA86" s="1"/>
      <c r="AB86" s="1"/>
    </row>
    <row r="87" spans="1:28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1.25" customHeight="1">
      <c r="A88" s="1"/>
      <c r="B88" s="1"/>
      <c r="C88" s="8" t="s">
        <v>113</v>
      </c>
      <c r="D88" s="8"/>
      <c r="E88" s="8"/>
      <c r="F88" s="1"/>
      <c r="G88" s="1"/>
      <c r="H88" s="8" t="s">
        <v>114</v>
      </c>
      <c r="I88" s="8"/>
      <c r="J88" s="8"/>
      <c r="K88" s="8"/>
      <c r="L88" s="8"/>
      <c r="M88" s="8"/>
      <c r="N88" s="8"/>
      <c r="O88" s="8"/>
      <c r="P88" s="8"/>
      <c r="Q88" s="1"/>
      <c r="R88" s="1"/>
      <c r="S88" s="8" t="s">
        <v>7</v>
      </c>
      <c r="T88" s="8"/>
      <c r="U88" s="8"/>
      <c r="V88" s="8"/>
      <c r="W88" s="1"/>
      <c r="X88" s="1"/>
      <c r="Y88" s="8" t="s">
        <v>115</v>
      </c>
      <c r="Z88" s="8"/>
      <c r="AA88" s="1"/>
      <c r="AB88" s="1"/>
    </row>
    <row r="89" spans="1:28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1.25" customHeight="1">
      <c r="A90" s="1"/>
      <c r="B90" s="1"/>
      <c r="C90" s="8" t="s">
        <v>116</v>
      </c>
      <c r="D90" s="8"/>
      <c r="E90" s="8"/>
      <c r="F90" s="1"/>
      <c r="G90" s="1"/>
      <c r="H90" s="8" t="s">
        <v>117</v>
      </c>
      <c r="I90" s="8"/>
      <c r="J90" s="8"/>
      <c r="K90" s="8"/>
      <c r="L90" s="8"/>
      <c r="M90" s="8"/>
      <c r="N90" s="8"/>
      <c r="O90" s="1"/>
      <c r="P90" s="1"/>
      <c r="Q90" s="1"/>
      <c r="R90" s="1"/>
      <c r="S90" s="8" t="s">
        <v>7</v>
      </c>
      <c r="T90" s="8"/>
      <c r="U90" s="8"/>
      <c r="V90" s="8"/>
      <c r="W90" s="1"/>
      <c r="X90" s="1"/>
      <c r="Y90" s="8" t="s">
        <v>118</v>
      </c>
      <c r="Z90" s="8"/>
      <c r="AA90" s="1"/>
      <c r="AB90" s="1"/>
    </row>
    <row r="91" spans="1:28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1.25" customHeight="1">
      <c r="A92" s="1"/>
      <c r="B92" s="1"/>
      <c r="C92" s="8" t="s">
        <v>119</v>
      </c>
      <c r="D92" s="8"/>
      <c r="E92" s="8"/>
      <c r="F92" s="1"/>
      <c r="G92" s="1"/>
      <c r="H92" s="8" t="s">
        <v>120</v>
      </c>
      <c r="I92" s="8"/>
      <c r="J92" s="8"/>
      <c r="K92" s="8"/>
      <c r="L92" s="8"/>
      <c r="M92" s="8"/>
      <c r="N92" s="8"/>
      <c r="O92" s="1"/>
      <c r="P92" s="1"/>
      <c r="Q92" s="1"/>
      <c r="R92" s="1"/>
      <c r="S92" s="8" t="s">
        <v>7</v>
      </c>
      <c r="T92" s="8"/>
      <c r="U92" s="8"/>
      <c r="V92" s="8"/>
      <c r="W92" s="1"/>
      <c r="X92" s="1"/>
      <c r="Y92" s="8" t="s">
        <v>118</v>
      </c>
      <c r="Z92" s="8"/>
      <c r="AA92" s="1"/>
      <c r="AB92" s="1"/>
    </row>
    <row r="93" spans="1:28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1.25" customHeight="1">
      <c r="A94" s="1"/>
      <c r="B94" s="1"/>
      <c r="C94" s="8" t="s">
        <v>121</v>
      </c>
      <c r="D94" s="8"/>
      <c r="E94" s="8"/>
      <c r="F94" s="1"/>
      <c r="G94" s="1"/>
      <c r="H94" s="8" t="s">
        <v>122</v>
      </c>
      <c r="I94" s="8"/>
      <c r="J94" s="8"/>
      <c r="K94" s="8"/>
      <c r="L94" s="8"/>
      <c r="M94" s="1"/>
      <c r="N94" s="1"/>
      <c r="O94" s="1"/>
      <c r="P94" s="1"/>
      <c r="Q94" s="1"/>
      <c r="R94" s="1"/>
      <c r="S94" s="8" t="s">
        <v>7</v>
      </c>
      <c r="T94" s="8"/>
      <c r="U94" s="8"/>
      <c r="V94" s="8"/>
      <c r="W94" s="1"/>
      <c r="X94" s="1"/>
      <c r="Y94" s="8" t="s">
        <v>123</v>
      </c>
      <c r="Z94" s="8"/>
      <c r="AA94" s="1"/>
      <c r="AB94" s="1"/>
    </row>
    <row r="95" spans="1:28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1.25" customHeight="1">
      <c r="A96" s="1"/>
      <c r="B96" s="1"/>
      <c r="C96" s="8" t="s">
        <v>124</v>
      </c>
      <c r="D96" s="8"/>
      <c r="E96" s="8"/>
      <c r="F96" s="1"/>
      <c r="G96" s="1"/>
      <c r="H96" s="8" t="s">
        <v>125</v>
      </c>
      <c r="I96" s="8"/>
      <c r="J96" s="8"/>
      <c r="K96" s="8"/>
      <c r="L96" s="8"/>
      <c r="M96" s="8"/>
      <c r="N96" s="1"/>
      <c r="O96" s="1"/>
      <c r="P96" s="1"/>
      <c r="Q96" s="1"/>
      <c r="R96" s="1"/>
      <c r="S96" s="8" t="s">
        <v>7</v>
      </c>
      <c r="T96" s="8"/>
      <c r="U96" s="8"/>
      <c r="V96" s="8"/>
      <c r="W96" s="1"/>
      <c r="X96" s="1"/>
      <c r="Y96" s="8" t="s">
        <v>126</v>
      </c>
      <c r="Z96" s="8"/>
      <c r="AA96" s="1"/>
      <c r="AB96" s="1"/>
    </row>
    <row r="97" spans="1:28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1.25" customHeight="1">
      <c r="A98" s="1"/>
      <c r="B98" s="1"/>
      <c r="C98" s="8" t="s">
        <v>127</v>
      </c>
      <c r="D98" s="8"/>
      <c r="E98" s="8"/>
      <c r="F98" s="1"/>
      <c r="G98" s="1"/>
      <c r="H98" s="8" t="s">
        <v>128</v>
      </c>
      <c r="I98" s="8"/>
      <c r="J98" s="8"/>
      <c r="K98" s="8"/>
      <c r="L98" s="1"/>
      <c r="M98" s="1"/>
      <c r="N98" s="1"/>
      <c r="O98" s="1"/>
      <c r="P98" s="1"/>
      <c r="Q98" s="1"/>
      <c r="R98" s="1"/>
      <c r="S98" s="8" t="s">
        <v>7</v>
      </c>
      <c r="T98" s="8"/>
      <c r="U98" s="8"/>
      <c r="V98" s="8"/>
      <c r="W98" s="1"/>
      <c r="X98" s="1"/>
      <c r="Y98" s="8" t="s">
        <v>129</v>
      </c>
      <c r="Z98" s="8"/>
      <c r="AA98" s="1"/>
      <c r="AB98" s="1"/>
    </row>
    <row r="99" spans="1:28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1.25" customHeight="1">
      <c r="A100" s="1"/>
      <c r="B100" s="1"/>
      <c r="C100" s="8" t="s">
        <v>130</v>
      </c>
      <c r="D100" s="8"/>
      <c r="E100" s="8"/>
      <c r="F100" s="1"/>
      <c r="G100" s="1"/>
      <c r="H100" s="8" t="s">
        <v>131</v>
      </c>
      <c r="I100" s="8"/>
      <c r="J100" s="8"/>
      <c r="K100" s="8"/>
      <c r="L100" s="8"/>
      <c r="M100" s="8"/>
      <c r="N100" s="8"/>
      <c r="O100" s="8"/>
      <c r="P100" s="8"/>
      <c r="Q100" s="1"/>
      <c r="R100" s="1"/>
      <c r="S100" s="8" t="s">
        <v>7</v>
      </c>
      <c r="T100" s="8"/>
      <c r="U100" s="8"/>
      <c r="V100" s="8"/>
      <c r="W100" s="1"/>
      <c r="X100" s="1"/>
      <c r="Y100" s="1"/>
      <c r="Z100" s="5" t="s">
        <v>132</v>
      </c>
      <c r="AA100" s="1"/>
      <c r="AB100" s="1"/>
    </row>
    <row r="101" spans="1:28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8"/>
      <c r="K102" s="8"/>
      <c r="L102" s="8"/>
      <c r="M102" s="8"/>
      <c r="N102" s="8"/>
      <c r="O102" s="8"/>
      <c r="P102" s="8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8"/>
      <c r="L104" s="8"/>
      <c r="M104" s="8"/>
      <c r="N104" s="8"/>
      <c r="O104" s="8"/>
      <c r="P104" s="8"/>
      <c r="Q104" s="1"/>
      <c r="R104" s="1"/>
      <c r="S104" s="1"/>
      <c r="T104" s="1"/>
      <c r="U104" s="1"/>
      <c r="V104" s="1"/>
      <c r="W104" s="1"/>
      <c r="X104" s="8" t="s">
        <v>136</v>
      </c>
      <c r="Y104" s="8"/>
      <c r="Z104" s="8"/>
      <c r="AA104" s="8"/>
      <c r="AB104" s="1"/>
    </row>
    <row r="105" spans="1:28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</sheetData>
  <mergeCells count="192">
    <mergeCell ref="B2:F4"/>
    <mergeCell ref="G2:S4"/>
    <mergeCell ref="T2:U4"/>
    <mergeCell ref="X3:AA3"/>
    <mergeCell ref="Y6:Z6"/>
    <mergeCell ref="C8:E8"/>
    <mergeCell ref="H8:M8"/>
    <mergeCell ref="S8:V8"/>
    <mergeCell ref="Y8:Z8"/>
    <mergeCell ref="T6:W6"/>
    <mergeCell ref="C10:E10"/>
    <mergeCell ref="H10:L10"/>
    <mergeCell ref="S10:V10"/>
    <mergeCell ref="Y10:Z10"/>
    <mergeCell ref="C12:E12"/>
    <mergeCell ref="H12:K12"/>
    <mergeCell ref="S12:V12"/>
    <mergeCell ref="X12:Z12"/>
    <mergeCell ref="C14:E14"/>
    <mergeCell ref="H14:N14"/>
    <mergeCell ref="S14:V14"/>
    <mergeCell ref="Y14:Z14"/>
    <mergeCell ref="C16:E16"/>
    <mergeCell ref="H16:N16"/>
    <mergeCell ref="S16:V16"/>
    <mergeCell ref="Y16:Z16"/>
    <mergeCell ref="C18:E18"/>
    <mergeCell ref="H18:K18"/>
    <mergeCell ref="S18:V18"/>
    <mergeCell ref="Y18:Z18"/>
    <mergeCell ref="C20:D20"/>
    <mergeCell ref="H20:J20"/>
    <mergeCell ref="U20:V20"/>
    <mergeCell ref="C22:D22"/>
    <mergeCell ref="H22:L22"/>
    <mergeCell ref="U22:V22"/>
    <mergeCell ref="C24:D24"/>
    <mergeCell ref="H24:P24"/>
    <mergeCell ref="S24:V24"/>
    <mergeCell ref="Y24:Z24"/>
    <mergeCell ref="C26:D26"/>
    <mergeCell ref="H26:P26"/>
    <mergeCell ref="S26:V26"/>
    <mergeCell ref="Y26:Z26"/>
    <mergeCell ref="C28:D28"/>
    <mergeCell ref="H28:P28"/>
    <mergeCell ref="S28:V28"/>
    <mergeCell ref="Y28:Z28"/>
    <mergeCell ref="C30:D30"/>
    <mergeCell ref="H30:P30"/>
    <mergeCell ref="S30:V30"/>
    <mergeCell ref="Y30:Z30"/>
    <mergeCell ref="C32:E32"/>
    <mergeCell ref="H32:O32"/>
    <mergeCell ref="S32:V32"/>
    <mergeCell ref="X32:Z32"/>
    <mergeCell ref="C34:E34"/>
    <mergeCell ref="H34:K34"/>
    <mergeCell ref="S34:V34"/>
    <mergeCell ref="Y34:Z34"/>
    <mergeCell ref="C36:E36"/>
    <mergeCell ref="H36:P36"/>
    <mergeCell ref="S36:V36"/>
    <mergeCell ref="Y36:Z36"/>
    <mergeCell ref="C38:E38"/>
    <mergeCell ref="H38:P38"/>
    <mergeCell ref="S38:V38"/>
    <mergeCell ref="Y38:Z38"/>
    <mergeCell ref="C40:E40"/>
    <mergeCell ref="H40:P40"/>
    <mergeCell ref="S40:V40"/>
    <mergeCell ref="Y40:Z40"/>
    <mergeCell ref="C42:E42"/>
    <mergeCell ref="H42:P42"/>
    <mergeCell ref="S42:V42"/>
    <mergeCell ref="Y42:Z42"/>
    <mergeCell ref="C44:E44"/>
    <mergeCell ref="H44:K44"/>
    <mergeCell ref="S44:V44"/>
    <mergeCell ref="X44:Z44"/>
    <mergeCell ref="C46:E46"/>
    <mergeCell ref="H46:M46"/>
    <mergeCell ref="S46:V46"/>
    <mergeCell ref="X46:Z46"/>
    <mergeCell ref="C48:E48"/>
    <mergeCell ref="H48:M48"/>
    <mergeCell ref="S48:V48"/>
    <mergeCell ref="X48:Z48"/>
    <mergeCell ref="C50:E50"/>
    <mergeCell ref="H50:P50"/>
    <mergeCell ref="S50:V50"/>
    <mergeCell ref="Y50:Z50"/>
    <mergeCell ref="C52:E52"/>
    <mergeCell ref="H52:P52"/>
    <mergeCell ref="S52:V52"/>
    <mergeCell ref="Y52:Z52"/>
    <mergeCell ref="C54:E54"/>
    <mergeCell ref="H54:P54"/>
    <mergeCell ref="S54:V54"/>
    <mergeCell ref="Y54:Z54"/>
    <mergeCell ref="C56:E56"/>
    <mergeCell ref="H56:P56"/>
    <mergeCell ref="S56:V56"/>
    <mergeCell ref="Y56:Z56"/>
    <mergeCell ref="C58:E58"/>
    <mergeCell ref="H58:L58"/>
    <mergeCell ref="S58:V58"/>
    <mergeCell ref="X58:Z58"/>
    <mergeCell ref="C60:E60"/>
    <mergeCell ref="H60:N60"/>
    <mergeCell ref="S60:V60"/>
    <mergeCell ref="X60:Z60"/>
    <mergeCell ref="C62:E62"/>
    <mergeCell ref="H62:N62"/>
    <mergeCell ref="S62:V62"/>
    <mergeCell ref="X62:Z62"/>
    <mergeCell ref="C64:E64"/>
    <mergeCell ref="H64:N64"/>
    <mergeCell ref="S64:V64"/>
    <mergeCell ref="Y64:Z64"/>
    <mergeCell ref="C66:D66"/>
    <mergeCell ref="H66:P66"/>
    <mergeCell ref="S66:V66"/>
    <mergeCell ref="X66:Z66"/>
    <mergeCell ref="H68:P68"/>
    <mergeCell ref="S68:V68"/>
    <mergeCell ref="Y68:Z68"/>
    <mergeCell ref="C70:E70"/>
    <mergeCell ref="H70:K70"/>
    <mergeCell ref="S70:V70"/>
    <mergeCell ref="Y70:Z70"/>
    <mergeCell ref="C72:E72"/>
    <mergeCell ref="H72:K72"/>
    <mergeCell ref="S72:V72"/>
    <mergeCell ref="Y72:Z72"/>
    <mergeCell ref="C74:E74"/>
    <mergeCell ref="H74:K74"/>
    <mergeCell ref="S74:V74"/>
    <mergeCell ref="Y74:Z74"/>
    <mergeCell ref="C76:E76"/>
    <mergeCell ref="H76:P76"/>
    <mergeCell ref="S76:V76"/>
    <mergeCell ref="Y76:Z76"/>
    <mergeCell ref="C78:E78"/>
    <mergeCell ref="H78:Q78"/>
    <mergeCell ref="S78:V78"/>
    <mergeCell ref="Y78:Z78"/>
    <mergeCell ref="C80:E80"/>
    <mergeCell ref="H80:Q80"/>
    <mergeCell ref="S80:V80"/>
    <mergeCell ref="Y80:Z80"/>
    <mergeCell ref="C82:E82"/>
    <mergeCell ref="H82:Q82"/>
    <mergeCell ref="S82:V82"/>
    <mergeCell ref="Y82:Z82"/>
    <mergeCell ref="C84:E84"/>
    <mergeCell ref="H84:L84"/>
    <mergeCell ref="S84:V84"/>
    <mergeCell ref="Y84:Z84"/>
    <mergeCell ref="C86:E86"/>
    <mergeCell ref="H86:K86"/>
    <mergeCell ref="S86:V86"/>
    <mergeCell ref="C88:E88"/>
    <mergeCell ref="H88:P88"/>
    <mergeCell ref="S88:V88"/>
    <mergeCell ref="Y88:Z88"/>
    <mergeCell ref="C90:E90"/>
    <mergeCell ref="H90:N90"/>
    <mergeCell ref="S90:V90"/>
    <mergeCell ref="Y90:Z90"/>
    <mergeCell ref="C92:E92"/>
    <mergeCell ref="H92:N92"/>
    <mergeCell ref="S92:V92"/>
    <mergeCell ref="Y92:Z92"/>
    <mergeCell ref="C100:E100"/>
    <mergeCell ref="H100:P100"/>
    <mergeCell ref="S100:V100"/>
    <mergeCell ref="I102:Q102"/>
    <mergeCell ref="J104:P104"/>
    <mergeCell ref="X104:AA104"/>
    <mergeCell ref="C94:E94"/>
    <mergeCell ref="H94:L94"/>
    <mergeCell ref="S94:V94"/>
    <mergeCell ref="Y94:Z94"/>
    <mergeCell ref="C96:E96"/>
    <mergeCell ref="H96:M96"/>
    <mergeCell ref="S96:V96"/>
    <mergeCell ref="Y96:Z96"/>
    <mergeCell ref="C98:E98"/>
    <mergeCell ref="H98:K98"/>
    <mergeCell ref="S98:V98"/>
    <mergeCell ref="Y98:Z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8.5703125" customWidth="1"/>
    <col min="5" max="5" width="15.7109375" customWidth="1"/>
    <col min="6" max="6" width="0.140625" customWidth="1"/>
    <col min="7" max="7" width="3.7109375" customWidth="1"/>
    <col min="8" max="8" width="6.140625" customWidth="1"/>
    <col min="9" max="9" width="11.7109375" customWidth="1"/>
    <col min="10" max="10" width="2.5703125" customWidth="1"/>
    <col min="11" max="11" width="0.7109375" customWidth="1"/>
    <col min="12" max="12" width="0.42578125" customWidth="1"/>
    <col min="13" max="13" width="1" customWidth="1"/>
    <col min="14" max="14" width="1.42578125" customWidth="1"/>
    <col min="15" max="15" width="0.5703125" customWidth="1"/>
    <col min="16" max="16" width="2.28515625" customWidth="1"/>
    <col min="17" max="17" width="0.42578125" customWidth="1"/>
    <col min="18" max="18" width="0.5703125" customWidth="1"/>
    <col min="19" max="19" width="0.42578125" customWidth="1"/>
    <col min="20" max="20" width="0.5703125" customWidth="1"/>
    <col min="21" max="21" width="0.7109375" customWidth="1"/>
    <col min="22" max="22" width="1.42578125" customWidth="1"/>
    <col min="23" max="23" width="1" customWidth="1"/>
    <col min="24" max="24" width="3.28515625" customWidth="1"/>
    <col min="25" max="25" width="1.42578125" customWidth="1"/>
    <col min="26" max="27" width="0.42578125" customWidth="1"/>
    <col min="28" max="28" width="2" customWidth="1"/>
    <col min="29" max="29" width="1.5703125" customWidth="1"/>
    <col min="30" max="30" width="0.42578125" customWidth="1"/>
    <col min="31" max="31" width="0.85546875" customWidth="1"/>
    <col min="32" max="32" width="1.140625" customWidth="1"/>
    <col min="33" max="33" width="0.42578125" customWidth="1"/>
    <col min="34" max="35" width="2.140625" customWidth="1"/>
    <col min="36" max="36" width="0.42578125" customWidth="1"/>
    <col min="37" max="37" width="0.85546875" customWidth="1"/>
    <col min="38" max="38" width="0.5703125" customWidth="1"/>
    <col min="39" max="39" width="1" customWidth="1"/>
    <col min="40" max="40" width="1.7109375" customWidth="1"/>
    <col min="41" max="41" width="1" customWidth="1"/>
    <col min="42" max="42" width="0.5703125" customWidth="1"/>
    <col min="43" max="43" width="2.7109375" customWidth="1"/>
    <col min="44" max="44" width="13" customWidth="1"/>
    <col min="45" max="45" width="0.28515625" customWidth="1"/>
    <col min="46" max="46" width="3.140625" customWidth="1"/>
    <col min="47" max="47" width="2.85546875" customWidth="1"/>
    <col min="48" max="48" width="0.42578125" customWidth="1"/>
    <col min="49" max="49" width="3.28515625" customWidth="1"/>
    <col min="50" max="50" width="1.140625" customWidth="1"/>
    <col min="51" max="51" width="1.85546875" customWidth="1"/>
    <col min="52" max="53" width="1.28515625" customWidth="1"/>
    <col min="54" max="54" width="6.140625" customWidth="1"/>
    <col min="55" max="55" width="1" customWidth="1"/>
    <col min="56" max="56" width="3.85546875" customWidth="1"/>
  </cols>
  <sheetData>
    <row r="1" spans="1:56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1"/>
      <c r="AW1" s="1"/>
      <c r="AX1" s="1"/>
      <c r="AY1" s="1"/>
      <c r="AZ1" s="1"/>
      <c r="BA1" s="1"/>
      <c r="BB1" s="1"/>
      <c r="BC1" s="1"/>
      <c r="BD1" s="1"/>
    </row>
    <row r="2" spans="1:56" ht="1.7" customHeight="1">
      <c r="A2" s="3"/>
      <c r="B2" s="19" t="s">
        <v>0</v>
      </c>
      <c r="C2" s="10"/>
      <c r="D2" s="10"/>
      <c r="E2" s="11"/>
      <c r="F2" s="19" t="s">
        <v>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9" t="s">
        <v>2</v>
      </c>
      <c r="AU2" s="11"/>
      <c r="AV2" s="4"/>
      <c r="AW2" s="1"/>
      <c r="AX2" s="1"/>
      <c r="AY2" s="1"/>
      <c r="AZ2" s="1"/>
      <c r="BA2" s="1"/>
      <c r="BB2" s="1"/>
      <c r="BC2" s="1"/>
      <c r="BD2" s="1"/>
    </row>
    <row r="3" spans="1:56" ht="11.25" customHeight="1">
      <c r="A3" s="3"/>
      <c r="B3" s="12"/>
      <c r="C3" s="13"/>
      <c r="D3" s="13"/>
      <c r="E3" s="14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12"/>
      <c r="AU3" s="14"/>
      <c r="AV3" s="4"/>
      <c r="AW3" s="1"/>
      <c r="AX3" s="8" t="s">
        <v>3</v>
      </c>
      <c r="AY3" s="18"/>
      <c r="AZ3" s="18"/>
      <c r="BA3" s="18"/>
      <c r="BB3" s="18"/>
      <c r="BC3" s="18"/>
      <c r="BD3" s="1"/>
    </row>
    <row r="4" spans="1:56" ht="5.0999999999999996" customHeight="1">
      <c r="A4" s="3"/>
      <c r="B4" s="15"/>
      <c r="C4" s="16"/>
      <c r="D4" s="16"/>
      <c r="E4" s="17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7"/>
      <c r="AT4" s="15"/>
      <c r="AU4" s="17"/>
      <c r="AV4" s="4"/>
      <c r="AW4" s="1"/>
      <c r="AX4" s="1"/>
      <c r="AY4" s="1"/>
      <c r="AZ4" s="1"/>
      <c r="BA4" s="1"/>
      <c r="BB4" s="1"/>
      <c r="BC4" s="1"/>
      <c r="BD4" s="1"/>
    </row>
    <row r="5" spans="1:56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1"/>
      <c r="AW5" s="1"/>
      <c r="AX5" s="1"/>
      <c r="AY5" s="1"/>
      <c r="AZ5" s="1"/>
      <c r="BA5" s="1"/>
      <c r="BB5" s="1"/>
      <c r="BC5" s="1"/>
      <c r="BD5" s="1"/>
    </row>
    <row r="6" spans="1:56" ht="11.25" customHeight="1">
      <c r="A6" s="1"/>
      <c r="B6" s="1"/>
      <c r="C6" s="1" t="s">
        <v>2157</v>
      </c>
      <c r="D6" s="1"/>
      <c r="E6" s="1"/>
      <c r="F6" s="1"/>
      <c r="G6" s="1" t="s">
        <v>2158</v>
      </c>
      <c r="H6" s="1" t="s">
        <v>2159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 t="s">
        <v>2160</v>
      </c>
      <c r="AU6" s="1"/>
      <c r="AV6" s="1"/>
      <c r="AW6" s="1"/>
      <c r="AX6" s="1"/>
      <c r="AY6" s="1"/>
      <c r="AZ6" s="1"/>
      <c r="BA6" s="1"/>
      <c r="BB6" s="5" t="s">
        <v>137</v>
      </c>
      <c r="BC6" s="1"/>
      <c r="BD6" s="1"/>
    </row>
    <row r="7" spans="1:56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ht="11.25" customHeight="1">
      <c r="A8" s="1"/>
      <c r="B8" s="1"/>
      <c r="C8" s="8" t="s">
        <v>138</v>
      </c>
      <c r="D8" s="18"/>
      <c r="E8" s="1"/>
      <c r="F8" s="1"/>
      <c r="G8" s="8" t="s">
        <v>139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8" t="s">
        <v>7</v>
      </c>
      <c r="AT8" s="18"/>
      <c r="AU8" s="18"/>
      <c r="AV8" s="18"/>
      <c r="AW8" s="1"/>
      <c r="AX8" s="1"/>
      <c r="AY8" s="1"/>
      <c r="AZ8" s="8" t="s">
        <v>140</v>
      </c>
      <c r="BA8" s="18"/>
      <c r="BB8" s="18"/>
      <c r="BC8" s="1"/>
      <c r="BD8" s="1"/>
    </row>
    <row r="9" spans="1:56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11.25" customHeight="1">
      <c r="A10" s="1"/>
      <c r="B10" s="1"/>
      <c r="C10" s="8" t="s">
        <v>141</v>
      </c>
      <c r="D10" s="18"/>
      <c r="E10" s="1"/>
      <c r="F10" s="1"/>
      <c r="G10" s="8" t="s">
        <v>142</v>
      </c>
      <c r="H10" s="18"/>
      <c r="I10" s="18"/>
      <c r="J10" s="18"/>
      <c r="K10" s="1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8" t="s">
        <v>7</v>
      </c>
      <c r="AT10" s="18"/>
      <c r="AU10" s="18"/>
      <c r="AV10" s="18"/>
      <c r="AW10" s="1"/>
      <c r="AX10" s="1"/>
      <c r="AY10" s="8" t="s">
        <v>143</v>
      </c>
      <c r="AZ10" s="18"/>
      <c r="BA10" s="18"/>
      <c r="BB10" s="18"/>
      <c r="BC10" s="1"/>
      <c r="BD10" s="1"/>
    </row>
    <row r="11" spans="1:56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11.25" customHeight="1">
      <c r="A12" s="1"/>
      <c r="B12" s="1"/>
      <c r="C12" s="8" t="s">
        <v>144</v>
      </c>
      <c r="D12" s="18"/>
      <c r="E12" s="1"/>
      <c r="F12" s="1"/>
      <c r="G12" s="8" t="s">
        <v>145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8" t="s">
        <v>7</v>
      </c>
      <c r="AT12" s="18"/>
      <c r="AU12" s="18"/>
      <c r="AV12" s="18"/>
      <c r="AW12" s="1"/>
      <c r="AX12" s="1"/>
      <c r="AY12" s="1"/>
      <c r="AZ12" s="8" t="s">
        <v>146</v>
      </c>
      <c r="BA12" s="18"/>
      <c r="BB12" s="18"/>
      <c r="BC12" s="1"/>
      <c r="BD12" s="1"/>
    </row>
    <row r="13" spans="1:56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11.25" customHeight="1">
      <c r="A14" s="1"/>
      <c r="B14" s="1"/>
      <c r="C14" s="8" t="s">
        <v>147</v>
      </c>
      <c r="D14" s="18"/>
      <c r="E14" s="1"/>
      <c r="F14" s="1"/>
      <c r="G14" s="8" t="s">
        <v>148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"/>
      <c r="AN14" s="1"/>
      <c r="AO14" s="1"/>
      <c r="AP14" s="1"/>
      <c r="AQ14" s="1"/>
      <c r="AR14" s="1"/>
      <c r="AS14" s="8" t="s">
        <v>7</v>
      </c>
      <c r="AT14" s="18"/>
      <c r="AU14" s="18"/>
      <c r="AV14" s="18"/>
      <c r="AW14" s="1"/>
      <c r="AX14" s="1"/>
      <c r="AY14" s="1"/>
      <c r="AZ14" s="8" t="s">
        <v>149</v>
      </c>
      <c r="BA14" s="18"/>
      <c r="BB14" s="18"/>
      <c r="BC14" s="1"/>
      <c r="BD14" s="1"/>
    </row>
    <row r="15" spans="1:56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ht="11.25" customHeight="1">
      <c r="A16" s="1"/>
      <c r="B16" s="1"/>
      <c r="C16" s="8" t="s">
        <v>150</v>
      </c>
      <c r="D16" s="18"/>
      <c r="E16" s="1"/>
      <c r="F16" s="1"/>
      <c r="G16" s="8" t="s">
        <v>151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"/>
      <c r="AK16" s="1"/>
      <c r="AL16" s="1"/>
      <c r="AM16" s="1"/>
      <c r="AN16" s="1"/>
      <c r="AO16" s="1"/>
      <c r="AP16" s="1"/>
      <c r="AQ16" s="1"/>
      <c r="AR16" s="1"/>
      <c r="AS16" s="8" t="s">
        <v>7</v>
      </c>
      <c r="AT16" s="18"/>
      <c r="AU16" s="18"/>
      <c r="AV16" s="18"/>
      <c r="AW16" s="1"/>
      <c r="AX16" s="1"/>
      <c r="AY16" s="1"/>
      <c r="AZ16" s="8" t="s">
        <v>152</v>
      </c>
      <c r="BA16" s="18"/>
      <c r="BB16" s="18"/>
      <c r="BC16" s="1"/>
      <c r="BD16" s="1"/>
    </row>
    <row r="17" spans="1:56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ht="11.25" customHeight="1">
      <c r="A18" s="1"/>
      <c r="B18" s="1"/>
      <c r="C18" s="8" t="s">
        <v>153</v>
      </c>
      <c r="D18" s="18"/>
      <c r="E18" s="1"/>
      <c r="F18" s="1"/>
      <c r="G18" s="8" t="s">
        <v>154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"/>
      <c r="AL18" s="1"/>
      <c r="AM18" s="1"/>
      <c r="AN18" s="1"/>
      <c r="AO18" s="1"/>
      <c r="AP18" s="1"/>
      <c r="AQ18" s="1"/>
      <c r="AR18" s="1"/>
      <c r="AS18" s="8" t="s">
        <v>7</v>
      </c>
      <c r="AT18" s="18"/>
      <c r="AU18" s="18"/>
      <c r="AV18" s="18"/>
      <c r="AW18" s="1"/>
      <c r="AX18" s="1"/>
      <c r="AY18" s="1"/>
      <c r="AZ18" s="8" t="s">
        <v>152</v>
      </c>
      <c r="BA18" s="18"/>
      <c r="BB18" s="18"/>
      <c r="BC18" s="1"/>
      <c r="BD18" s="1"/>
    </row>
    <row r="19" spans="1:56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1.25" customHeight="1">
      <c r="A20" s="1"/>
      <c r="B20" s="1"/>
      <c r="C20" s="8" t="s">
        <v>155</v>
      </c>
      <c r="D20" s="18"/>
      <c r="E20" s="1"/>
      <c r="F20" s="1"/>
      <c r="G20" s="8" t="s">
        <v>156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8" t="s">
        <v>7</v>
      </c>
      <c r="AT20" s="18"/>
      <c r="AU20" s="18"/>
      <c r="AV20" s="18"/>
      <c r="AW20" s="1"/>
      <c r="AX20" s="1"/>
      <c r="AY20" s="1"/>
      <c r="AZ20" s="8" t="s">
        <v>157</v>
      </c>
      <c r="BA20" s="18"/>
      <c r="BB20" s="18"/>
      <c r="BC20" s="1"/>
      <c r="BD20" s="1"/>
    </row>
    <row r="21" spans="1:56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ht="11.25" customHeight="1">
      <c r="A22" s="1"/>
      <c r="B22" s="1"/>
      <c r="C22" s="8" t="s">
        <v>158</v>
      </c>
      <c r="D22" s="18"/>
      <c r="E22" s="1"/>
      <c r="F22" s="1"/>
      <c r="G22" s="8" t="s">
        <v>159</v>
      </c>
      <c r="H22" s="18"/>
      <c r="I22" s="18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8" t="s">
        <v>7</v>
      </c>
      <c r="AT22" s="18"/>
      <c r="AU22" s="18"/>
      <c r="AV22" s="18"/>
      <c r="AW22" s="1"/>
      <c r="AX22" s="1"/>
      <c r="AY22" s="1"/>
      <c r="AZ22" s="8" t="s">
        <v>160</v>
      </c>
      <c r="BA22" s="18"/>
      <c r="BB22" s="18"/>
      <c r="BC22" s="1"/>
      <c r="BD22" s="1"/>
    </row>
    <row r="23" spans="1:56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11.25" customHeight="1">
      <c r="A24" s="1"/>
      <c r="B24" s="1"/>
      <c r="C24" s="8" t="s">
        <v>161</v>
      </c>
      <c r="D24" s="18"/>
      <c r="E24" s="1"/>
      <c r="F24" s="1"/>
      <c r="G24" s="8" t="s">
        <v>162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8" t="s">
        <v>7</v>
      </c>
      <c r="AT24" s="18"/>
      <c r="AU24" s="18"/>
      <c r="AV24" s="18"/>
      <c r="AW24" s="1"/>
      <c r="AX24" s="1"/>
      <c r="AY24" s="1"/>
      <c r="AZ24" s="1"/>
      <c r="BA24" s="8" t="s">
        <v>163</v>
      </c>
      <c r="BB24" s="18"/>
      <c r="BC24" s="1"/>
      <c r="BD24" s="1"/>
    </row>
    <row r="25" spans="1:56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11.25" customHeight="1">
      <c r="A26" s="1"/>
      <c r="B26" s="1"/>
      <c r="C26" s="8" t="s">
        <v>164</v>
      </c>
      <c r="D26" s="18"/>
      <c r="E26" s="1"/>
      <c r="F26" s="1"/>
      <c r="G26" s="8" t="s">
        <v>165</v>
      </c>
      <c r="H26" s="18"/>
      <c r="I26" s="18"/>
      <c r="J26" s="18"/>
      <c r="K26" s="18"/>
      <c r="L26" s="18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8" t="s">
        <v>7</v>
      </c>
      <c r="AT26" s="18"/>
      <c r="AU26" s="18"/>
      <c r="AV26" s="18"/>
      <c r="AW26" s="1"/>
      <c r="AX26" s="1"/>
      <c r="AY26" s="1"/>
      <c r="AZ26" s="1"/>
      <c r="BA26" s="8" t="s">
        <v>166</v>
      </c>
      <c r="BB26" s="18"/>
      <c r="BC26" s="1"/>
      <c r="BD26" s="1"/>
    </row>
    <row r="27" spans="1:56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11.25" customHeight="1">
      <c r="A28" s="1"/>
      <c r="B28" s="1"/>
      <c r="C28" s="8" t="s">
        <v>167</v>
      </c>
      <c r="D28" s="18"/>
      <c r="E28" s="1"/>
      <c r="F28" s="1"/>
      <c r="G28" s="8" t="s">
        <v>168</v>
      </c>
      <c r="H28" s="18"/>
      <c r="I28" s="18"/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8" t="s">
        <v>7</v>
      </c>
      <c r="AT28" s="18"/>
      <c r="AU28" s="18"/>
      <c r="AV28" s="18"/>
      <c r="AW28" s="1"/>
      <c r="AX28" s="1"/>
      <c r="AY28" s="1"/>
      <c r="AZ28" s="1"/>
      <c r="BA28" s="8" t="s">
        <v>169</v>
      </c>
      <c r="BB28" s="18"/>
      <c r="BC28" s="1"/>
      <c r="BD28" s="1"/>
    </row>
    <row r="29" spans="1:56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11.25" customHeight="1">
      <c r="A30" s="1"/>
      <c r="B30" s="1"/>
      <c r="C30" s="8" t="s">
        <v>170</v>
      </c>
      <c r="D30" s="18"/>
      <c r="E30" s="1"/>
      <c r="F30" s="1"/>
      <c r="G30" s="8" t="s">
        <v>171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8" t="s">
        <v>7</v>
      </c>
      <c r="AT30" s="18"/>
      <c r="AU30" s="18"/>
      <c r="AV30" s="18"/>
      <c r="AW30" s="1"/>
      <c r="AX30" s="1"/>
      <c r="AY30" s="1"/>
      <c r="AZ30" s="8" t="s">
        <v>172</v>
      </c>
      <c r="BA30" s="18"/>
      <c r="BB30" s="18"/>
      <c r="BC30" s="1"/>
      <c r="BD30" s="1"/>
    </row>
    <row r="31" spans="1:56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11.25" customHeight="1">
      <c r="A32" s="1"/>
      <c r="B32" s="1"/>
      <c r="C32" s="8" t="s">
        <v>173</v>
      </c>
      <c r="D32" s="18"/>
      <c r="E32" s="1"/>
      <c r="F32" s="1"/>
      <c r="G32" s="8" t="s">
        <v>174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8" t="s">
        <v>7</v>
      </c>
      <c r="AT32" s="18"/>
      <c r="AU32" s="18"/>
      <c r="AV32" s="18"/>
      <c r="AW32" s="1"/>
      <c r="AX32" s="1"/>
      <c r="AY32" s="1"/>
      <c r="AZ32" s="8" t="s">
        <v>102</v>
      </c>
      <c r="BA32" s="18"/>
      <c r="BB32" s="18"/>
      <c r="BC32" s="1"/>
      <c r="BD32" s="1"/>
    </row>
    <row r="33" spans="1:56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11.25" customHeight="1">
      <c r="A34" s="1"/>
      <c r="B34" s="1"/>
      <c r="C34" s="8" t="s">
        <v>175</v>
      </c>
      <c r="D34" s="18"/>
      <c r="E34" s="1"/>
      <c r="F34" s="1"/>
      <c r="G34" s="8" t="s">
        <v>176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"/>
      <c r="AK34" s="1"/>
      <c r="AL34" s="1"/>
      <c r="AM34" s="1"/>
      <c r="AN34" s="1"/>
      <c r="AO34" s="1"/>
      <c r="AP34" s="1"/>
      <c r="AQ34" s="1"/>
      <c r="AR34" s="1"/>
      <c r="AS34" s="8" t="s">
        <v>7</v>
      </c>
      <c r="AT34" s="18"/>
      <c r="AU34" s="18"/>
      <c r="AV34" s="18"/>
      <c r="AW34" s="1"/>
      <c r="AX34" s="1"/>
      <c r="AY34" s="1"/>
      <c r="AZ34" s="8" t="s">
        <v>177</v>
      </c>
      <c r="BA34" s="18"/>
      <c r="BB34" s="18"/>
      <c r="BC34" s="1"/>
      <c r="BD34" s="1"/>
    </row>
    <row r="35" spans="1:56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11.25" customHeight="1">
      <c r="A36" s="1"/>
      <c r="B36" s="1"/>
      <c r="C36" s="8" t="s">
        <v>178</v>
      </c>
      <c r="D36" s="18"/>
      <c r="E36" s="1"/>
      <c r="F36" s="1"/>
      <c r="G36" s="8" t="s">
        <v>179</v>
      </c>
      <c r="H36" s="18"/>
      <c r="I36" s="1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8" t="s">
        <v>7</v>
      </c>
      <c r="AT36" s="18"/>
      <c r="AU36" s="18"/>
      <c r="AV36" s="18"/>
      <c r="AW36" s="1"/>
      <c r="AX36" s="1"/>
      <c r="AY36" s="1"/>
      <c r="AZ36" s="8" t="s">
        <v>180</v>
      </c>
      <c r="BA36" s="18"/>
      <c r="BB36" s="18"/>
      <c r="BC36" s="1"/>
      <c r="BD36" s="1"/>
    </row>
    <row r="37" spans="1:56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11.25" customHeight="1">
      <c r="A38" s="1"/>
      <c r="B38" s="1"/>
      <c r="C38" s="8" t="s">
        <v>181</v>
      </c>
      <c r="D38" s="18"/>
      <c r="E38" s="1"/>
      <c r="F38" s="1"/>
      <c r="G38" s="8" t="s">
        <v>182</v>
      </c>
      <c r="H38" s="18"/>
      <c r="I38" s="18"/>
      <c r="J38" s="18"/>
      <c r="K38" s="18"/>
      <c r="L38" s="18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8" t="s">
        <v>7</v>
      </c>
      <c r="AT38" s="18"/>
      <c r="AU38" s="18"/>
      <c r="AV38" s="18"/>
      <c r="AW38" s="1"/>
      <c r="AX38" s="1"/>
      <c r="AY38" s="1"/>
      <c r="AZ38" s="1"/>
      <c r="BA38" s="1"/>
      <c r="BB38" s="5" t="s">
        <v>183</v>
      </c>
      <c r="BC38" s="1"/>
      <c r="BD38" s="1"/>
    </row>
    <row r="39" spans="1:56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11.25" customHeight="1">
      <c r="A40" s="1"/>
      <c r="B40" s="1"/>
      <c r="C40" s="8" t="s">
        <v>184</v>
      </c>
      <c r="D40" s="18"/>
      <c r="E40" s="1"/>
      <c r="F40" s="1"/>
      <c r="G40" s="8" t="s">
        <v>185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8" t="s">
        <v>7</v>
      </c>
      <c r="AT40" s="18"/>
      <c r="AU40" s="18"/>
      <c r="AV40" s="18"/>
      <c r="AW40" s="1"/>
      <c r="AX40" s="1"/>
      <c r="AY40" s="1"/>
      <c r="AZ40" s="8" t="s">
        <v>186</v>
      </c>
      <c r="BA40" s="18"/>
      <c r="BB40" s="18"/>
      <c r="BC40" s="1"/>
      <c r="BD40" s="1"/>
    </row>
    <row r="41" spans="1:56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11.25" customHeight="1">
      <c r="A42" s="1"/>
      <c r="B42" s="1"/>
      <c r="C42" s="8" t="s">
        <v>187</v>
      </c>
      <c r="D42" s="18"/>
      <c r="E42" s="1"/>
      <c r="F42" s="1"/>
      <c r="G42" s="8" t="s">
        <v>188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8" t="s">
        <v>7</v>
      </c>
      <c r="AT42" s="18"/>
      <c r="AU42" s="18"/>
      <c r="AV42" s="18"/>
      <c r="AW42" s="1"/>
      <c r="AX42" s="1"/>
      <c r="AY42" s="1"/>
      <c r="AZ42" s="8" t="s">
        <v>189</v>
      </c>
      <c r="BA42" s="18"/>
      <c r="BB42" s="18"/>
      <c r="BC42" s="1"/>
      <c r="BD42" s="1"/>
    </row>
    <row r="43" spans="1:56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1.25" customHeight="1">
      <c r="A44" s="1"/>
      <c r="B44" s="1"/>
      <c r="C44" s="8" t="s">
        <v>190</v>
      </c>
      <c r="D44" s="18"/>
      <c r="E44" s="1"/>
      <c r="F44" s="1"/>
      <c r="G44" s="8" t="s">
        <v>191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8" t="s">
        <v>7</v>
      </c>
      <c r="AT44" s="18"/>
      <c r="AU44" s="18"/>
      <c r="AV44" s="18"/>
      <c r="AW44" s="1"/>
      <c r="AX44" s="1"/>
      <c r="AY44" s="1"/>
      <c r="AZ44" s="1"/>
      <c r="BA44" s="8" t="s">
        <v>192</v>
      </c>
      <c r="BB44" s="18"/>
      <c r="BC44" s="1"/>
      <c r="BD44" s="1"/>
    </row>
    <row r="45" spans="1:56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1.25" customHeight="1">
      <c r="A46" s="1"/>
      <c r="B46" s="1"/>
      <c r="C46" s="8" t="s">
        <v>193</v>
      </c>
      <c r="D46" s="18"/>
      <c r="E46" s="1"/>
      <c r="F46" s="1"/>
      <c r="G46" s="8" t="s">
        <v>194</v>
      </c>
      <c r="H46" s="18"/>
      <c r="I46" s="18"/>
      <c r="J46" s="18"/>
      <c r="K46" s="18"/>
      <c r="L46" s="1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8" t="s">
        <v>7</v>
      </c>
      <c r="AT46" s="18"/>
      <c r="AU46" s="18"/>
      <c r="AV46" s="18"/>
      <c r="AW46" s="1"/>
      <c r="AX46" s="1"/>
      <c r="AY46" s="1"/>
      <c r="AZ46" s="1"/>
      <c r="BA46" s="1"/>
      <c r="BB46" s="5" t="s">
        <v>195</v>
      </c>
      <c r="BC46" s="1"/>
      <c r="BD46" s="1"/>
    </row>
    <row r="47" spans="1:56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1.25" customHeight="1">
      <c r="A48" s="1"/>
      <c r="B48" s="1"/>
      <c r="C48" s="8" t="s">
        <v>196</v>
      </c>
      <c r="D48" s="18"/>
      <c r="E48" s="1"/>
      <c r="F48" s="1"/>
      <c r="G48" s="8" t="s">
        <v>197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8" t="s">
        <v>7</v>
      </c>
      <c r="AT48" s="18"/>
      <c r="AU48" s="18"/>
      <c r="AV48" s="18"/>
      <c r="AW48" s="1"/>
      <c r="AX48" s="1"/>
      <c r="AY48" s="1"/>
      <c r="AZ48" s="1"/>
      <c r="BA48" s="1"/>
      <c r="BB48" s="5" t="s">
        <v>137</v>
      </c>
      <c r="BC48" s="1"/>
      <c r="BD48" s="1"/>
    </row>
    <row r="49" spans="1:56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1.25" customHeight="1">
      <c r="A50" s="1"/>
      <c r="B50" s="1"/>
      <c r="C50" s="8" t="s">
        <v>198</v>
      </c>
      <c r="D50" s="18"/>
      <c r="E50" s="1"/>
      <c r="F50" s="1"/>
      <c r="G50" s="8" t="s">
        <v>199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"/>
      <c r="AM50" s="1"/>
      <c r="AN50" s="1"/>
      <c r="AO50" s="1"/>
      <c r="AP50" s="1"/>
      <c r="AQ50" s="1"/>
      <c r="AR50" s="1"/>
      <c r="AS50" s="8" t="s">
        <v>7</v>
      </c>
      <c r="AT50" s="18"/>
      <c r="AU50" s="18"/>
      <c r="AV50" s="18"/>
      <c r="AW50" s="1"/>
      <c r="AX50" s="1"/>
      <c r="AY50" s="1"/>
      <c r="AZ50" s="1"/>
      <c r="BA50" s="1"/>
      <c r="BB50" s="5" t="s">
        <v>132</v>
      </c>
      <c r="BC50" s="1"/>
      <c r="BD50" s="1"/>
    </row>
    <row r="51" spans="1:56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1.25" customHeight="1">
      <c r="A52" s="1"/>
      <c r="B52" s="1"/>
      <c r="C52" s="8" t="s">
        <v>200</v>
      </c>
      <c r="D52" s="18"/>
      <c r="E52" s="1"/>
      <c r="F52" s="1"/>
      <c r="G52" s="8" t="s">
        <v>201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8" t="s">
        <v>7</v>
      </c>
      <c r="AT52" s="18"/>
      <c r="AU52" s="18"/>
      <c r="AV52" s="18"/>
      <c r="AW52" s="1"/>
      <c r="AX52" s="1"/>
      <c r="AY52" s="8" t="s">
        <v>202</v>
      </c>
      <c r="AZ52" s="18"/>
      <c r="BA52" s="18"/>
      <c r="BB52" s="18"/>
      <c r="BC52" s="1"/>
      <c r="BD52" s="1"/>
    </row>
    <row r="53" spans="1:56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1.25" customHeight="1">
      <c r="A54" s="1"/>
      <c r="B54" s="1"/>
      <c r="C54" s="8" t="s">
        <v>203</v>
      </c>
      <c r="D54" s="18"/>
      <c r="E54" s="1"/>
      <c r="F54" s="1"/>
      <c r="G54" s="8" t="s">
        <v>204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"/>
      <c r="AX54" s="1"/>
      <c r="AY54" s="1"/>
      <c r="AZ54" s="8" t="s">
        <v>205</v>
      </c>
      <c r="BA54" s="18"/>
      <c r="BB54" s="18"/>
      <c r="BC54" s="1"/>
      <c r="BD54" s="1"/>
    </row>
    <row r="55" spans="1:56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1.25" customHeight="1">
      <c r="A56" s="1"/>
      <c r="B56" s="1"/>
      <c r="C56" s="8" t="s">
        <v>206</v>
      </c>
      <c r="D56" s="18"/>
      <c r="E56" s="1"/>
      <c r="F56" s="1"/>
      <c r="G56" s="8" t="s">
        <v>207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8" t="s">
        <v>7</v>
      </c>
      <c r="AT56" s="18"/>
      <c r="AU56" s="18"/>
      <c r="AV56" s="18"/>
      <c r="AW56" s="1"/>
      <c r="AX56" s="1"/>
      <c r="AY56" s="1"/>
      <c r="AZ56" s="1"/>
      <c r="BA56" s="8" t="s">
        <v>208</v>
      </c>
      <c r="BB56" s="18"/>
      <c r="BC56" s="1"/>
      <c r="BD56" s="1"/>
    </row>
    <row r="57" spans="1:56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1.25" customHeight="1">
      <c r="A58" s="1"/>
      <c r="B58" s="1"/>
      <c r="C58" s="8" t="s">
        <v>209</v>
      </c>
      <c r="D58" s="18"/>
      <c r="E58" s="1"/>
      <c r="F58" s="1"/>
      <c r="G58" s="8" t="s">
        <v>210</v>
      </c>
      <c r="H58" s="18"/>
      <c r="I58" s="18"/>
      <c r="J58" s="18"/>
      <c r="K58" s="18"/>
      <c r="L58" s="18"/>
      <c r="M58" s="18"/>
      <c r="N58" s="18"/>
      <c r="O58" s="18"/>
      <c r="P58" s="18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8" t="s">
        <v>7</v>
      </c>
      <c r="AT58" s="18"/>
      <c r="AU58" s="18"/>
      <c r="AV58" s="18"/>
      <c r="AW58" s="1"/>
      <c r="AX58" s="1"/>
      <c r="AY58" s="1"/>
      <c r="AZ58" s="8" t="s">
        <v>45</v>
      </c>
      <c r="BA58" s="18"/>
      <c r="BB58" s="18"/>
      <c r="BC58" s="1"/>
      <c r="BD58" s="1"/>
    </row>
    <row r="59" spans="1:56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1.25" customHeight="1">
      <c r="A60" s="1"/>
      <c r="B60" s="1"/>
      <c r="C60" s="8" t="s">
        <v>211</v>
      </c>
      <c r="D60" s="18"/>
      <c r="E60" s="1"/>
      <c r="F60" s="1"/>
      <c r="G60" s="8" t="s">
        <v>212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8" t="s">
        <v>26</v>
      </c>
      <c r="AV60" s="18"/>
      <c r="AW60" s="1"/>
      <c r="AX60" s="1"/>
      <c r="AY60" s="1"/>
      <c r="AZ60" s="1"/>
      <c r="BA60" s="1"/>
      <c r="BB60" s="5" t="s">
        <v>213</v>
      </c>
      <c r="BC60" s="1"/>
      <c r="BD60" s="1"/>
    </row>
    <row r="61" spans="1:56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1.25" customHeight="1">
      <c r="A62" s="1"/>
      <c r="B62" s="1"/>
      <c r="C62" s="8" t="s">
        <v>214</v>
      </c>
      <c r="D62" s="18"/>
      <c r="E62" s="1"/>
      <c r="F62" s="1"/>
      <c r="G62" s="8" t="s">
        <v>215</v>
      </c>
      <c r="H62" s="18"/>
      <c r="I62" s="18"/>
      <c r="J62" s="18"/>
      <c r="K62" s="18"/>
      <c r="L62" s="18"/>
      <c r="M62" s="18"/>
      <c r="N62" s="18"/>
      <c r="O62" s="18"/>
      <c r="P62" s="18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8" t="s">
        <v>7</v>
      </c>
      <c r="AT62" s="18"/>
      <c r="AU62" s="18"/>
      <c r="AV62" s="18"/>
      <c r="AW62" s="1"/>
      <c r="AX62" s="1"/>
      <c r="AY62" s="1"/>
      <c r="AZ62" s="1"/>
      <c r="BA62" s="8" t="s">
        <v>163</v>
      </c>
      <c r="BB62" s="18"/>
      <c r="BC62" s="1"/>
      <c r="BD62" s="1"/>
    </row>
    <row r="63" spans="1:56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1.25" customHeight="1">
      <c r="A64" s="1"/>
      <c r="B64" s="1"/>
      <c r="C64" s="8" t="s">
        <v>216</v>
      </c>
      <c r="D64" s="18"/>
      <c r="E64" s="1"/>
      <c r="F64" s="1"/>
      <c r="G64" s="8" t="s">
        <v>217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8" t="s">
        <v>7</v>
      </c>
      <c r="AT64" s="18"/>
      <c r="AU64" s="18"/>
      <c r="AV64" s="18"/>
      <c r="AW64" s="1"/>
      <c r="AX64" s="1"/>
      <c r="AY64" s="1"/>
      <c r="AZ64" s="1"/>
      <c r="BA64" s="8" t="s">
        <v>218</v>
      </c>
      <c r="BB64" s="18"/>
      <c r="BC64" s="1"/>
      <c r="BD64" s="1"/>
    </row>
    <row r="65" spans="1:56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1.25" customHeight="1">
      <c r="A66" s="1"/>
      <c r="B66" s="1"/>
      <c r="C66" s="8" t="s">
        <v>219</v>
      </c>
      <c r="D66" s="18"/>
      <c r="E66" s="1"/>
      <c r="F66" s="1"/>
      <c r="G66" s="8" t="s">
        <v>220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"/>
      <c r="AX66" s="1"/>
      <c r="AY66" s="8" t="s">
        <v>221</v>
      </c>
      <c r="AZ66" s="18"/>
      <c r="BA66" s="18"/>
      <c r="BB66" s="18"/>
      <c r="BC66" s="1"/>
      <c r="BD66" s="1"/>
    </row>
    <row r="67" spans="1:56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1.25" customHeight="1">
      <c r="A68" s="1"/>
      <c r="B68" s="1"/>
      <c r="C68" s="8" t="s">
        <v>222</v>
      </c>
      <c r="D68" s="18"/>
      <c r="E68" s="1"/>
      <c r="F68" s="1"/>
      <c r="G68" s="8" t="s">
        <v>223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8" t="s">
        <v>7</v>
      </c>
      <c r="AT68" s="18"/>
      <c r="AU68" s="18"/>
      <c r="AV68" s="18"/>
      <c r="AW68" s="1"/>
      <c r="AX68" s="1"/>
      <c r="AY68" s="8" t="s">
        <v>224</v>
      </c>
      <c r="AZ68" s="18"/>
      <c r="BA68" s="18"/>
      <c r="BB68" s="18"/>
      <c r="BC68" s="1"/>
      <c r="BD68" s="1"/>
    </row>
    <row r="69" spans="1:56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1.25" customHeight="1">
      <c r="A70" s="1"/>
      <c r="B70" s="1"/>
      <c r="C70" s="8" t="s">
        <v>225</v>
      </c>
      <c r="D70" s="18"/>
      <c r="E70" s="1"/>
      <c r="F70" s="1"/>
      <c r="G70" s="8" t="s">
        <v>226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"/>
      <c r="AM70" s="1"/>
      <c r="AN70" s="1"/>
      <c r="AO70" s="1"/>
      <c r="AP70" s="1"/>
      <c r="AQ70" s="1"/>
      <c r="AR70" s="1"/>
      <c r="AS70" s="8" t="s">
        <v>7</v>
      </c>
      <c r="AT70" s="18"/>
      <c r="AU70" s="18"/>
      <c r="AV70" s="18"/>
      <c r="AW70" s="1"/>
      <c r="AX70" s="1"/>
      <c r="AY70" s="8" t="s">
        <v>227</v>
      </c>
      <c r="AZ70" s="18"/>
      <c r="BA70" s="18"/>
      <c r="BB70" s="18"/>
      <c r="BC70" s="1"/>
      <c r="BD70" s="1"/>
    </row>
    <row r="71" spans="1:56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1.25" customHeight="1">
      <c r="A72" s="1"/>
      <c r="B72" s="1"/>
      <c r="C72" s="8" t="s">
        <v>228</v>
      </c>
      <c r="D72" s="18"/>
      <c r="E72" s="1"/>
      <c r="F72" s="1"/>
      <c r="G72" s="8" t="s">
        <v>229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"/>
      <c r="AQ72" s="1"/>
      <c r="AR72" s="1"/>
      <c r="AS72" s="8" t="s">
        <v>7</v>
      </c>
      <c r="AT72" s="18"/>
      <c r="AU72" s="18"/>
      <c r="AV72" s="18"/>
      <c r="AW72" s="1"/>
      <c r="AX72" s="1"/>
      <c r="AY72" s="1"/>
      <c r="AZ72" s="8" t="s">
        <v>230</v>
      </c>
      <c r="BA72" s="18"/>
      <c r="BB72" s="18"/>
      <c r="BC72" s="1"/>
      <c r="BD72" s="1"/>
    </row>
    <row r="73" spans="1:56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1.25" customHeight="1">
      <c r="A74" s="1"/>
      <c r="B74" s="1"/>
      <c r="C74" s="8" t="s">
        <v>231</v>
      </c>
      <c r="D74" s="18"/>
      <c r="E74" s="1"/>
      <c r="F74" s="1"/>
      <c r="G74" s="8" t="s">
        <v>232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"/>
      <c r="AR74" s="1"/>
      <c r="AS74" s="8" t="s">
        <v>7</v>
      </c>
      <c r="AT74" s="18"/>
      <c r="AU74" s="18"/>
      <c r="AV74" s="18"/>
      <c r="AW74" s="1"/>
      <c r="AX74" s="1"/>
      <c r="AY74" s="8" t="s">
        <v>233</v>
      </c>
      <c r="AZ74" s="18"/>
      <c r="BA74" s="18"/>
      <c r="BB74" s="18"/>
      <c r="BC74" s="1"/>
      <c r="BD74" s="1"/>
    </row>
    <row r="75" spans="1:56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1.25" customHeight="1">
      <c r="A76" s="1"/>
      <c r="B76" s="1"/>
      <c r="C76" s="8" t="s">
        <v>234</v>
      </c>
      <c r="D76" s="18"/>
      <c r="E76" s="1"/>
      <c r="F76" s="1"/>
      <c r="G76" s="8" t="s">
        <v>235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8" t="s">
        <v>7</v>
      </c>
      <c r="AT76" s="18"/>
      <c r="AU76" s="18"/>
      <c r="AV76" s="18"/>
      <c r="AW76" s="1"/>
      <c r="AX76" s="1"/>
      <c r="AY76" s="1"/>
      <c r="AZ76" s="8" t="s">
        <v>236</v>
      </c>
      <c r="BA76" s="18"/>
      <c r="BB76" s="18"/>
      <c r="BC76" s="1"/>
      <c r="BD76" s="1"/>
    </row>
    <row r="77" spans="1:56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1.25" customHeight="1">
      <c r="A78" s="1"/>
      <c r="B78" s="1"/>
      <c r="C78" s="8" t="s">
        <v>237</v>
      </c>
      <c r="D78" s="18"/>
      <c r="E78" s="1"/>
      <c r="F78" s="1"/>
      <c r="G78" s="8" t="s">
        <v>238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8" t="s">
        <v>7</v>
      </c>
      <c r="AT78" s="18"/>
      <c r="AU78" s="18"/>
      <c r="AV78" s="18"/>
      <c r="AW78" s="1"/>
      <c r="AX78" s="1"/>
      <c r="AY78" s="1"/>
      <c r="AZ78" s="1"/>
      <c r="BA78" s="8" t="s">
        <v>239</v>
      </c>
      <c r="BB78" s="18"/>
      <c r="BC78" s="1"/>
      <c r="BD78" s="1"/>
    </row>
    <row r="79" spans="1:56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1.25" customHeight="1">
      <c r="A80" s="1"/>
      <c r="B80" s="1"/>
      <c r="C80" s="8" t="s">
        <v>240</v>
      </c>
      <c r="D80" s="18"/>
      <c r="E80" s="1"/>
      <c r="F80" s="1"/>
      <c r="G80" s="8" t="s">
        <v>241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8" t="s">
        <v>7</v>
      </c>
      <c r="AT80" s="18"/>
      <c r="AU80" s="18"/>
      <c r="AV80" s="18"/>
      <c r="AW80" s="1"/>
      <c r="AX80" s="1"/>
      <c r="AY80" s="1"/>
      <c r="AZ80" s="8" t="s">
        <v>242</v>
      </c>
      <c r="BA80" s="18"/>
      <c r="BB80" s="18"/>
      <c r="BC80" s="1"/>
      <c r="BD80" s="1"/>
    </row>
    <row r="81" spans="1:56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1.25" customHeight="1">
      <c r="A82" s="1"/>
      <c r="B82" s="1"/>
      <c r="C82" s="8" t="s">
        <v>243</v>
      </c>
      <c r="D82" s="18"/>
      <c r="E82" s="1"/>
      <c r="F82" s="1"/>
      <c r="G82" s="8" t="s">
        <v>244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8" t="s">
        <v>7</v>
      </c>
      <c r="AT82" s="18"/>
      <c r="AU82" s="18"/>
      <c r="AV82" s="18"/>
      <c r="AW82" s="1"/>
      <c r="AX82" s="1"/>
      <c r="AY82" s="1"/>
      <c r="AZ82" s="8" t="s">
        <v>242</v>
      </c>
      <c r="BA82" s="18"/>
      <c r="BB82" s="18"/>
      <c r="BC82" s="1"/>
      <c r="BD82" s="1"/>
    </row>
    <row r="83" spans="1:56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1.25" customHeight="1">
      <c r="A84" s="1"/>
      <c r="B84" s="1"/>
      <c r="C84" s="8" t="s">
        <v>245</v>
      </c>
      <c r="D84" s="18"/>
      <c r="E84" s="1"/>
      <c r="F84" s="1"/>
      <c r="G84" s="8" t="s">
        <v>246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8" t="s">
        <v>7</v>
      </c>
      <c r="AT84" s="18"/>
      <c r="AU84" s="18"/>
      <c r="AV84" s="18"/>
      <c r="AW84" s="1"/>
      <c r="AX84" s="1"/>
      <c r="AY84" s="8" t="s">
        <v>247</v>
      </c>
      <c r="AZ84" s="18"/>
      <c r="BA84" s="18"/>
      <c r="BB84" s="18"/>
      <c r="BC84" s="1"/>
      <c r="BD84" s="1"/>
    </row>
    <row r="85" spans="1:56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1.25" customHeight="1">
      <c r="A86" s="1"/>
      <c r="B86" s="1"/>
      <c r="C86" s="8" t="s">
        <v>248</v>
      </c>
      <c r="D86" s="18"/>
      <c r="E86" s="1"/>
      <c r="F86" s="1"/>
      <c r="G86" s="8" t="s">
        <v>249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8" t="s">
        <v>7</v>
      </c>
      <c r="AT86" s="18"/>
      <c r="AU86" s="18"/>
      <c r="AV86" s="18"/>
      <c r="AW86" s="1"/>
      <c r="AX86" s="1"/>
      <c r="AY86" s="1"/>
      <c r="AZ86" s="8" t="s">
        <v>152</v>
      </c>
      <c r="BA86" s="18"/>
      <c r="BB86" s="18"/>
      <c r="BC86" s="1"/>
      <c r="BD86" s="1"/>
    </row>
    <row r="87" spans="1:56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1.25" customHeight="1">
      <c r="A88" s="1"/>
      <c r="B88" s="1"/>
      <c r="C88" s="8" t="s">
        <v>250</v>
      </c>
      <c r="D88" s="18"/>
      <c r="E88" s="1"/>
      <c r="F88" s="1"/>
      <c r="G88" s="8" t="s">
        <v>251</v>
      </c>
      <c r="H88" s="18"/>
      <c r="I88" s="18"/>
      <c r="J88" s="18"/>
      <c r="K88" s="18"/>
      <c r="L88" s="18"/>
      <c r="M88" s="18"/>
      <c r="N88" s="18"/>
      <c r="O88" s="1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8" t="s">
        <v>7</v>
      </c>
      <c r="AT88" s="18"/>
      <c r="AU88" s="18"/>
      <c r="AV88" s="18"/>
      <c r="AW88" s="1"/>
      <c r="AX88" s="1"/>
      <c r="AY88" s="1"/>
      <c r="AZ88" s="8" t="s">
        <v>180</v>
      </c>
      <c r="BA88" s="18"/>
      <c r="BB88" s="18"/>
      <c r="BC88" s="1"/>
      <c r="BD88" s="1"/>
    </row>
    <row r="89" spans="1:56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1.25" customHeight="1">
      <c r="A90" s="1"/>
      <c r="B90" s="1"/>
      <c r="C90" s="8" t="s">
        <v>252</v>
      </c>
      <c r="D90" s="18"/>
      <c r="E90" s="1"/>
      <c r="F90" s="1"/>
      <c r="G90" s="8" t="s">
        <v>253</v>
      </c>
      <c r="H90" s="18"/>
      <c r="I90" s="18"/>
      <c r="J90" s="18"/>
      <c r="K90" s="18"/>
      <c r="L90" s="18"/>
      <c r="M90" s="18"/>
      <c r="N90" s="18"/>
      <c r="O90" s="1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8" t="s">
        <v>7</v>
      </c>
      <c r="AT90" s="18"/>
      <c r="AU90" s="18"/>
      <c r="AV90" s="18"/>
      <c r="AW90" s="1"/>
      <c r="AX90" s="1"/>
      <c r="AY90" s="1"/>
      <c r="AZ90" s="8" t="s">
        <v>254</v>
      </c>
      <c r="BA90" s="18"/>
      <c r="BB90" s="18"/>
      <c r="BC90" s="1"/>
      <c r="BD90" s="1"/>
    </row>
    <row r="91" spans="1:56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1.25" customHeight="1">
      <c r="A92" s="1"/>
      <c r="B92" s="1"/>
      <c r="C92" s="8" t="s">
        <v>255</v>
      </c>
      <c r="D92" s="18"/>
      <c r="E92" s="1"/>
      <c r="F92" s="1"/>
      <c r="G92" s="8" t="s">
        <v>256</v>
      </c>
      <c r="H92" s="18"/>
      <c r="I92" s="18"/>
      <c r="J92" s="18"/>
      <c r="K92" s="18"/>
      <c r="L92" s="18"/>
      <c r="M92" s="18"/>
      <c r="N92" s="1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8" t="s">
        <v>7</v>
      </c>
      <c r="AT92" s="18"/>
      <c r="AU92" s="18"/>
      <c r="AV92" s="18"/>
      <c r="AW92" s="1"/>
      <c r="AX92" s="1"/>
      <c r="AY92" s="1"/>
      <c r="AZ92" s="1"/>
      <c r="BA92" s="8" t="s">
        <v>257</v>
      </c>
      <c r="BB92" s="18"/>
      <c r="BC92" s="1"/>
      <c r="BD92" s="1"/>
    </row>
    <row r="93" spans="1:56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1.25" customHeight="1">
      <c r="A94" s="1"/>
      <c r="B94" s="1"/>
      <c r="C94" s="8" t="s">
        <v>258</v>
      </c>
      <c r="D94" s="18"/>
      <c r="E94" s="1"/>
      <c r="F94" s="1"/>
      <c r="G94" s="8" t="s">
        <v>259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"/>
      <c r="AP94" s="1"/>
      <c r="AQ94" s="1"/>
      <c r="AR94" s="1"/>
      <c r="AS94" s="8" t="s">
        <v>7</v>
      </c>
      <c r="AT94" s="18"/>
      <c r="AU94" s="18"/>
      <c r="AV94" s="18"/>
      <c r="AW94" s="1"/>
      <c r="AX94" s="1"/>
      <c r="AY94" s="8" t="s">
        <v>260</v>
      </c>
      <c r="AZ94" s="18"/>
      <c r="BA94" s="18"/>
      <c r="BB94" s="18"/>
      <c r="BC94" s="1"/>
      <c r="BD94" s="1"/>
    </row>
    <row r="95" spans="1:56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1.25" customHeight="1">
      <c r="A96" s="1"/>
      <c r="B96" s="1"/>
      <c r="C96" s="8" t="s">
        <v>261</v>
      </c>
      <c r="D96" s="18"/>
      <c r="E96" s="1"/>
      <c r="F96" s="1"/>
      <c r="G96" s="8" t="s">
        <v>262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8" t="s">
        <v>7</v>
      </c>
      <c r="AT96" s="18"/>
      <c r="AU96" s="18"/>
      <c r="AV96" s="18"/>
      <c r="AW96" s="1"/>
      <c r="AX96" s="1"/>
      <c r="AY96" s="1"/>
      <c r="AZ96" s="8" t="s">
        <v>263</v>
      </c>
      <c r="BA96" s="18"/>
      <c r="BB96" s="18"/>
      <c r="BC96" s="1"/>
      <c r="BD96" s="1"/>
    </row>
    <row r="97" spans="1:56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1.25" customHeight="1">
      <c r="A98" s="1"/>
      <c r="B98" s="1"/>
      <c r="C98" s="8" t="s">
        <v>264</v>
      </c>
      <c r="D98" s="18"/>
      <c r="E98" s="1"/>
      <c r="F98" s="1"/>
      <c r="G98" s="8" t="s">
        <v>265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8" t="s">
        <v>7</v>
      </c>
      <c r="AT98" s="18"/>
      <c r="AU98" s="18"/>
      <c r="AV98" s="18"/>
      <c r="AW98" s="1"/>
      <c r="AX98" s="1"/>
      <c r="AY98" s="1"/>
      <c r="AZ98" s="8" t="s">
        <v>66</v>
      </c>
      <c r="BA98" s="18"/>
      <c r="BB98" s="18"/>
      <c r="BC98" s="1"/>
      <c r="BD98" s="1"/>
    </row>
    <row r="99" spans="1:56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1.25" customHeight="1">
      <c r="A100" s="1"/>
      <c r="B100" s="1"/>
      <c r="C100" s="8" t="s">
        <v>266</v>
      </c>
      <c r="D100" s="18"/>
      <c r="E100" s="1"/>
      <c r="F100" s="1"/>
      <c r="G100" s="8" t="s">
        <v>267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8" t="s">
        <v>7</v>
      </c>
      <c r="AT100" s="18"/>
      <c r="AU100" s="18"/>
      <c r="AV100" s="18"/>
      <c r="AW100" s="1"/>
      <c r="AX100" s="1"/>
      <c r="AY100" s="1"/>
      <c r="AZ100" s="8" t="s">
        <v>268</v>
      </c>
      <c r="BA100" s="18"/>
      <c r="BB100" s="18"/>
      <c r="BC100" s="1"/>
      <c r="BD100" s="1"/>
    </row>
    <row r="101" spans="1:56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0.15" customHeight="1">
      <c r="A102" s="1"/>
      <c r="B102" s="1"/>
      <c r="C102" s="1"/>
      <c r="D102" s="1"/>
      <c r="E102" s="1"/>
      <c r="F102" s="1"/>
      <c r="G102" s="1"/>
      <c r="H102" s="8" t="s">
        <v>133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8" t="s">
        <v>135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8" t="s">
        <v>269</v>
      </c>
      <c r="AZ104" s="18"/>
      <c r="BA104" s="18"/>
      <c r="BB104" s="18"/>
      <c r="BC104" s="18"/>
      <c r="BD104" s="1"/>
    </row>
    <row r="105" spans="1:56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</sheetData>
  <mergeCells count="188">
    <mergeCell ref="B2:E4"/>
    <mergeCell ref="F2:AS4"/>
    <mergeCell ref="AT2:AU4"/>
    <mergeCell ref="AX3:BC3"/>
    <mergeCell ref="C8:D8"/>
    <mergeCell ref="G8:AF8"/>
    <mergeCell ref="AS8:AV8"/>
    <mergeCell ref="AZ8:BB8"/>
    <mergeCell ref="C10:D10"/>
    <mergeCell ref="G10:K10"/>
    <mergeCell ref="AS10:AV10"/>
    <mergeCell ref="AY10:BB10"/>
    <mergeCell ref="C12:D12"/>
    <mergeCell ref="G12:AG12"/>
    <mergeCell ref="AS12:AV12"/>
    <mergeCell ref="AZ12:BB12"/>
    <mergeCell ref="C14:D14"/>
    <mergeCell ref="G14:AL14"/>
    <mergeCell ref="AS14:AV14"/>
    <mergeCell ref="AZ14:BB14"/>
    <mergeCell ref="C16:D16"/>
    <mergeCell ref="G16:AI16"/>
    <mergeCell ref="AS16:AV16"/>
    <mergeCell ref="AZ16:BB16"/>
    <mergeCell ref="C18:D18"/>
    <mergeCell ref="G18:AJ18"/>
    <mergeCell ref="AS18:AV18"/>
    <mergeCell ref="AZ18:BB18"/>
    <mergeCell ref="C20:D20"/>
    <mergeCell ref="G20:AD20"/>
    <mergeCell ref="AS20:AV20"/>
    <mergeCell ref="AZ20:BB20"/>
    <mergeCell ref="C22:D22"/>
    <mergeCell ref="G22:J22"/>
    <mergeCell ref="AS22:AV22"/>
    <mergeCell ref="AZ22:BB22"/>
    <mergeCell ref="C24:D24"/>
    <mergeCell ref="G24:T24"/>
    <mergeCell ref="AS24:AV24"/>
    <mergeCell ref="BA24:BB24"/>
    <mergeCell ref="C26:D26"/>
    <mergeCell ref="G26:M26"/>
    <mergeCell ref="AS26:AV26"/>
    <mergeCell ref="BA26:BB26"/>
    <mergeCell ref="C28:D28"/>
    <mergeCell ref="G28:M28"/>
    <mergeCell ref="AS28:AV28"/>
    <mergeCell ref="BA28:BB28"/>
    <mergeCell ref="C30:D30"/>
    <mergeCell ref="G30:AE30"/>
    <mergeCell ref="AS30:AV30"/>
    <mergeCell ref="AZ30:BB30"/>
    <mergeCell ref="C32:D32"/>
    <mergeCell ref="G32:Q32"/>
    <mergeCell ref="AS32:AV32"/>
    <mergeCell ref="AZ32:BB32"/>
    <mergeCell ref="C34:D34"/>
    <mergeCell ref="G34:AI34"/>
    <mergeCell ref="AS34:AV34"/>
    <mergeCell ref="AZ34:BB34"/>
    <mergeCell ref="C36:D36"/>
    <mergeCell ref="G36:I36"/>
    <mergeCell ref="AS36:AV36"/>
    <mergeCell ref="AZ36:BB36"/>
    <mergeCell ref="C38:D38"/>
    <mergeCell ref="G38:N38"/>
    <mergeCell ref="AS38:AV38"/>
    <mergeCell ref="C40:D40"/>
    <mergeCell ref="G40:U40"/>
    <mergeCell ref="AS40:AV40"/>
    <mergeCell ref="AZ40:BB40"/>
    <mergeCell ref="C42:D42"/>
    <mergeCell ref="G42:U42"/>
    <mergeCell ref="AS42:AV42"/>
    <mergeCell ref="AZ42:BB42"/>
    <mergeCell ref="C44:D44"/>
    <mergeCell ref="G44:R44"/>
    <mergeCell ref="AS44:AV44"/>
    <mergeCell ref="BA44:BB44"/>
    <mergeCell ref="C46:D46"/>
    <mergeCell ref="G46:L46"/>
    <mergeCell ref="AS46:AV46"/>
    <mergeCell ref="C48:D48"/>
    <mergeCell ref="G48:AC48"/>
    <mergeCell ref="AS48:AV48"/>
    <mergeCell ref="C50:D50"/>
    <mergeCell ref="G50:AK50"/>
    <mergeCell ref="AS50:AV50"/>
    <mergeCell ref="C52:D52"/>
    <mergeCell ref="G52:X52"/>
    <mergeCell ref="AS52:AV52"/>
    <mergeCell ref="AY52:BB52"/>
    <mergeCell ref="C54:D54"/>
    <mergeCell ref="G54:AV54"/>
    <mergeCell ref="AZ54:BB54"/>
    <mergeCell ref="C56:D56"/>
    <mergeCell ref="G56:AB56"/>
    <mergeCell ref="AS56:AV56"/>
    <mergeCell ref="BA56:BB56"/>
    <mergeCell ref="C58:D58"/>
    <mergeCell ref="G58:P58"/>
    <mergeCell ref="AS58:AV58"/>
    <mergeCell ref="AZ58:BB58"/>
    <mergeCell ref="C60:D60"/>
    <mergeCell ref="G60:W60"/>
    <mergeCell ref="AU60:AV60"/>
    <mergeCell ref="C62:D62"/>
    <mergeCell ref="G62:P62"/>
    <mergeCell ref="AS62:AV62"/>
    <mergeCell ref="BA62:BB62"/>
    <mergeCell ref="C64:D64"/>
    <mergeCell ref="G64:S64"/>
    <mergeCell ref="AS64:AV64"/>
    <mergeCell ref="BA64:BB64"/>
    <mergeCell ref="C66:D66"/>
    <mergeCell ref="G66:AV66"/>
    <mergeCell ref="AY66:BB66"/>
    <mergeCell ref="C68:D68"/>
    <mergeCell ref="G68:AH68"/>
    <mergeCell ref="AS68:AV68"/>
    <mergeCell ref="AY68:BB68"/>
    <mergeCell ref="C70:D70"/>
    <mergeCell ref="G70:AK70"/>
    <mergeCell ref="AS70:AV70"/>
    <mergeCell ref="AY70:BB70"/>
    <mergeCell ref="C72:D72"/>
    <mergeCell ref="G72:AO72"/>
    <mergeCell ref="AS72:AV72"/>
    <mergeCell ref="AZ72:BB72"/>
    <mergeCell ref="C74:D74"/>
    <mergeCell ref="G74:AP74"/>
    <mergeCell ref="AS74:AV74"/>
    <mergeCell ref="AY74:BB74"/>
    <mergeCell ref="C76:D76"/>
    <mergeCell ref="G76:Y76"/>
    <mergeCell ref="AS76:AV76"/>
    <mergeCell ref="AZ76:BB76"/>
    <mergeCell ref="C78:D78"/>
    <mergeCell ref="G78:W78"/>
    <mergeCell ref="AS78:AV78"/>
    <mergeCell ref="BA78:BB78"/>
    <mergeCell ref="C80:D80"/>
    <mergeCell ref="G80:AA80"/>
    <mergeCell ref="AS80:AV80"/>
    <mergeCell ref="AZ80:BB80"/>
    <mergeCell ref="C82:D82"/>
    <mergeCell ref="G82:Z82"/>
    <mergeCell ref="AS82:AV82"/>
    <mergeCell ref="AZ82:BB82"/>
    <mergeCell ref="C84:D84"/>
    <mergeCell ref="G84:X84"/>
    <mergeCell ref="AS84:AV84"/>
    <mergeCell ref="AY84:BB84"/>
    <mergeCell ref="C86:D86"/>
    <mergeCell ref="G86:AC86"/>
    <mergeCell ref="AS86:AV86"/>
    <mergeCell ref="AZ86:BB86"/>
    <mergeCell ref="C88:D88"/>
    <mergeCell ref="G88:O88"/>
    <mergeCell ref="AS88:AV88"/>
    <mergeCell ref="AZ88:BB88"/>
    <mergeCell ref="C90:D90"/>
    <mergeCell ref="G90:O90"/>
    <mergeCell ref="AS90:AV90"/>
    <mergeCell ref="AZ90:BB90"/>
    <mergeCell ref="C92:D92"/>
    <mergeCell ref="G92:N92"/>
    <mergeCell ref="AS92:AV92"/>
    <mergeCell ref="BA92:BB92"/>
    <mergeCell ref="C94:D94"/>
    <mergeCell ref="G94:AN94"/>
    <mergeCell ref="AS94:AV94"/>
    <mergeCell ref="AY94:BB94"/>
    <mergeCell ref="H102:AQ102"/>
    <mergeCell ref="I104:AM104"/>
    <mergeCell ref="AY104:BC104"/>
    <mergeCell ref="C96:D96"/>
    <mergeCell ref="G96:X96"/>
    <mergeCell ref="AS96:AV96"/>
    <mergeCell ref="AZ96:BB96"/>
    <mergeCell ref="C98:D98"/>
    <mergeCell ref="G98:Y98"/>
    <mergeCell ref="AS98:AV98"/>
    <mergeCell ref="AZ98:BB98"/>
    <mergeCell ref="C100:D100"/>
    <mergeCell ref="G100:V100"/>
    <mergeCell ref="AS100:AV100"/>
    <mergeCell ref="AZ100:BB10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5" customWidth="1"/>
    <col min="5" max="5" width="3.7109375" customWidth="1"/>
    <col min="6" max="6" width="15.7109375" customWidth="1"/>
    <col min="7" max="7" width="0.140625" customWidth="1"/>
    <col min="8" max="8" width="3.7109375" customWidth="1"/>
    <col min="9" max="9" width="6.140625" customWidth="1"/>
    <col min="10" max="10" width="7" customWidth="1"/>
    <col min="11" max="11" width="11.85546875" customWidth="1"/>
    <col min="12" max="12" width="4.28515625" customWidth="1"/>
    <col min="13" max="13" width="4" customWidth="1"/>
    <col min="14" max="14" width="7.5703125" customWidth="1"/>
    <col min="15" max="15" width="1.7109375" customWidth="1"/>
    <col min="16" max="16" width="0.7109375" customWidth="1"/>
    <col min="17" max="17" width="0.85546875" customWidth="1"/>
    <col min="18" max="19" width="2.42578125" customWidth="1"/>
    <col min="20" max="20" width="1.140625" customWidth="1"/>
    <col min="21" max="21" width="1" customWidth="1"/>
    <col min="22" max="22" width="0.42578125" customWidth="1"/>
    <col min="23" max="23" width="0.7109375" customWidth="1"/>
    <col min="24" max="24" width="1.5703125" customWidth="1"/>
    <col min="25" max="25" width="1" customWidth="1"/>
    <col min="26" max="26" width="0.42578125" customWidth="1"/>
    <col min="27" max="28" width="1" customWidth="1"/>
    <col min="29" max="29" width="2.5703125" customWidth="1"/>
    <col min="30" max="30" width="1" customWidth="1"/>
    <col min="31" max="31" width="3.85546875" customWidth="1"/>
    <col min="32" max="32" width="0.85546875" customWidth="1"/>
    <col min="33" max="33" width="2" customWidth="1"/>
    <col min="34" max="34" width="2.5703125" customWidth="1"/>
    <col min="35" max="35" width="0.28515625" customWidth="1"/>
    <col min="36" max="36" width="3.140625" customWidth="1"/>
    <col min="37" max="37" width="2.85546875" customWidth="1"/>
    <col min="38" max="38" width="0.42578125" customWidth="1"/>
    <col min="39" max="39" width="3.28515625" customWidth="1"/>
    <col min="40" max="40" width="1.140625" customWidth="1"/>
    <col min="41" max="41" width="1.85546875" customWidth="1"/>
    <col min="42" max="43" width="1.28515625" customWidth="1"/>
    <col min="44" max="44" width="6.140625" customWidth="1"/>
    <col min="45" max="45" width="1" customWidth="1"/>
    <col min="46" max="46" width="3.85546875" customWidth="1"/>
  </cols>
  <sheetData>
    <row r="1" spans="1:46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1"/>
      <c r="AM1" s="1"/>
      <c r="AN1" s="1"/>
      <c r="AO1" s="1"/>
      <c r="AP1" s="1"/>
      <c r="AQ1" s="1"/>
      <c r="AR1" s="1"/>
      <c r="AS1" s="1"/>
      <c r="AT1" s="1"/>
    </row>
    <row r="2" spans="1:46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19" t="s">
        <v>2</v>
      </c>
      <c r="AK2" s="11"/>
      <c r="AL2" s="4"/>
      <c r="AM2" s="1"/>
      <c r="AN2" s="1"/>
      <c r="AO2" s="1"/>
      <c r="AP2" s="1"/>
      <c r="AQ2" s="1"/>
      <c r="AR2" s="1"/>
      <c r="AS2" s="1"/>
      <c r="AT2" s="1"/>
    </row>
    <row r="3" spans="1:46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2"/>
      <c r="AK3" s="14"/>
      <c r="AL3" s="4"/>
      <c r="AM3" s="1"/>
      <c r="AN3" s="8" t="s">
        <v>3</v>
      </c>
      <c r="AO3" s="18"/>
      <c r="AP3" s="18"/>
      <c r="AQ3" s="18"/>
      <c r="AR3" s="18"/>
      <c r="AS3" s="18"/>
      <c r="AT3" s="1"/>
    </row>
    <row r="4" spans="1:46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7"/>
      <c r="AJ4" s="15"/>
      <c r="AK4" s="17"/>
      <c r="AL4" s="4"/>
      <c r="AM4" s="1"/>
      <c r="AN4" s="1"/>
      <c r="AO4" s="1"/>
      <c r="AP4" s="1"/>
      <c r="AQ4" s="1"/>
      <c r="AR4" s="1"/>
      <c r="AS4" s="1"/>
      <c r="AT4" s="1"/>
    </row>
    <row r="5" spans="1:46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1"/>
      <c r="AM5" s="1"/>
      <c r="AN5" s="1"/>
      <c r="AO5" s="1"/>
      <c r="AP5" s="1"/>
      <c r="AQ5" s="1"/>
      <c r="AR5" s="1"/>
      <c r="AS5" s="1"/>
      <c r="AT5" s="1"/>
    </row>
    <row r="6" spans="1:46" ht="11.25" customHeight="1">
      <c r="A6" s="1"/>
      <c r="B6" s="1"/>
      <c r="C6" s="1" t="s">
        <v>2161</v>
      </c>
      <c r="D6" s="1"/>
      <c r="E6" s="1"/>
      <c r="F6" s="1"/>
      <c r="G6" s="1"/>
      <c r="H6" s="1" t="s">
        <v>2162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 t="s">
        <v>2160</v>
      </c>
      <c r="AK6" s="1"/>
      <c r="AL6" s="1"/>
      <c r="AM6" s="1"/>
      <c r="AN6" s="1"/>
      <c r="AO6" s="1"/>
      <c r="AP6" s="8" t="s">
        <v>268</v>
      </c>
      <c r="AQ6" s="18"/>
      <c r="AR6" s="18"/>
      <c r="AS6" s="1"/>
      <c r="AT6" s="1"/>
    </row>
    <row r="7" spans="1:46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1.25" customHeight="1">
      <c r="A8" s="1"/>
      <c r="B8" s="1"/>
      <c r="C8" s="8" t="s">
        <v>270</v>
      </c>
      <c r="D8" s="18"/>
      <c r="E8" s="18"/>
      <c r="F8" s="1"/>
      <c r="G8" s="1"/>
      <c r="H8" s="8" t="s">
        <v>271</v>
      </c>
      <c r="I8" s="18"/>
      <c r="J8" s="18"/>
      <c r="K8" s="18"/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8" t="s">
        <v>7</v>
      </c>
      <c r="AJ8" s="18"/>
      <c r="AK8" s="18"/>
      <c r="AL8" s="18"/>
      <c r="AM8" s="1"/>
      <c r="AN8" s="1"/>
      <c r="AO8" s="8" t="s">
        <v>272</v>
      </c>
      <c r="AP8" s="18"/>
      <c r="AQ8" s="18"/>
      <c r="AR8" s="18"/>
      <c r="AS8" s="1"/>
      <c r="AT8" s="1"/>
    </row>
    <row r="9" spans="1:46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1.25" customHeight="1">
      <c r="A10" s="1"/>
      <c r="B10" s="1"/>
      <c r="C10" s="8" t="s">
        <v>273</v>
      </c>
      <c r="D10" s="18"/>
      <c r="E10" s="18"/>
      <c r="F10" s="1"/>
      <c r="G10" s="1"/>
      <c r="H10" s="8" t="s">
        <v>274</v>
      </c>
      <c r="I10" s="18"/>
      <c r="J10" s="18"/>
      <c r="K10" s="18"/>
      <c r="L10" s="18"/>
      <c r="M10" s="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8" t="s">
        <v>7</v>
      </c>
      <c r="AJ10" s="18"/>
      <c r="AK10" s="18"/>
      <c r="AL10" s="18"/>
      <c r="AM10" s="1"/>
      <c r="AN10" s="1"/>
      <c r="AO10" s="8" t="s">
        <v>272</v>
      </c>
      <c r="AP10" s="18"/>
      <c r="AQ10" s="18"/>
      <c r="AR10" s="18"/>
      <c r="AS10" s="1"/>
      <c r="AT10" s="1"/>
    </row>
    <row r="11" spans="1:46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1.25" customHeight="1">
      <c r="A12" s="1"/>
      <c r="B12" s="1"/>
      <c r="C12" s="8" t="s">
        <v>275</v>
      </c>
      <c r="D12" s="18"/>
      <c r="E12" s="18"/>
      <c r="F12" s="1"/>
      <c r="G12" s="1"/>
      <c r="H12" s="8" t="s">
        <v>276</v>
      </c>
      <c r="I12" s="18"/>
      <c r="J12" s="18"/>
      <c r="K12" s="18"/>
      <c r="L12" s="18"/>
      <c r="M12" s="18"/>
      <c r="N12" s="18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8" t="s">
        <v>7</v>
      </c>
      <c r="AJ12" s="18"/>
      <c r="AK12" s="18"/>
      <c r="AL12" s="18"/>
      <c r="AM12" s="1"/>
      <c r="AN12" s="1"/>
      <c r="AO12" s="8" t="s">
        <v>272</v>
      </c>
      <c r="AP12" s="18"/>
      <c r="AQ12" s="18"/>
      <c r="AR12" s="18"/>
      <c r="AS12" s="1"/>
      <c r="AT12" s="1"/>
    </row>
    <row r="13" spans="1:46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1.25" customHeight="1">
      <c r="A14" s="1"/>
      <c r="B14" s="1"/>
      <c r="C14" s="8" t="s">
        <v>277</v>
      </c>
      <c r="D14" s="18"/>
      <c r="E14" s="18"/>
      <c r="F14" s="1"/>
      <c r="G14" s="1"/>
      <c r="H14" s="8" t="s">
        <v>278</v>
      </c>
      <c r="I14" s="18"/>
      <c r="J14" s="18"/>
      <c r="K14" s="18"/>
      <c r="L14" s="18"/>
      <c r="M14" s="18"/>
      <c r="N14" s="18"/>
      <c r="O14" s="18"/>
      <c r="P14" s="18"/>
      <c r="Q14" s="18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8" t="s">
        <v>7</v>
      </c>
      <c r="AJ14" s="18"/>
      <c r="AK14" s="18"/>
      <c r="AL14" s="18"/>
      <c r="AM14" s="1"/>
      <c r="AN14" s="1"/>
      <c r="AO14" s="8" t="s">
        <v>272</v>
      </c>
      <c r="AP14" s="18"/>
      <c r="AQ14" s="18"/>
      <c r="AR14" s="18"/>
      <c r="AS14" s="1"/>
      <c r="AT14" s="1"/>
    </row>
    <row r="15" spans="1:46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1.25" customHeight="1">
      <c r="A16" s="1"/>
      <c r="B16" s="1"/>
      <c r="C16" s="8" t="s">
        <v>279</v>
      </c>
      <c r="D16" s="18"/>
      <c r="E16" s="18"/>
      <c r="F16" s="1"/>
      <c r="G16" s="1"/>
      <c r="H16" s="8" t="s">
        <v>280</v>
      </c>
      <c r="I16" s="18"/>
      <c r="J16" s="18"/>
      <c r="K16" s="18"/>
      <c r="L16" s="18"/>
      <c r="M16" s="18"/>
      <c r="N16" s="1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8" t="s">
        <v>7</v>
      </c>
      <c r="AJ16" s="18"/>
      <c r="AK16" s="18"/>
      <c r="AL16" s="18"/>
      <c r="AM16" s="1"/>
      <c r="AN16" s="1"/>
      <c r="AO16" s="1"/>
      <c r="AP16" s="8" t="s">
        <v>268</v>
      </c>
      <c r="AQ16" s="18"/>
      <c r="AR16" s="18"/>
      <c r="AS16" s="1"/>
      <c r="AT16" s="1"/>
    </row>
    <row r="17" spans="1:46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1.25" customHeight="1">
      <c r="A18" s="1"/>
      <c r="B18" s="1"/>
      <c r="C18" s="8" t="s">
        <v>281</v>
      </c>
      <c r="D18" s="18"/>
      <c r="E18" s="18"/>
      <c r="F18" s="1"/>
      <c r="G18" s="1"/>
      <c r="H18" s="8" t="s">
        <v>282</v>
      </c>
      <c r="I18" s="18"/>
      <c r="J18" s="18"/>
      <c r="K18" s="1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8" t="s">
        <v>7</v>
      </c>
      <c r="AJ18" s="18"/>
      <c r="AK18" s="18"/>
      <c r="AL18" s="18"/>
      <c r="AM18" s="1"/>
      <c r="AN18" s="1"/>
      <c r="AO18" s="1"/>
      <c r="AP18" s="1"/>
      <c r="AQ18" s="8" t="s">
        <v>239</v>
      </c>
      <c r="AR18" s="18"/>
      <c r="AS18" s="1"/>
      <c r="AT18" s="1"/>
    </row>
    <row r="19" spans="1:46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1.25" customHeight="1">
      <c r="A20" s="1"/>
      <c r="B20" s="1"/>
      <c r="C20" s="8" t="s">
        <v>283</v>
      </c>
      <c r="D20" s="18"/>
      <c r="E20" s="18"/>
      <c r="F20" s="1"/>
      <c r="G20" s="1"/>
      <c r="H20" s="8" t="s">
        <v>284</v>
      </c>
      <c r="I20" s="18"/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8" t="s">
        <v>7</v>
      </c>
      <c r="AJ20" s="18"/>
      <c r="AK20" s="18"/>
      <c r="AL20" s="18"/>
      <c r="AM20" s="1"/>
      <c r="AN20" s="1"/>
      <c r="AO20" s="1"/>
      <c r="AP20" s="8" t="s">
        <v>268</v>
      </c>
      <c r="AQ20" s="18"/>
      <c r="AR20" s="18"/>
      <c r="AS20" s="1"/>
      <c r="AT20" s="1"/>
    </row>
    <row r="21" spans="1:46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1.25" customHeight="1">
      <c r="A22" s="1"/>
      <c r="B22" s="1"/>
      <c r="C22" s="8" t="s">
        <v>285</v>
      </c>
      <c r="D22" s="18"/>
      <c r="E22" s="18"/>
      <c r="F22" s="1"/>
      <c r="G22" s="1"/>
      <c r="H22" s="8" t="s">
        <v>286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"/>
      <c r="AF22" s="1"/>
      <c r="AG22" s="1"/>
      <c r="AH22" s="1"/>
      <c r="AI22" s="8" t="s">
        <v>7</v>
      </c>
      <c r="AJ22" s="18"/>
      <c r="AK22" s="18"/>
      <c r="AL22" s="18"/>
      <c r="AM22" s="1"/>
      <c r="AN22" s="1"/>
      <c r="AO22" s="1"/>
      <c r="AP22" s="8" t="s">
        <v>287</v>
      </c>
      <c r="AQ22" s="18"/>
      <c r="AR22" s="18"/>
      <c r="AS22" s="1"/>
      <c r="AT22" s="1"/>
    </row>
    <row r="23" spans="1:46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1.25" customHeight="1">
      <c r="A24" s="1"/>
      <c r="B24" s="1"/>
      <c r="C24" s="8" t="s">
        <v>288</v>
      </c>
      <c r="D24" s="18"/>
      <c r="E24" s="18"/>
      <c r="F24" s="1"/>
      <c r="G24" s="1"/>
      <c r="H24" s="8" t="s">
        <v>289</v>
      </c>
      <c r="I24" s="18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8" t="s">
        <v>7</v>
      </c>
      <c r="AJ24" s="18"/>
      <c r="AK24" s="18"/>
      <c r="AL24" s="18"/>
      <c r="AM24" s="1"/>
      <c r="AN24" s="1"/>
      <c r="AO24" s="1"/>
      <c r="AP24" s="1"/>
      <c r="AQ24" s="8" t="s">
        <v>290</v>
      </c>
      <c r="AR24" s="18"/>
      <c r="AS24" s="1"/>
      <c r="AT24" s="1"/>
    </row>
    <row r="25" spans="1:46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1.25" customHeight="1">
      <c r="A26" s="1"/>
      <c r="B26" s="1"/>
      <c r="C26" s="8" t="s">
        <v>291</v>
      </c>
      <c r="D26" s="18"/>
      <c r="E26" s="18"/>
      <c r="F26" s="1"/>
      <c r="G26" s="1"/>
      <c r="H26" s="8" t="s">
        <v>292</v>
      </c>
      <c r="I26" s="18"/>
      <c r="J26" s="18"/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8" t="s">
        <v>26</v>
      </c>
      <c r="AL26" s="18"/>
      <c r="AM26" s="1"/>
      <c r="AN26" s="1"/>
      <c r="AO26" s="1"/>
      <c r="AP26" s="1"/>
      <c r="AQ26" s="8" t="s">
        <v>33</v>
      </c>
      <c r="AR26" s="18"/>
      <c r="AS26" s="1"/>
      <c r="AT26" s="1"/>
    </row>
    <row r="27" spans="1:46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1.25" customHeight="1">
      <c r="A28" s="1"/>
      <c r="B28" s="1"/>
      <c r="C28" s="8" t="s">
        <v>293</v>
      </c>
      <c r="D28" s="18"/>
      <c r="E28" s="18"/>
      <c r="F28" s="1"/>
      <c r="G28" s="1"/>
      <c r="H28" s="8" t="s">
        <v>294</v>
      </c>
      <c r="I28" s="18"/>
      <c r="J28" s="18"/>
      <c r="K28" s="1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8" t="s">
        <v>7</v>
      </c>
      <c r="AJ28" s="18"/>
      <c r="AK28" s="18"/>
      <c r="AL28" s="18"/>
      <c r="AM28" s="1"/>
      <c r="AN28" s="1"/>
      <c r="AO28" s="1"/>
      <c r="AP28" s="1"/>
      <c r="AQ28" s="1"/>
      <c r="AR28" s="5" t="s">
        <v>295</v>
      </c>
      <c r="AS28" s="1"/>
      <c r="AT28" s="1"/>
    </row>
    <row r="29" spans="1:46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1.25" customHeight="1">
      <c r="A30" s="1"/>
      <c r="B30" s="1"/>
      <c r="C30" s="8" t="s">
        <v>296</v>
      </c>
      <c r="D30" s="18"/>
      <c r="E30" s="18"/>
      <c r="F30" s="1"/>
      <c r="G30" s="1"/>
      <c r="H30" s="8" t="s">
        <v>297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8" t="s">
        <v>7</v>
      </c>
      <c r="AJ30" s="18"/>
      <c r="AK30" s="18"/>
      <c r="AL30" s="18"/>
      <c r="AM30" s="1"/>
      <c r="AN30" s="1"/>
      <c r="AO30" s="1"/>
      <c r="AP30" s="1"/>
      <c r="AQ30" s="1"/>
      <c r="AR30" s="5" t="s">
        <v>213</v>
      </c>
      <c r="AS30" s="1"/>
      <c r="AT30" s="1"/>
    </row>
    <row r="31" spans="1:46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1.25" customHeight="1">
      <c r="A32" s="1"/>
      <c r="B32" s="1"/>
      <c r="C32" s="8" t="s">
        <v>298</v>
      </c>
      <c r="D32" s="18"/>
      <c r="E32" s="18"/>
      <c r="F32" s="1"/>
      <c r="G32" s="1"/>
      <c r="H32" s="8" t="s">
        <v>299</v>
      </c>
      <c r="I32" s="18"/>
      <c r="J32" s="18"/>
      <c r="K32" s="18"/>
      <c r="L32" s="18"/>
      <c r="M32" s="18"/>
      <c r="N32" s="18"/>
      <c r="O32" s="18"/>
      <c r="P32" s="18"/>
      <c r="Q32" s="1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8" t="s">
        <v>7</v>
      </c>
      <c r="AJ32" s="18"/>
      <c r="AK32" s="18"/>
      <c r="AL32" s="18"/>
      <c r="AM32" s="1"/>
      <c r="AN32" s="1"/>
      <c r="AO32" s="1"/>
      <c r="AP32" s="8" t="s">
        <v>300</v>
      </c>
      <c r="AQ32" s="18"/>
      <c r="AR32" s="18"/>
      <c r="AS32" s="1"/>
      <c r="AT32" s="1"/>
    </row>
    <row r="33" spans="1:46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1.25" customHeight="1">
      <c r="A34" s="1"/>
      <c r="B34" s="1"/>
      <c r="C34" s="8" t="s">
        <v>301</v>
      </c>
      <c r="D34" s="18"/>
      <c r="E34" s="18"/>
      <c r="F34" s="1"/>
      <c r="G34" s="1"/>
      <c r="H34" s="8" t="s">
        <v>302</v>
      </c>
      <c r="I34" s="18"/>
      <c r="J34" s="18"/>
      <c r="K34" s="18"/>
      <c r="L34" s="18"/>
      <c r="M34" s="18"/>
      <c r="N34" s="18"/>
      <c r="O34" s="18"/>
      <c r="P34" s="18"/>
      <c r="Q34" s="18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8" t="s">
        <v>7</v>
      </c>
      <c r="AJ34" s="18"/>
      <c r="AK34" s="18"/>
      <c r="AL34" s="18"/>
      <c r="AM34" s="1"/>
      <c r="AN34" s="1"/>
      <c r="AO34" s="1"/>
      <c r="AP34" s="8" t="s">
        <v>300</v>
      </c>
      <c r="AQ34" s="18"/>
      <c r="AR34" s="18"/>
      <c r="AS34" s="1"/>
      <c r="AT34" s="1"/>
    </row>
    <row r="35" spans="1:46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1.25" customHeight="1">
      <c r="A36" s="1"/>
      <c r="B36" s="1"/>
      <c r="C36" s="8" t="s">
        <v>303</v>
      </c>
      <c r="D36" s="18"/>
      <c r="E36" s="18"/>
      <c r="F36" s="1"/>
      <c r="G36" s="1"/>
      <c r="H36" s="8" t="s">
        <v>304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8" t="s">
        <v>7</v>
      </c>
      <c r="AJ36" s="18"/>
      <c r="AK36" s="18"/>
      <c r="AL36" s="18"/>
      <c r="AM36" s="1"/>
      <c r="AN36" s="1"/>
      <c r="AO36" s="1"/>
      <c r="AP36" s="8" t="s">
        <v>300</v>
      </c>
      <c r="AQ36" s="18"/>
      <c r="AR36" s="18"/>
      <c r="AS36" s="1"/>
      <c r="AT36" s="1"/>
    </row>
    <row r="37" spans="1:46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1.25" customHeight="1">
      <c r="A38" s="1"/>
      <c r="B38" s="1"/>
      <c r="C38" s="8" t="s">
        <v>305</v>
      </c>
      <c r="D38" s="18"/>
      <c r="E38" s="18"/>
      <c r="F38" s="1"/>
      <c r="G38" s="1"/>
      <c r="H38" s="8" t="s">
        <v>306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"/>
      <c r="AG38" s="1"/>
      <c r="AH38" s="1"/>
      <c r="AI38" s="8" t="s">
        <v>7</v>
      </c>
      <c r="AJ38" s="18"/>
      <c r="AK38" s="18"/>
      <c r="AL38" s="18"/>
      <c r="AM38" s="1"/>
      <c r="AN38" s="1"/>
      <c r="AO38" s="1"/>
      <c r="AP38" s="8" t="s">
        <v>307</v>
      </c>
      <c r="AQ38" s="18"/>
      <c r="AR38" s="18"/>
      <c r="AS38" s="1"/>
      <c r="AT38" s="1"/>
    </row>
    <row r="39" spans="1:46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1.25" customHeight="1">
      <c r="A40" s="1"/>
      <c r="B40" s="1"/>
      <c r="C40" s="8" t="s">
        <v>308</v>
      </c>
      <c r="D40" s="18"/>
      <c r="E40" s="18"/>
      <c r="F40" s="1"/>
      <c r="G40" s="1"/>
      <c r="H40" s="8" t="s">
        <v>309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"/>
      <c r="AG40" s="1"/>
      <c r="AH40" s="1"/>
      <c r="AI40" s="8" t="s">
        <v>7</v>
      </c>
      <c r="AJ40" s="18"/>
      <c r="AK40" s="18"/>
      <c r="AL40" s="18"/>
      <c r="AM40" s="1"/>
      <c r="AN40" s="1"/>
      <c r="AO40" s="1"/>
      <c r="AP40" s="8" t="s">
        <v>310</v>
      </c>
      <c r="AQ40" s="18"/>
      <c r="AR40" s="18"/>
      <c r="AS40" s="1"/>
      <c r="AT40" s="1"/>
    </row>
    <row r="41" spans="1:46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1.25" customHeight="1">
      <c r="A42" s="1"/>
      <c r="B42" s="1"/>
      <c r="C42" s="8" t="s">
        <v>311</v>
      </c>
      <c r="D42" s="18"/>
      <c r="E42" s="18"/>
      <c r="F42" s="1"/>
      <c r="G42" s="1"/>
      <c r="H42" s="8" t="s">
        <v>312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"/>
      <c r="AA42" s="1"/>
      <c r="AB42" s="1"/>
      <c r="AC42" s="1"/>
      <c r="AD42" s="1"/>
      <c r="AE42" s="1"/>
      <c r="AF42" s="1"/>
      <c r="AG42" s="1"/>
      <c r="AH42" s="1"/>
      <c r="AI42" s="8" t="s">
        <v>7</v>
      </c>
      <c r="AJ42" s="18"/>
      <c r="AK42" s="18"/>
      <c r="AL42" s="18"/>
      <c r="AM42" s="1"/>
      <c r="AN42" s="1"/>
      <c r="AO42" s="1"/>
      <c r="AP42" s="8" t="s">
        <v>313</v>
      </c>
      <c r="AQ42" s="18"/>
      <c r="AR42" s="18"/>
      <c r="AS42" s="1"/>
      <c r="AT42" s="1"/>
    </row>
    <row r="43" spans="1:46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1.25" customHeight="1">
      <c r="A44" s="1"/>
      <c r="B44" s="1"/>
      <c r="C44" s="8" t="s">
        <v>314</v>
      </c>
      <c r="D44" s="18"/>
      <c r="E44" s="18"/>
      <c r="F44" s="1"/>
      <c r="G44" s="1"/>
      <c r="H44" s="8" t="s">
        <v>315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8" t="s">
        <v>7</v>
      </c>
      <c r="AJ44" s="18"/>
      <c r="AK44" s="18"/>
      <c r="AL44" s="18"/>
      <c r="AM44" s="1"/>
      <c r="AN44" s="1"/>
      <c r="AO44" s="1"/>
      <c r="AP44" s="8" t="s">
        <v>313</v>
      </c>
      <c r="AQ44" s="18"/>
      <c r="AR44" s="18"/>
      <c r="AS44" s="1"/>
      <c r="AT44" s="1"/>
    </row>
    <row r="45" spans="1:46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1.25" customHeight="1">
      <c r="A46" s="1"/>
      <c r="B46" s="1"/>
      <c r="C46" s="8" t="s">
        <v>316</v>
      </c>
      <c r="D46" s="18"/>
      <c r="E46" s="18"/>
      <c r="F46" s="1"/>
      <c r="G46" s="1"/>
      <c r="H46" s="8" t="s">
        <v>317</v>
      </c>
      <c r="I46" s="18"/>
      <c r="J46" s="18"/>
      <c r="K46" s="18"/>
      <c r="L46" s="18"/>
      <c r="M46" s="18"/>
      <c r="N46" s="18"/>
      <c r="O46" s="18"/>
      <c r="P46" s="18"/>
      <c r="Q46" s="18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8" t="s">
        <v>7</v>
      </c>
      <c r="AJ46" s="18"/>
      <c r="AK46" s="18"/>
      <c r="AL46" s="18"/>
      <c r="AM46" s="1"/>
      <c r="AN46" s="1"/>
      <c r="AO46" s="1"/>
      <c r="AP46" s="1"/>
      <c r="AQ46" s="8" t="s">
        <v>8</v>
      </c>
      <c r="AR46" s="18"/>
      <c r="AS46" s="1"/>
      <c r="AT46" s="1"/>
    </row>
    <row r="47" spans="1:46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1.25" customHeight="1">
      <c r="A48" s="1"/>
      <c r="B48" s="1"/>
      <c r="C48" s="8" t="s">
        <v>318</v>
      </c>
      <c r="D48" s="18"/>
      <c r="E48" s="18"/>
      <c r="F48" s="1"/>
      <c r="G48" s="1"/>
      <c r="H48" s="8" t="s">
        <v>319</v>
      </c>
      <c r="I48" s="18"/>
      <c r="J48" s="18"/>
      <c r="K48" s="18"/>
      <c r="L48" s="18"/>
      <c r="M48" s="18"/>
      <c r="N48" s="1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8" t="s">
        <v>7</v>
      </c>
      <c r="AJ48" s="18"/>
      <c r="AK48" s="18"/>
      <c r="AL48" s="18"/>
      <c r="AM48" s="1"/>
      <c r="AN48" s="1"/>
      <c r="AO48" s="1"/>
      <c r="AP48" s="8" t="s">
        <v>320</v>
      </c>
      <c r="AQ48" s="18"/>
      <c r="AR48" s="18"/>
      <c r="AS48" s="1"/>
      <c r="AT48" s="1"/>
    </row>
    <row r="49" spans="1:46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1.25" customHeight="1">
      <c r="A50" s="1"/>
      <c r="B50" s="1"/>
      <c r="C50" s="8" t="s">
        <v>321</v>
      </c>
      <c r="D50" s="18"/>
      <c r="E50" s="18"/>
      <c r="F50" s="1"/>
      <c r="G50" s="1"/>
      <c r="H50" s="8" t="s">
        <v>322</v>
      </c>
      <c r="I50" s="18"/>
      <c r="J50" s="18"/>
      <c r="K50" s="18"/>
      <c r="L50" s="1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8" t="s">
        <v>7</v>
      </c>
      <c r="AJ50" s="18"/>
      <c r="AK50" s="18"/>
      <c r="AL50" s="18"/>
      <c r="AM50" s="1"/>
      <c r="AN50" s="1"/>
      <c r="AO50" s="1"/>
      <c r="AP50" s="1"/>
      <c r="AQ50" s="8" t="s">
        <v>323</v>
      </c>
      <c r="AR50" s="18"/>
      <c r="AS50" s="1"/>
      <c r="AT50" s="1"/>
    </row>
    <row r="51" spans="1:46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1.25" customHeight="1">
      <c r="A52" s="1"/>
      <c r="B52" s="1"/>
      <c r="C52" s="8" t="s">
        <v>324</v>
      </c>
      <c r="D52" s="18"/>
      <c r="E52" s="18"/>
      <c r="F52" s="1"/>
      <c r="G52" s="1"/>
      <c r="H52" s="8" t="s">
        <v>325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8" t="s">
        <v>7</v>
      </c>
      <c r="AJ52" s="18"/>
      <c r="AK52" s="18"/>
      <c r="AL52" s="18"/>
      <c r="AM52" s="1"/>
      <c r="AN52" s="1"/>
      <c r="AO52" s="1"/>
      <c r="AP52" s="1"/>
      <c r="AQ52" s="8" t="s">
        <v>166</v>
      </c>
      <c r="AR52" s="18"/>
      <c r="AS52" s="1"/>
      <c r="AT52" s="1"/>
    </row>
    <row r="53" spans="1:46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1.25" customHeight="1">
      <c r="A54" s="1"/>
      <c r="B54" s="1"/>
      <c r="C54" s="8" t="s">
        <v>326</v>
      </c>
      <c r="D54" s="18"/>
      <c r="E54" s="18"/>
      <c r="F54" s="1"/>
      <c r="G54" s="1"/>
      <c r="H54" s="8" t="s">
        <v>327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8" t="s">
        <v>7</v>
      </c>
      <c r="AJ54" s="18"/>
      <c r="AK54" s="18"/>
      <c r="AL54" s="18"/>
      <c r="AM54" s="1"/>
      <c r="AN54" s="1"/>
      <c r="AO54" s="1"/>
      <c r="AP54" s="1"/>
      <c r="AQ54" s="8" t="s">
        <v>323</v>
      </c>
      <c r="AR54" s="18"/>
      <c r="AS54" s="1"/>
      <c r="AT54" s="1"/>
    </row>
    <row r="55" spans="1:46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1.25" customHeight="1">
      <c r="A56" s="1"/>
      <c r="B56" s="1"/>
      <c r="C56" s="8" t="s">
        <v>328</v>
      </c>
      <c r="D56" s="18"/>
      <c r="E56" s="18"/>
      <c r="F56" s="1"/>
      <c r="G56" s="1"/>
      <c r="H56" s="8" t="s">
        <v>329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"/>
      <c r="AB56" s="1"/>
      <c r="AC56" s="1"/>
      <c r="AD56" s="1"/>
      <c r="AE56" s="1"/>
      <c r="AF56" s="1"/>
      <c r="AG56" s="1"/>
      <c r="AH56" s="1"/>
      <c r="AI56" s="8" t="s">
        <v>7</v>
      </c>
      <c r="AJ56" s="18"/>
      <c r="AK56" s="18"/>
      <c r="AL56" s="18"/>
      <c r="AM56" s="1"/>
      <c r="AN56" s="1"/>
      <c r="AO56" s="1"/>
      <c r="AP56" s="1"/>
      <c r="AQ56" s="8" t="s">
        <v>323</v>
      </c>
      <c r="AR56" s="18"/>
      <c r="AS56" s="1"/>
      <c r="AT56" s="1"/>
    </row>
    <row r="57" spans="1:46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1.25" customHeight="1">
      <c r="A58" s="1"/>
      <c r="B58" s="1"/>
      <c r="C58" s="8" t="s">
        <v>330</v>
      </c>
      <c r="D58" s="18"/>
      <c r="E58" s="18"/>
      <c r="F58" s="1"/>
      <c r="G58" s="1"/>
      <c r="H58" s="8" t="s">
        <v>331</v>
      </c>
      <c r="I58" s="18"/>
      <c r="J58" s="18"/>
      <c r="K58" s="18"/>
      <c r="L58" s="18"/>
      <c r="M58" s="1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8" t="s">
        <v>7</v>
      </c>
      <c r="AJ58" s="18"/>
      <c r="AK58" s="18"/>
      <c r="AL58" s="18"/>
      <c r="AM58" s="1"/>
      <c r="AN58" s="1"/>
      <c r="AO58" s="1"/>
      <c r="AP58" s="8" t="s">
        <v>332</v>
      </c>
      <c r="AQ58" s="18"/>
      <c r="AR58" s="18"/>
      <c r="AS58" s="1"/>
      <c r="AT58" s="1"/>
    </row>
    <row r="59" spans="1:46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1.25" customHeight="1">
      <c r="A60" s="1"/>
      <c r="B60" s="1"/>
      <c r="C60" s="8" t="s">
        <v>333</v>
      </c>
      <c r="D60" s="18"/>
      <c r="E60" s="18"/>
      <c r="F60" s="1"/>
      <c r="G60" s="1"/>
      <c r="H60" s="8" t="s">
        <v>334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"/>
      <c r="AH60" s="1"/>
      <c r="AI60" s="8" t="s">
        <v>7</v>
      </c>
      <c r="AJ60" s="18"/>
      <c r="AK60" s="18"/>
      <c r="AL60" s="18"/>
      <c r="AM60" s="1"/>
      <c r="AN60" s="1"/>
      <c r="AO60" s="8" t="s">
        <v>335</v>
      </c>
      <c r="AP60" s="18"/>
      <c r="AQ60" s="18"/>
      <c r="AR60" s="18"/>
      <c r="AS60" s="1"/>
      <c r="AT60" s="1"/>
    </row>
    <row r="61" spans="1:46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1.25" customHeight="1">
      <c r="A62" s="1"/>
      <c r="B62" s="1"/>
      <c r="C62" s="8" t="s">
        <v>336</v>
      </c>
      <c r="D62" s="18"/>
      <c r="E62" s="18"/>
      <c r="F62" s="1"/>
      <c r="G62" s="1"/>
      <c r="H62" s="8" t="s">
        <v>337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" t="s">
        <v>7</v>
      </c>
      <c r="AJ62" s="18"/>
      <c r="AK62" s="18"/>
      <c r="AL62" s="18"/>
      <c r="AM62" s="1"/>
      <c r="AN62" s="1"/>
      <c r="AO62" s="1"/>
      <c r="AP62" s="1"/>
      <c r="AQ62" s="8" t="s">
        <v>338</v>
      </c>
      <c r="AR62" s="18"/>
      <c r="AS62" s="1"/>
      <c r="AT62" s="1"/>
    </row>
    <row r="63" spans="1:46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1.25" customHeight="1">
      <c r="A64" s="1"/>
      <c r="B64" s="1"/>
      <c r="C64" s="8" t="s">
        <v>339</v>
      </c>
      <c r="D64" s="18"/>
      <c r="E64" s="18"/>
      <c r="F64" s="1"/>
      <c r="G64" s="1"/>
      <c r="H64" s="8" t="s">
        <v>340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8" t="s">
        <v>7</v>
      </c>
      <c r="AJ64" s="18"/>
      <c r="AK64" s="18"/>
      <c r="AL64" s="18"/>
      <c r="AM64" s="1"/>
      <c r="AN64" s="1"/>
      <c r="AO64" s="1"/>
      <c r="AP64" s="8" t="s">
        <v>341</v>
      </c>
      <c r="AQ64" s="18"/>
      <c r="AR64" s="18"/>
      <c r="AS64" s="1"/>
      <c r="AT64" s="1"/>
    </row>
    <row r="65" spans="1:46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1.25" customHeight="1">
      <c r="A66" s="1"/>
      <c r="B66" s="1"/>
      <c r="C66" s="8" t="s">
        <v>342</v>
      </c>
      <c r="D66" s="18"/>
      <c r="E66" s="18"/>
      <c r="F66" s="1"/>
      <c r="G66" s="1"/>
      <c r="H66" s="8" t="s">
        <v>343</v>
      </c>
      <c r="I66" s="18"/>
      <c r="J66" s="18"/>
      <c r="K66" s="1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8" t="s">
        <v>7</v>
      </c>
      <c r="AJ66" s="18"/>
      <c r="AK66" s="18"/>
      <c r="AL66" s="18"/>
      <c r="AM66" s="1"/>
      <c r="AN66" s="1"/>
      <c r="AO66" s="1"/>
      <c r="AP66" s="8" t="s">
        <v>344</v>
      </c>
      <c r="AQ66" s="18"/>
      <c r="AR66" s="18"/>
      <c r="AS66" s="1"/>
      <c r="AT66" s="1"/>
    </row>
    <row r="67" spans="1:46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1.25" customHeight="1">
      <c r="A68" s="1"/>
      <c r="B68" s="1"/>
      <c r="C68" s="8" t="s">
        <v>345</v>
      </c>
      <c r="D68" s="18"/>
      <c r="E68" s="18"/>
      <c r="F68" s="1"/>
      <c r="G68" s="1"/>
      <c r="H68" s="8" t="s">
        <v>346</v>
      </c>
      <c r="I68" s="18"/>
      <c r="J68" s="18"/>
      <c r="K68" s="18"/>
      <c r="L68" s="18"/>
      <c r="M68" s="18"/>
      <c r="N68" s="1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8" t="s">
        <v>7</v>
      </c>
      <c r="AJ68" s="18"/>
      <c r="AK68" s="18"/>
      <c r="AL68" s="18"/>
      <c r="AM68" s="1"/>
      <c r="AN68" s="1"/>
      <c r="AO68" s="1"/>
      <c r="AP68" s="1"/>
      <c r="AQ68" s="8" t="s">
        <v>192</v>
      </c>
      <c r="AR68" s="18"/>
      <c r="AS68" s="1"/>
      <c r="AT68" s="1"/>
    </row>
    <row r="69" spans="1:46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1.25" customHeight="1">
      <c r="A70" s="1"/>
      <c r="B70" s="1"/>
      <c r="C70" s="8" t="s">
        <v>347</v>
      </c>
      <c r="D70" s="18"/>
      <c r="E70" s="18"/>
      <c r="F70" s="1"/>
      <c r="G70" s="1"/>
      <c r="H70" s="8" t="s">
        <v>348</v>
      </c>
      <c r="I70" s="18"/>
      <c r="J70" s="18"/>
      <c r="K70" s="18"/>
      <c r="L70" s="18"/>
      <c r="M70" s="1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8" t="s">
        <v>7</v>
      </c>
      <c r="AJ70" s="18"/>
      <c r="AK70" s="18"/>
      <c r="AL70" s="18"/>
      <c r="AM70" s="1"/>
      <c r="AN70" s="1"/>
      <c r="AO70" s="1"/>
      <c r="AP70" s="8" t="s">
        <v>349</v>
      </c>
      <c r="AQ70" s="18"/>
      <c r="AR70" s="18"/>
      <c r="AS70" s="1"/>
      <c r="AT70" s="1"/>
    </row>
    <row r="71" spans="1:46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1.25" customHeight="1">
      <c r="A72" s="1"/>
      <c r="B72" s="1"/>
      <c r="C72" s="8" t="s">
        <v>350</v>
      </c>
      <c r="D72" s="18"/>
      <c r="E72" s="18"/>
      <c r="F72" s="1"/>
      <c r="G72" s="1"/>
      <c r="H72" s="8" t="s">
        <v>351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"/>
      <c r="AC72" s="1"/>
      <c r="AD72" s="1"/>
      <c r="AE72" s="1"/>
      <c r="AF72" s="1"/>
      <c r="AG72" s="1"/>
      <c r="AH72" s="1"/>
      <c r="AI72" s="8" t="s">
        <v>7</v>
      </c>
      <c r="AJ72" s="18"/>
      <c r="AK72" s="18"/>
      <c r="AL72" s="18"/>
      <c r="AM72" s="1"/>
      <c r="AN72" s="1"/>
      <c r="AO72" s="1"/>
      <c r="AP72" s="8" t="s">
        <v>352</v>
      </c>
      <c r="AQ72" s="18"/>
      <c r="AR72" s="18"/>
      <c r="AS72" s="1"/>
      <c r="AT72" s="1"/>
    </row>
    <row r="73" spans="1:46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1.25" customHeight="1">
      <c r="A74" s="1"/>
      <c r="B74" s="1"/>
      <c r="C74" s="8" t="s">
        <v>353</v>
      </c>
      <c r="D74" s="18"/>
      <c r="E74" s="18"/>
      <c r="F74" s="1"/>
      <c r="G74" s="1"/>
      <c r="H74" s="8" t="s">
        <v>354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"/>
      <c r="AE74" s="1"/>
      <c r="AF74" s="1"/>
      <c r="AG74" s="1"/>
      <c r="AH74" s="1"/>
      <c r="AI74" s="8" t="s">
        <v>7</v>
      </c>
      <c r="AJ74" s="18"/>
      <c r="AK74" s="18"/>
      <c r="AL74" s="18"/>
      <c r="AM74" s="1"/>
      <c r="AN74" s="1"/>
      <c r="AO74" s="1"/>
      <c r="AP74" s="8" t="s">
        <v>355</v>
      </c>
      <c r="AQ74" s="18"/>
      <c r="AR74" s="18"/>
      <c r="AS74" s="1"/>
      <c r="AT74" s="1"/>
    </row>
    <row r="75" spans="1:46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1.25" customHeight="1">
      <c r="A76" s="1"/>
      <c r="B76" s="1"/>
      <c r="C76" s="8" t="s">
        <v>356</v>
      </c>
      <c r="D76" s="18"/>
      <c r="E76" s="18"/>
      <c r="F76" s="1"/>
      <c r="G76" s="1"/>
      <c r="H76" s="8" t="s">
        <v>354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"/>
      <c r="AE76" s="1"/>
      <c r="AF76" s="1"/>
      <c r="AG76" s="1"/>
      <c r="AH76" s="1"/>
      <c r="AI76" s="8" t="s">
        <v>7</v>
      </c>
      <c r="AJ76" s="18"/>
      <c r="AK76" s="18"/>
      <c r="AL76" s="18"/>
      <c r="AM76" s="1"/>
      <c r="AN76" s="1"/>
      <c r="AO76" s="1"/>
      <c r="AP76" s="8" t="s">
        <v>357</v>
      </c>
      <c r="AQ76" s="18"/>
      <c r="AR76" s="18"/>
      <c r="AS76" s="1"/>
      <c r="AT76" s="1"/>
    </row>
    <row r="77" spans="1:46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1.25" customHeight="1">
      <c r="A78" s="1"/>
      <c r="B78" s="1"/>
      <c r="C78" s="8" t="s">
        <v>358</v>
      </c>
      <c r="D78" s="18"/>
      <c r="E78" s="18"/>
      <c r="F78" s="1"/>
      <c r="G78" s="1"/>
      <c r="H78" s="8" t="s">
        <v>359</v>
      </c>
      <c r="I78" s="18"/>
      <c r="J78" s="18"/>
      <c r="K78" s="18"/>
      <c r="L78" s="1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 t="s">
        <v>7</v>
      </c>
      <c r="AJ78" s="18"/>
      <c r="AK78" s="18"/>
      <c r="AL78" s="18"/>
      <c r="AM78" s="1"/>
      <c r="AN78" s="1"/>
      <c r="AO78" s="1"/>
      <c r="AP78" s="1"/>
      <c r="AQ78" s="8" t="s">
        <v>87</v>
      </c>
      <c r="AR78" s="18"/>
      <c r="AS78" s="1"/>
      <c r="AT78" s="1"/>
    </row>
    <row r="79" spans="1:46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1.25" customHeight="1">
      <c r="A80" s="1"/>
      <c r="B80" s="1"/>
      <c r="C80" s="8" t="s">
        <v>360</v>
      </c>
      <c r="D80" s="18"/>
      <c r="E80" s="18"/>
      <c r="F80" s="1"/>
      <c r="G80" s="1"/>
      <c r="H80" s="8" t="s">
        <v>361</v>
      </c>
      <c r="I80" s="18"/>
      <c r="J80" s="18"/>
      <c r="K80" s="1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 t="s">
        <v>7</v>
      </c>
      <c r="AJ80" s="18"/>
      <c r="AK80" s="18"/>
      <c r="AL80" s="18"/>
      <c r="AM80" s="1"/>
      <c r="AN80" s="1"/>
      <c r="AO80" s="1"/>
      <c r="AP80" s="1"/>
      <c r="AQ80" s="1"/>
      <c r="AR80" s="5" t="s">
        <v>295</v>
      </c>
      <c r="AS80" s="1"/>
      <c r="AT80" s="1"/>
    </row>
    <row r="81" spans="1:46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1.25" customHeight="1">
      <c r="A82" s="1"/>
      <c r="B82" s="1"/>
      <c r="C82" s="8" t="s">
        <v>362</v>
      </c>
      <c r="D82" s="18"/>
      <c r="E82" s="1"/>
      <c r="F82" s="1"/>
      <c r="G82" s="1"/>
      <c r="H82" s="8" t="s">
        <v>363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 t="s">
        <v>7</v>
      </c>
      <c r="AJ82" s="18"/>
      <c r="AK82" s="18"/>
      <c r="AL82" s="18"/>
      <c r="AM82" s="1"/>
      <c r="AN82" s="1"/>
      <c r="AO82" s="1"/>
      <c r="AP82" s="1"/>
      <c r="AQ82" s="8" t="s">
        <v>364</v>
      </c>
      <c r="AR82" s="18"/>
      <c r="AS82" s="1"/>
      <c r="AT82" s="1"/>
    </row>
    <row r="83" spans="1:46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1.25" customHeight="1">
      <c r="A84" s="1"/>
      <c r="B84" s="1"/>
      <c r="C84" s="8" t="s">
        <v>365</v>
      </c>
      <c r="D84" s="18"/>
      <c r="E84" s="18"/>
      <c r="F84" s="1"/>
      <c r="G84" s="1"/>
      <c r="H84" s="8" t="s">
        <v>366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"/>
      <c r="AI84" s="8" t="s">
        <v>7</v>
      </c>
      <c r="AJ84" s="18"/>
      <c r="AK84" s="18"/>
      <c r="AL84" s="18"/>
      <c r="AM84" s="1"/>
      <c r="AN84" s="1"/>
      <c r="AO84" s="8" t="s">
        <v>367</v>
      </c>
      <c r="AP84" s="18"/>
      <c r="AQ84" s="18"/>
      <c r="AR84" s="18"/>
      <c r="AS84" s="1"/>
      <c r="AT84" s="1"/>
    </row>
    <row r="85" spans="1:46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1.25" customHeight="1">
      <c r="A86" s="1"/>
      <c r="B86" s="1"/>
      <c r="C86" s="8" t="s">
        <v>368</v>
      </c>
      <c r="D86" s="18"/>
      <c r="E86" s="18"/>
      <c r="F86" s="1"/>
      <c r="G86" s="1"/>
      <c r="H86" s="8" t="s">
        <v>369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"/>
      <c r="AN86" s="1"/>
      <c r="AO86" s="8" t="s">
        <v>370</v>
      </c>
      <c r="AP86" s="18"/>
      <c r="AQ86" s="18"/>
      <c r="AR86" s="18"/>
      <c r="AS86" s="1"/>
      <c r="AT86" s="1"/>
    </row>
    <row r="87" spans="1:46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1.25" customHeight="1">
      <c r="A88" s="1"/>
      <c r="B88" s="1"/>
      <c r="C88" s="8" t="s">
        <v>371</v>
      </c>
      <c r="D88" s="18"/>
      <c r="E88" s="18"/>
      <c r="F88" s="1"/>
      <c r="G88" s="1"/>
      <c r="H88" s="8" t="s">
        <v>372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"/>
      <c r="AN88" s="1"/>
      <c r="AO88" s="8" t="s">
        <v>373</v>
      </c>
      <c r="AP88" s="18"/>
      <c r="AQ88" s="18"/>
      <c r="AR88" s="18"/>
      <c r="AS88" s="1"/>
      <c r="AT88" s="1"/>
    </row>
    <row r="89" spans="1:46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1.25" customHeight="1">
      <c r="A90" s="1"/>
      <c r="B90" s="1"/>
      <c r="C90" s="8" t="s">
        <v>374</v>
      </c>
      <c r="D90" s="18"/>
      <c r="E90" s="18"/>
      <c r="F90" s="1"/>
      <c r="G90" s="1"/>
      <c r="H90" s="8" t="s">
        <v>375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"/>
      <c r="AC90" s="1"/>
      <c r="AD90" s="1"/>
      <c r="AE90" s="1"/>
      <c r="AF90" s="1"/>
      <c r="AG90" s="1"/>
      <c r="AH90" s="1"/>
      <c r="AI90" s="8" t="s">
        <v>7</v>
      </c>
      <c r="AJ90" s="18"/>
      <c r="AK90" s="18"/>
      <c r="AL90" s="18"/>
      <c r="AM90" s="1"/>
      <c r="AN90" s="1"/>
      <c r="AO90" s="1"/>
      <c r="AP90" s="8" t="s">
        <v>376</v>
      </c>
      <c r="AQ90" s="18"/>
      <c r="AR90" s="18"/>
      <c r="AS90" s="1"/>
      <c r="AT90" s="1"/>
    </row>
    <row r="91" spans="1:46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1.25" customHeight="1">
      <c r="A92" s="1"/>
      <c r="B92" s="1"/>
      <c r="C92" s="8" t="s">
        <v>377</v>
      </c>
      <c r="D92" s="18"/>
      <c r="E92" s="18"/>
      <c r="F92" s="1"/>
      <c r="G92" s="1"/>
      <c r="H92" s="8" t="s">
        <v>378</v>
      </c>
      <c r="I92" s="18"/>
      <c r="J92" s="18"/>
      <c r="K92" s="18"/>
      <c r="L92" s="18"/>
      <c r="M92" s="18"/>
      <c r="N92" s="18"/>
      <c r="O92" s="18"/>
      <c r="P92" s="18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 t="s">
        <v>7</v>
      </c>
      <c r="AJ92" s="18"/>
      <c r="AK92" s="18"/>
      <c r="AL92" s="18"/>
      <c r="AM92" s="1"/>
      <c r="AN92" s="1"/>
      <c r="AO92" s="1"/>
      <c r="AP92" s="8" t="s">
        <v>379</v>
      </c>
      <c r="AQ92" s="18"/>
      <c r="AR92" s="18"/>
      <c r="AS92" s="1"/>
      <c r="AT92" s="1"/>
    </row>
    <row r="93" spans="1:46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1.25" customHeight="1">
      <c r="A94" s="1"/>
      <c r="B94" s="1"/>
      <c r="C94" s="8" t="s">
        <v>380</v>
      </c>
      <c r="D94" s="18"/>
      <c r="E94" s="18"/>
      <c r="F94" s="1"/>
      <c r="G94" s="1"/>
      <c r="H94" s="8" t="s">
        <v>381</v>
      </c>
      <c r="I94" s="18"/>
      <c r="J94" s="18"/>
      <c r="K94" s="18"/>
      <c r="L94" s="18"/>
      <c r="M94" s="18"/>
      <c r="N94" s="18"/>
      <c r="O94" s="18"/>
      <c r="P94" s="18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 t="s">
        <v>7</v>
      </c>
      <c r="AJ94" s="18"/>
      <c r="AK94" s="18"/>
      <c r="AL94" s="18"/>
      <c r="AM94" s="1"/>
      <c r="AN94" s="1"/>
      <c r="AO94" s="1"/>
      <c r="AP94" s="8" t="s">
        <v>205</v>
      </c>
      <c r="AQ94" s="18"/>
      <c r="AR94" s="18"/>
      <c r="AS94" s="1"/>
      <c r="AT94" s="1"/>
    </row>
    <row r="95" spans="1:46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1.25" customHeight="1">
      <c r="A96" s="1"/>
      <c r="B96" s="1"/>
      <c r="C96" s="8" t="s">
        <v>382</v>
      </c>
      <c r="D96" s="18"/>
      <c r="E96" s="18"/>
      <c r="F96" s="1"/>
      <c r="G96" s="1"/>
      <c r="H96" s="8" t="s">
        <v>383</v>
      </c>
      <c r="I96" s="18"/>
      <c r="J96" s="18"/>
      <c r="K96" s="1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 t="s">
        <v>7</v>
      </c>
      <c r="AJ96" s="18"/>
      <c r="AK96" s="18"/>
      <c r="AL96" s="18"/>
      <c r="AM96" s="1"/>
      <c r="AN96" s="1"/>
      <c r="AO96" s="1"/>
      <c r="AP96" s="1"/>
      <c r="AQ96" s="8" t="s">
        <v>166</v>
      </c>
      <c r="AR96" s="18"/>
      <c r="AS96" s="1"/>
      <c r="AT96" s="1"/>
    </row>
    <row r="97" spans="1:46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1.25" customHeight="1">
      <c r="A98" s="1"/>
      <c r="B98" s="1"/>
      <c r="C98" s="8" t="s">
        <v>384</v>
      </c>
      <c r="D98" s="18"/>
      <c r="E98" s="1"/>
      <c r="F98" s="1"/>
      <c r="G98" s="1"/>
      <c r="H98" s="8" t="s">
        <v>385</v>
      </c>
      <c r="I98" s="18"/>
      <c r="J98" s="1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 t="s">
        <v>7</v>
      </c>
      <c r="AJ98" s="18"/>
      <c r="AK98" s="18"/>
      <c r="AL98" s="18"/>
      <c r="AM98" s="1"/>
      <c r="AN98" s="1"/>
      <c r="AO98" s="1"/>
      <c r="AP98" s="1"/>
      <c r="AQ98" s="1"/>
      <c r="AR98" s="5" t="s">
        <v>183</v>
      </c>
      <c r="AS98" s="1"/>
      <c r="AT98" s="1"/>
    </row>
    <row r="99" spans="1:46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1.25" customHeight="1">
      <c r="A100" s="1"/>
      <c r="B100" s="1"/>
      <c r="C100" s="8" t="s">
        <v>386</v>
      </c>
      <c r="D100" s="18"/>
      <c r="E100" s="1"/>
      <c r="F100" s="1"/>
      <c r="G100" s="1"/>
      <c r="H100" s="8" t="s">
        <v>387</v>
      </c>
      <c r="I100" s="18"/>
      <c r="J100" s="18"/>
      <c r="K100" s="18"/>
      <c r="L100" s="18"/>
      <c r="M100" s="1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 t="s">
        <v>7</v>
      </c>
      <c r="AJ100" s="18"/>
      <c r="AK100" s="18"/>
      <c r="AL100" s="18"/>
      <c r="AM100" s="1"/>
      <c r="AN100" s="1"/>
      <c r="AO100" s="1"/>
      <c r="AP100" s="1"/>
      <c r="AQ100" s="1"/>
      <c r="AR100" s="5" t="s">
        <v>137</v>
      </c>
      <c r="AS100" s="1"/>
      <c r="AT100" s="1"/>
    </row>
    <row r="101" spans="1:46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8" t="s">
        <v>388</v>
      </c>
      <c r="AP104" s="18"/>
      <c r="AQ104" s="18"/>
      <c r="AR104" s="18"/>
      <c r="AS104" s="18"/>
      <c r="AT104" s="1"/>
    </row>
    <row r="105" spans="1:46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</sheetData>
  <mergeCells count="189">
    <mergeCell ref="B2:F4"/>
    <mergeCell ref="G2:AI4"/>
    <mergeCell ref="AJ2:AK4"/>
    <mergeCell ref="AN3:AS3"/>
    <mergeCell ref="AP6:AR6"/>
    <mergeCell ref="C8:E8"/>
    <mergeCell ref="H8:L8"/>
    <mergeCell ref="AI8:AL8"/>
    <mergeCell ref="AO8:AR8"/>
    <mergeCell ref="C10:E10"/>
    <mergeCell ref="H10:M10"/>
    <mergeCell ref="AI10:AL10"/>
    <mergeCell ref="AO10:AR10"/>
    <mergeCell ref="C12:E12"/>
    <mergeCell ref="H12:O12"/>
    <mergeCell ref="AI12:AL12"/>
    <mergeCell ref="AO12:AR12"/>
    <mergeCell ref="C14:E14"/>
    <mergeCell ref="H14:Q14"/>
    <mergeCell ref="AI14:AL14"/>
    <mergeCell ref="AO14:AR14"/>
    <mergeCell ref="C16:E16"/>
    <mergeCell ref="H16:N16"/>
    <mergeCell ref="AI16:AL16"/>
    <mergeCell ref="AP16:AR16"/>
    <mergeCell ref="C18:E18"/>
    <mergeCell ref="H18:K18"/>
    <mergeCell ref="AI18:AL18"/>
    <mergeCell ref="AQ18:AR18"/>
    <mergeCell ref="C20:E20"/>
    <mergeCell ref="H20:N20"/>
    <mergeCell ref="AI20:AL20"/>
    <mergeCell ref="AP20:AR20"/>
    <mergeCell ref="C22:E22"/>
    <mergeCell ref="H22:AD22"/>
    <mergeCell ref="AI22:AL22"/>
    <mergeCell ref="AP22:AR22"/>
    <mergeCell ref="C24:E24"/>
    <mergeCell ref="H24:J24"/>
    <mergeCell ref="AI24:AL24"/>
    <mergeCell ref="AQ24:AR24"/>
    <mergeCell ref="C26:E26"/>
    <mergeCell ref="H26:K26"/>
    <mergeCell ref="AK26:AL26"/>
    <mergeCell ref="AQ26:AR26"/>
    <mergeCell ref="C28:E28"/>
    <mergeCell ref="H28:K28"/>
    <mergeCell ref="AI28:AL28"/>
    <mergeCell ref="C30:E30"/>
    <mergeCell ref="H30:R30"/>
    <mergeCell ref="AI30:AL30"/>
    <mergeCell ref="C32:E32"/>
    <mergeCell ref="H32:Q32"/>
    <mergeCell ref="AI32:AL32"/>
    <mergeCell ref="AP32:AR32"/>
    <mergeCell ref="C34:E34"/>
    <mergeCell ref="H34:Q34"/>
    <mergeCell ref="AI34:AL34"/>
    <mergeCell ref="AP34:AR34"/>
    <mergeCell ref="C36:E36"/>
    <mergeCell ref="H36:V36"/>
    <mergeCell ref="AI36:AL36"/>
    <mergeCell ref="AP36:AR36"/>
    <mergeCell ref="C38:E38"/>
    <mergeCell ref="H38:AE38"/>
    <mergeCell ref="AI38:AL38"/>
    <mergeCell ref="AP38:AR38"/>
    <mergeCell ref="C40:E40"/>
    <mergeCell ref="H40:AE40"/>
    <mergeCell ref="AI40:AL40"/>
    <mergeCell ref="AP40:AR40"/>
    <mergeCell ref="C42:E42"/>
    <mergeCell ref="H42:Y42"/>
    <mergeCell ref="AI42:AL42"/>
    <mergeCell ref="AP42:AR42"/>
    <mergeCell ref="C44:E44"/>
    <mergeCell ref="H44:X44"/>
    <mergeCell ref="AI44:AL44"/>
    <mergeCell ref="AP44:AR44"/>
    <mergeCell ref="C46:E46"/>
    <mergeCell ref="H46:Q46"/>
    <mergeCell ref="AI46:AL46"/>
    <mergeCell ref="AQ46:AR46"/>
    <mergeCell ref="C48:E48"/>
    <mergeCell ref="H48:N48"/>
    <mergeCell ref="AI48:AL48"/>
    <mergeCell ref="AP48:AR48"/>
    <mergeCell ref="C50:E50"/>
    <mergeCell ref="H50:L50"/>
    <mergeCell ref="AI50:AL50"/>
    <mergeCell ref="AQ50:AR50"/>
    <mergeCell ref="C52:E52"/>
    <mergeCell ref="H52:T52"/>
    <mergeCell ref="AI52:AL52"/>
    <mergeCell ref="AQ52:AR52"/>
    <mergeCell ref="C54:E54"/>
    <mergeCell ref="H54:X54"/>
    <mergeCell ref="AI54:AL54"/>
    <mergeCell ref="AQ54:AR54"/>
    <mergeCell ref="C56:E56"/>
    <mergeCell ref="H56:Z56"/>
    <mergeCell ref="AI56:AL56"/>
    <mergeCell ref="AQ56:AR56"/>
    <mergeCell ref="C58:E58"/>
    <mergeCell ref="H58:M58"/>
    <mergeCell ref="AI58:AL58"/>
    <mergeCell ref="AP58:AR58"/>
    <mergeCell ref="C60:E60"/>
    <mergeCell ref="H60:AF60"/>
    <mergeCell ref="AI60:AL60"/>
    <mergeCell ref="AO60:AR60"/>
    <mergeCell ref="C62:E62"/>
    <mergeCell ref="H62:W62"/>
    <mergeCell ref="AI62:AL62"/>
    <mergeCell ref="AQ62:AR62"/>
    <mergeCell ref="C64:E64"/>
    <mergeCell ref="H64:V64"/>
    <mergeCell ref="AI64:AL64"/>
    <mergeCell ref="AP64:AR64"/>
    <mergeCell ref="C66:E66"/>
    <mergeCell ref="H66:K66"/>
    <mergeCell ref="AI66:AL66"/>
    <mergeCell ref="AP66:AR66"/>
    <mergeCell ref="C68:E68"/>
    <mergeCell ref="H68:N68"/>
    <mergeCell ref="AI68:AL68"/>
    <mergeCell ref="AQ68:AR68"/>
    <mergeCell ref="C70:E70"/>
    <mergeCell ref="H70:M70"/>
    <mergeCell ref="AI70:AL70"/>
    <mergeCell ref="AP70:AR70"/>
    <mergeCell ref="C72:E72"/>
    <mergeCell ref="H72:AA72"/>
    <mergeCell ref="AI72:AL72"/>
    <mergeCell ref="AP72:AR72"/>
    <mergeCell ref="C74:E74"/>
    <mergeCell ref="H74:AC74"/>
    <mergeCell ref="AI74:AL74"/>
    <mergeCell ref="AP74:AR74"/>
    <mergeCell ref="C76:E76"/>
    <mergeCell ref="H76:AC76"/>
    <mergeCell ref="AI76:AL76"/>
    <mergeCell ref="AP76:AR76"/>
    <mergeCell ref="C78:E78"/>
    <mergeCell ref="H78:L78"/>
    <mergeCell ref="AI78:AL78"/>
    <mergeCell ref="AQ78:AR78"/>
    <mergeCell ref="C80:E80"/>
    <mergeCell ref="H80:K80"/>
    <mergeCell ref="AI80:AL80"/>
    <mergeCell ref="C82:D82"/>
    <mergeCell ref="H82:S82"/>
    <mergeCell ref="AI82:AL82"/>
    <mergeCell ref="AQ82:AR82"/>
    <mergeCell ref="C84:E84"/>
    <mergeCell ref="H84:AG84"/>
    <mergeCell ref="AI84:AL84"/>
    <mergeCell ref="AO84:AR84"/>
    <mergeCell ref="C86:E86"/>
    <mergeCell ref="H86:AL86"/>
    <mergeCell ref="AO86:AR86"/>
    <mergeCell ref="C88:E88"/>
    <mergeCell ref="H88:AL88"/>
    <mergeCell ref="AO88:AR88"/>
    <mergeCell ref="C90:E90"/>
    <mergeCell ref="H90:AA90"/>
    <mergeCell ref="AI90:AL90"/>
    <mergeCell ref="AP90:AR90"/>
    <mergeCell ref="C92:E92"/>
    <mergeCell ref="H92:P92"/>
    <mergeCell ref="AI92:AL92"/>
    <mergeCell ref="AP92:AR92"/>
    <mergeCell ref="C94:E94"/>
    <mergeCell ref="H94:P94"/>
    <mergeCell ref="AI94:AL94"/>
    <mergeCell ref="AP94:AR94"/>
    <mergeCell ref="C96:E96"/>
    <mergeCell ref="H96:K96"/>
    <mergeCell ref="AI96:AL96"/>
    <mergeCell ref="AQ96:AR96"/>
    <mergeCell ref="C98:D98"/>
    <mergeCell ref="H98:J98"/>
    <mergeCell ref="AI98:AL98"/>
    <mergeCell ref="C100:D100"/>
    <mergeCell ref="H100:M100"/>
    <mergeCell ref="AI100:AL100"/>
    <mergeCell ref="I102:AB102"/>
    <mergeCell ref="J104:U104"/>
    <mergeCell ref="AO104:AS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42578125" customWidth="1"/>
    <col min="6" max="6" width="17.7109375" customWidth="1"/>
    <col min="7" max="7" width="0.140625" customWidth="1"/>
    <col min="8" max="8" width="3.7109375" customWidth="1"/>
    <col min="9" max="9" width="6.140625" customWidth="1"/>
    <col min="10" max="10" width="6.7109375" customWidth="1"/>
    <col min="11" max="11" width="5.85546875" customWidth="1"/>
    <col min="12" max="12" width="2.42578125" customWidth="1"/>
    <col min="13" max="13" width="1.42578125" customWidth="1"/>
    <col min="14" max="14" width="3.140625" customWidth="1"/>
    <col min="15" max="15" width="1.7109375" customWidth="1"/>
    <col min="16" max="16" width="4" customWidth="1"/>
    <col min="17" max="17" width="3.5703125" customWidth="1"/>
    <col min="18" max="18" width="0.42578125" customWidth="1"/>
    <col min="19" max="19" width="0.5703125" customWidth="1"/>
    <col min="20" max="20" width="0.42578125" customWidth="1"/>
    <col min="21" max="21" width="1.85546875" customWidth="1"/>
    <col min="22" max="22" width="0.42578125" customWidth="1"/>
    <col min="23" max="23" width="2.7109375" customWidth="1"/>
    <col min="24" max="24" width="2.140625" customWidth="1"/>
    <col min="25" max="26" width="0.7109375" customWidth="1"/>
    <col min="27" max="27" width="0.42578125" customWidth="1"/>
    <col min="28" max="28" width="3.140625" customWidth="1"/>
    <col min="29" max="29" width="0.42578125" customWidth="1"/>
    <col min="30" max="30" width="1.7109375" customWidth="1"/>
    <col min="31" max="32" width="0.5703125" customWidth="1"/>
    <col min="33" max="33" width="0.42578125" customWidth="1"/>
    <col min="34" max="34" width="5.140625" customWidth="1"/>
    <col min="35" max="35" width="13" customWidth="1"/>
    <col min="36" max="36" width="0.28515625" customWidth="1"/>
    <col min="37" max="37" width="3.140625" customWidth="1"/>
    <col min="38" max="38" width="2.85546875" customWidth="1"/>
    <col min="39" max="39" width="0.42578125" customWidth="1"/>
    <col min="40" max="40" width="3.28515625" customWidth="1"/>
    <col min="41" max="41" width="1.42578125" customWidth="1"/>
    <col min="42" max="42" width="1.5703125" customWidth="1"/>
    <col min="43" max="44" width="1.28515625" customWidth="1"/>
    <col min="45" max="45" width="6.140625" customWidth="1"/>
    <col min="46" max="46" width="1" customWidth="1"/>
    <col min="47" max="47" width="3.85546875" customWidth="1"/>
  </cols>
  <sheetData>
    <row r="1" spans="1:47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1"/>
      <c r="AN1" s="1"/>
      <c r="AO1" s="1"/>
      <c r="AP1" s="1"/>
      <c r="AQ1" s="1"/>
      <c r="AR1" s="1"/>
      <c r="AS1" s="1"/>
      <c r="AT1" s="1"/>
      <c r="AU1" s="1"/>
    </row>
    <row r="2" spans="1:47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9" t="s">
        <v>2</v>
      </c>
      <c r="AL2" s="11"/>
      <c r="AM2" s="4"/>
      <c r="AN2" s="1"/>
      <c r="AO2" s="1"/>
      <c r="AP2" s="1"/>
      <c r="AQ2" s="1"/>
      <c r="AR2" s="1"/>
      <c r="AS2" s="1"/>
      <c r="AT2" s="1"/>
      <c r="AU2" s="1"/>
    </row>
    <row r="3" spans="1:47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4"/>
      <c r="AK3" s="12"/>
      <c r="AL3" s="14"/>
      <c r="AM3" s="4"/>
      <c r="AN3" s="1"/>
      <c r="AO3" s="8" t="s">
        <v>3</v>
      </c>
      <c r="AP3" s="18"/>
      <c r="AQ3" s="18"/>
      <c r="AR3" s="18"/>
      <c r="AS3" s="18"/>
      <c r="AT3" s="18"/>
      <c r="AU3" s="1"/>
    </row>
    <row r="4" spans="1:47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5"/>
      <c r="AL4" s="17"/>
      <c r="AM4" s="4"/>
      <c r="AN4" s="1"/>
      <c r="AO4" s="1"/>
      <c r="AP4" s="1"/>
      <c r="AQ4" s="1"/>
      <c r="AR4" s="1"/>
      <c r="AS4" s="1"/>
      <c r="AT4" s="1"/>
      <c r="AU4" s="1"/>
    </row>
    <row r="5" spans="1:47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"/>
      <c r="AN5" s="1"/>
      <c r="AO5" s="1"/>
      <c r="AP5" s="1"/>
      <c r="AQ5" s="1"/>
      <c r="AR5" s="1"/>
      <c r="AS5" s="1"/>
      <c r="AT5" s="1"/>
      <c r="AU5" s="1"/>
    </row>
    <row r="6" spans="1:47" ht="11.25" customHeight="1">
      <c r="A6" s="1"/>
      <c r="B6" s="1"/>
      <c r="C6" s="1" t="s">
        <v>2163</v>
      </c>
      <c r="D6" s="1"/>
      <c r="E6" s="1"/>
      <c r="F6" s="1"/>
      <c r="G6" s="1"/>
      <c r="H6" s="1" t="s">
        <v>2164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s">
        <v>2160</v>
      </c>
      <c r="AL6" s="1"/>
      <c r="AM6" s="1"/>
      <c r="AN6" s="1"/>
      <c r="AO6" s="1"/>
      <c r="AP6" s="1"/>
      <c r="AQ6" s="1"/>
      <c r="AR6" s="8" t="s">
        <v>389</v>
      </c>
      <c r="AS6" s="18"/>
      <c r="AT6" s="1"/>
      <c r="AU6" s="1"/>
    </row>
    <row r="7" spans="1:47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1.25" customHeight="1">
      <c r="A8" s="1"/>
      <c r="B8" s="1"/>
      <c r="C8" s="8" t="s">
        <v>390</v>
      </c>
      <c r="D8" s="18"/>
      <c r="E8" s="1"/>
      <c r="F8" s="1"/>
      <c r="G8" s="1"/>
      <c r="H8" s="8" t="s">
        <v>391</v>
      </c>
      <c r="I8" s="18"/>
      <c r="J8" s="18"/>
      <c r="K8" s="1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8" t="s">
        <v>7</v>
      </c>
      <c r="AK8" s="18"/>
      <c r="AL8" s="18"/>
      <c r="AM8" s="18"/>
      <c r="AN8" s="1"/>
      <c r="AO8" s="1"/>
      <c r="AP8" s="1"/>
      <c r="AQ8" s="1"/>
      <c r="AR8" s="1"/>
      <c r="AS8" s="5" t="s">
        <v>392</v>
      </c>
      <c r="AT8" s="1"/>
      <c r="AU8" s="1"/>
    </row>
    <row r="9" spans="1:47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1.25" customHeight="1">
      <c r="A10" s="1"/>
      <c r="B10" s="1"/>
      <c r="C10" s="8" t="s">
        <v>393</v>
      </c>
      <c r="D10" s="18"/>
      <c r="E10" s="18"/>
      <c r="F10" s="1"/>
      <c r="G10" s="1"/>
      <c r="H10" s="8" t="s">
        <v>394</v>
      </c>
      <c r="I10" s="18"/>
      <c r="J10" s="18"/>
      <c r="K10" s="18"/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8" t="s">
        <v>7</v>
      </c>
      <c r="AK10" s="18"/>
      <c r="AL10" s="18"/>
      <c r="AM10" s="18"/>
      <c r="AN10" s="1"/>
      <c r="AO10" s="1"/>
      <c r="AP10" s="1"/>
      <c r="AQ10" s="1"/>
      <c r="AR10" s="1"/>
      <c r="AS10" s="5" t="s">
        <v>30</v>
      </c>
      <c r="AT10" s="1"/>
      <c r="AU10" s="1"/>
    </row>
    <row r="11" spans="1:47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1.25" customHeight="1">
      <c r="A12" s="1"/>
      <c r="B12" s="1"/>
      <c r="C12" s="8" t="s">
        <v>395</v>
      </c>
      <c r="D12" s="18"/>
      <c r="E12" s="18"/>
      <c r="F12" s="1"/>
      <c r="G12" s="1"/>
      <c r="H12" s="8" t="s">
        <v>394</v>
      </c>
      <c r="I12" s="18"/>
      <c r="J12" s="18"/>
      <c r="K12" s="18"/>
      <c r="L12" s="1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8" t="s">
        <v>7</v>
      </c>
      <c r="AK12" s="18"/>
      <c r="AL12" s="18"/>
      <c r="AM12" s="18"/>
      <c r="AN12" s="1"/>
      <c r="AO12" s="1"/>
      <c r="AP12" s="1"/>
      <c r="AQ12" s="1"/>
      <c r="AR12" s="1"/>
      <c r="AS12" s="5" t="s">
        <v>132</v>
      </c>
      <c r="AT12" s="1"/>
      <c r="AU12" s="1"/>
    </row>
    <row r="13" spans="1:47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1.25" customHeight="1">
      <c r="A14" s="1"/>
      <c r="B14" s="1"/>
      <c r="C14" s="8" t="s">
        <v>396</v>
      </c>
      <c r="D14" s="18"/>
      <c r="E14" s="1"/>
      <c r="F14" s="1"/>
      <c r="G14" s="1"/>
      <c r="H14" s="8" t="s">
        <v>397</v>
      </c>
      <c r="I14" s="18"/>
      <c r="J14" s="18"/>
      <c r="K14" s="18"/>
      <c r="L14" s="18"/>
      <c r="M14" s="18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8" t="s">
        <v>7</v>
      </c>
      <c r="AK14" s="18"/>
      <c r="AL14" s="18"/>
      <c r="AM14" s="18"/>
      <c r="AN14" s="1"/>
      <c r="AO14" s="1"/>
      <c r="AP14" s="1"/>
      <c r="AQ14" s="1"/>
      <c r="AR14" s="8" t="s">
        <v>398</v>
      </c>
      <c r="AS14" s="18"/>
      <c r="AT14" s="1"/>
      <c r="AU14" s="1"/>
    </row>
    <row r="15" spans="1:47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1.25" customHeight="1">
      <c r="A16" s="1"/>
      <c r="B16" s="1"/>
      <c r="C16" s="8" t="s">
        <v>399</v>
      </c>
      <c r="D16" s="18"/>
      <c r="E16" s="18"/>
      <c r="F16" s="1"/>
      <c r="G16" s="1"/>
      <c r="H16" s="8" t="s">
        <v>400</v>
      </c>
      <c r="I16" s="18"/>
      <c r="J16" s="18"/>
      <c r="K16" s="18"/>
      <c r="L16" s="18"/>
      <c r="M16" s="18"/>
      <c r="N16" s="18"/>
      <c r="O16" s="18"/>
      <c r="P16" s="18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8" t="s">
        <v>7</v>
      </c>
      <c r="AK16" s="18"/>
      <c r="AL16" s="18"/>
      <c r="AM16" s="18"/>
      <c r="AN16" s="1"/>
      <c r="AO16" s="1"/>
      <c r="AP16" s="1"/>
      <c r="AQ16" s="1"/>
      <c r="AR16" s="1"/>
      <c r="AS16" s="5" t="s">
        <v>213</v>
      </c>
      <c r="AT16" s="1"/>
      <c r="AU16" s="1"/>
    </row>
    <row r="17" spans="1:47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1.25" customHeight="1">
      <c r="A18" s="1"/>
      <c r="B18" s="1"/>
      <c r="C18" s="8" t="s">
        <v>401</v>
      </c>
      <c r="D18" s="18"/>
      <c r="E18" s="18"/>
      <c r="F18" s="1"/>
      <c r="G18" s="1"/>
      <c r="H18" s="8" t="s">
        <v>400</v>
      </c>
      <c r="I18" s="18"/>
      <c r="J18" s="18"/>
      <c r="K18" s="18"/>
      <c r="L18" s="18"/>
      <c r="M18" s="18"/>
      <c r="N18" s="18"/>
      <c r="O18" s="18"/>
      <c r="P18" s="1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8" t="s">
        <v>7</v>
      </c>
      <c r="AK18" s="18"/>
      <c r="AL18" s="18"/>
      <c r="AM18" s="18"/>
      <c r="AN18" s="1"/>
      <c r="AO18" s="1"/>
      <c r="AP18" s="1"/>
      <c r="AQ18" s="1"/>
      <c r="AR18" s="1"/>
      <c r="AS18" s="5" t="s">
        <v>132</v>
      </c>
      <c r="AT18" s="1"/>
      <c r="AU18" s="1"/>
    </row>
    <row r="19" spans="1:47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1.25" customHeight="1">
      <c r="A20" s="1"/>
      <c r="B20" s="1"/>
      <c r="C20" s="8" t="s">
        <v>402</v>
      </c>
      <c r="D20" s="18"/>
      <c r="E20" s="1"/>
      <c r="F20" s="1"/>
      <c r="G20" s="1"/>
      <c r="H20" s="8" t="s">
        <v>403</v>
      </c>
      <c r="I20" s="18"/>
      <c r="J20" s="18"/>
      <c r="K20" s="1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8" t="s">
        <v>7</v>
      </c>
      <c r="AK20" s="18"/>
      <c r="AL20" s="18"/>
      <c r="AM20" s="18"/>
      <c r="AN20" s="1"/>
      <c r="AO20" s="1"/>
      <c r="AP20" s="1"/>
      <c r="AQ20" s="1"/>
      <c r="AR20" s="1"/>
      <c r="AS20" s="5" t="s">
        <v>27</v>
      </c>
      <c r="AT20" s="1"/>
      <c r="AU20" s="1"/>
    </row>
    <row r="21" spans="1:47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1.25" customHeight="1">
      <c r="A22" s="1"/>
      <c r="B22" s="1"/>
      <c r="C22" s="8" t="s">
        <v>404</v>
      </c>
      <c r="D22" s="18"/>
      <c r="E22" s="1"/>
      <c r="F22" s="1"/>
      <c r="G22" s="1"/>
      <c r="H22" s="8" t="s">
        <v>405</v>
      </c>
      <c r="I22" s="18"/>
      <c r="J22" s="18"/>
      <c r="K22" s="18"/>
      <c r="L22" s="1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8" t="s">
        <v>7</v>
      </c>
      <c r="AK22" s="18"/>
      <c r="AL22" s="18"/>
      <c r="AM22" s="18"/>
      <c r="AN22" s="1"/>
      <c r="AO22" s="1"/>
      <c r="AP22" s="1"/>
      <c r="AQ22" s="1"/>
      <c r="AR22" s="8" t="s">
        <v>389</v>
      </c>
      <c r="AS22" s="18"/>
      <c r="AT22" s="1"/>
      <c r="AU22" s="1"/>
    </row>
    <row r="23" spans="1:47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1.25" customHeight="1">
      <c r="A24" s="1"/>
      <c r="B24" s="1"/>
      <c r="C24" s="8" t="s">
        <v>406</v>
      </c>
      <c r="D24" s="18"/>
      <c r="E24" s="1"/>
      <c r="F24" s="1"/>
      <c r="G24" s="1"/>
      <c r="H24" s="8" t="s">
        <v>407</v>
      </c>
      <c r="I24" s="18"/>
      <c r="J24" s="18"/>
      <c r="K24" s="18"/>
      <c r="L24" s="18"/>
      <c r="M24" s="18"/>
      <c r="N24" s="18"/>
      <c r="O24" s="18"/>
      <c r="P24" s="18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8" t="s">
        <v>7</v>
      </c>
      <c r="AK24" s="18"/>
      <c r="AL24" s="18"/>
      <c r="AM24" s="18"/>
      <c r="AN24" s="1"/>
      <c r="AO24" s="1"/>
      <c r="AP24" s="1"/>
      <c r="AQ24" s="1"/>
      <c r="AR24" s="1"/>
      <c r="AS24" s="5" t="s">
        <v>195</v>
      </c>
      <c r="AT24" s="1"/>
      <c r="AU24" s="1"/>
    </row>
    <row r="25" spans="1:47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1.25" customHeight="1">
      <c r="A26" s="1"/>
      <c r="B26" s="1"/>
      <c r="C26" s="20">
        <v>330001207</v>
      </c>
      <c r="D26" s="18"/>
      <c r="E26" s="1"/>
      <c r="F26" s="1"/>
      <c r="G26" s="1"/>
      <c r="H26" s="8" t="s">
        <v>408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8" t="s">
        <v>7</v>
      </c>
      <c r="AK26" s="18"/>
      <c r="AL26" s="18"/>
      <c r="AM26" s="18"/>
      <c r="AN26" s="1"/>
      <c r="AO26" s="1"/>
      <c r="AP26" s="1"/>
      <c r="AQ26" s="1"/>
      <c r="AR26" s="8" t="s">
        <v>87</v>
      </c>
      <c r="AS26" s="18"/>
      <c r="AT26" s="1"/>
      <c r="AU26" s="1"/>
    </row>
    <row r="27" spans="1:47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1.25" customHeight="1">
      <c r="A28" s="1"/>
      <c r="B28" s="1"/>
      <c r="C28" s="8" t="s">
        <v>409</v>
      </c>
      <c r="D28" s="18"/>
      <c r="E28" s="18"/>
      <c r="F28" s="1"/>
      <c r="G28" s="1"/>
      <c r="H28" s="8" t="s">
        <v>410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8" t="s">
        <v>26</v>
      </c>
      <c r="AM28" s="18"/>
      <c r="AN28" s="1"/>
      <c r="AO28" s="1"/>
      <c r="AP28" s="1"/>
      <c r="AQ28" s="1"/>
      <c r="AR28" s="8" t="s">
        <v>411</v>
      </c>
      <c r="AS28" s="18"/>
      <c r="AT28" s="1"/>
      <c r="AU28" s="1"/>
    </row>
    <row r="29" spans="1:47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1.25" customHeight="1">
      <c r="A30" s="1"/>
      <c r="B30" s="1"/>
      <c r="C30" s="8" t="s">
        <v>412</v>
      </c>
      <c r="D30" s="18"/>
      <c r="E30" s="18"/>
      <c r="F30" s="1"/>
      <c r="G30" s="1"/>
      <c r="H30" s="8" t="s">
        <v>413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8" t="s">
        <v>26</v>
      </c>
      <c r="AM30" s="18"/>
      <c r="AN30" s="1"/>
      <c r="AO30" s="1"/>
      <c r="AP30" s="1"/>
      <c r="AQ30" s="1"/>
      <c r="AR30" s="8" t="s">
        <v>414</v>
      </c>
      <c r="AS30" s="18"/>
      <c r="AT30" s="1"/>
      <c r="AU30" s="1"/>
    </row>
    <row r="31" spans="1:47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1.25" customHeight="1">
      <c r="A32" s="1"/>
      <c r="B32" s="1"/>
      <c r="C32" s="8" t="s">
        <v>415</v>
      </c>
      <c r="D32" s="18"/>
      <c r="E32" s="18"/>
      <c r="F32" s="1"/>
      <c r="G32" s="1"/>
      <c r="H32" s="8" t="s">
        <v>416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8" t="s">
        <v>26</v>
      </c>
      <c r="AM32" s="18"/>
      <c r="AN32" s="1"/>
      <c r="AO32" s="1"/>
      <c r="AP32" s="1"/>
      <c r="AQ32" s="1"/>
      <c r="AR32" s="8" t="s">
        <v>417</v>
      </c>
      <c r="AS32" s="18"/>
      <c r="AT32" s="1"/>
      <c r="AU32" s="1"/>
    </row>
    <row r="33" spans="1:47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1.25" customHeight="1">
      <c r="A34" s="1"/>
      <c r="B34" s="1"/>
      <c r="C34" s="8" t="s">
        <v>418</v>
      </c>
      <c r="D34" s="18"/>
      <c r="E34" s="18"/>
      <c r="F34" s="1"/>
      <c r="G34" s="1"/>
      <c r="H34" s="8" t="s">
        <v>419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8" t="s">
        <v>26</v>
      </c>
      <c r="AM34" s="18"/>
      <c r="AN34" s="1"/>
      <c r="AO34" s="1"/>
      <c r="AP34" s="1"/>
      <c r="AQ34" s="1"/>
      <c r="AR34" s="8" t="s">
        <v>411</v>
      </c>
      <c r="AS34" s="18"/>
      <c r="AT34" s="1"/>
      <c r="AU34" s="1"/>
    </row>
    <row r="35" spans="1:47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1.25" customHeight="1">
      <c r="A36" s="1"/>
      <c r="B36" s="1"/>
      <c r="C36" s="8" t="s">
        <v>420</v>
      </c>
      <c r="D36" s="18"/>
      <c r="E36" s="18"/>
      <c r="F36" s="1"/>
      <c r="G36" s="1"/>
      <c r="H36" s="8" t="s">
        <v>421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8" t="s">
        <v>26</v>
      </c>
      <c r="AM36" s="18"/>
      <c r="AN36" s="1"/>
      <c r="AO36" s="1"/>
      <c r="AP36" s="1"/>
      <c r="AQ36" s="1"/>
      <c r="AR36" s="8" t="s">
        <v>126</v>
      </c>
      <c r="AS36" s="18"/>
      <c r="AT36" s="1"/>
      <c r="AU36" s="1"/>
    </row>
    <row r="37" spans="1:47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1.25" customHeight="1">
      <c r="A38" s="1"/>
      <c r="B38" s="1"/>
      <c r="C38" s="8" t="s">
        <v>422</v>
      </c>
      <c r="D38" s="18"/>
      <c r="E38" s="18"/>
      <c r="F38" s="1"/>
      <c r="G38" s="1"/>
      <c r="H38" s="8" t="s">
        <v>423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" t="s">
        <v>26</v>
      </c>
      <c r="AM38" s="18"/>
      <c r="AN38" s="1"/>
      <c r="AO38" s="1"/>
      <c r="AP38" s="1"/>
      <c r="AQ38" s="1"/>
      <c r="AR38" s="8" t="s">
        <v>192</v>
      </c>
      <c r="AS38" s="18"/>
      <c r="AT38" s="1"/>
      <c r="AU38" s="1"/>
    </row>
    <row r="39" spans="1:47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1.25" customHeight="1">
      <c r="A40" s="1"/>
      <c r="B40" s="1"/>
      <c r="C40" s="8" t="s">
        <v>424</v>
      </c>
      <c r="D40" s="18"/>
      <c r="E40" s="18"/>
      <c r="F40" s="1"/>
      <c r="G40" s="1"/>
      <c r="H40" s="8" t="s">
        <v>425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"/>
      <c r="AF40" s="1"/>
      <c r="AG40" s="1"/>
      <c r="AH40" s="1"/>
      <c r="AI40" s="1"/>
      <c r="AJ40" s="1"/>
      <c r="AK40" s="1"/>
      <c r="AL40" s="8" t="s">
        <v>26</v>
      </c>
      <c r="AM40" s="18"/>
      <c r="AN40" s="1"/>
      <c r="AO40" s="1"/>
      <c r="AP40" s="1"/>
      <c r="AQ40" s="1"/>
      <c r="AR40" s="8" t="s">
        <v>426</v>
      </c>
      <c r="AS40" s="18"/>
      <c r="AT40" s="1"/>
      <c r="AU40" s="1"/>
    </row>
    <row r="41" spans="1:47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1.25" customHeight="1">
      <c r="A42" s="1"/>
      <c r="B42" s="1"/>
      <c r="C42" s="8" t="s">
        <v>427</v>
      </c>
      <c r="D42" s="18"/>
      <c r="E42" s="18"/>
      <c r="F42" s="1"/>
      <c r="G42" s="1"/>
      <c r="H42" s="8" t="s">
        <v>428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"/>
      <c r="AI42" s="1"/>
      <c r="AJ42" s="1"/>
      <c r="AK42" s="1"/>
      <c r="AL42" s="8" t="s">
        <v>26</v>
      </c>
      <c r="AM42" s="18"/>
      <c r="AN42" s="1"/>
      <c r="AO42" s="1"/>
      <c r="AP42" s="1"/>
      <c r="AQ42" s="1"/>
      <c r="AR42" s="8" t="s">
        <v>239</v>
      </c>
      <c r="AS42" s="18"/>
      <c r="AT42" s="1"/>
      <c r="AU42" s="1"/>
    </row>
    <row r="43" spans="1:47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1.25" customHeight="1">
      <c r="A44" s="1"/>
      <c r="B44" s="1"/>
      <c r="C44" s="8" t="s">
        <v>429</v>
      </c>
      <c r="D44" s="18"/>
      <c r="E44" s="18"/>
      <c r="F44" s="1"/>
      <c r="G44" s="1"/>
      <c r="H44" s="8" t="s">
        <v>430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8" t="s">
        <v>26</v>
      </c>
      <c r="AM44" s="18"/>
      <c r="AN44" s="1"/>
      <c r="AO44" s="1"/>
      <c r="AP44" s="1"/>
      <c r="AQ44" s="1"/>
      <c r="AR44" s="8" t="s">
        <v>414</v>
      </c>
      <c r="AS44" s="18"/>
      <c r="AT44" s="1"/>
      <c r="AU44" s="1"/>
    </row>
    <row r="45" spans="1:47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1.25" customHeight="1">
      <c r="A46" s="1"/>
      <c r="B46" s="1"/>
      <c r="C46" s="8" t="s">
        <v>431</v>
      </c>
      <c r="D46" s="18"/>
      <c r="E46" s="18"/>
      <c r="F46" s="1"/>
      <c r="G46" s="1"/>
      <c r="H46" s="8" t="s">
        <v>432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8" t="s">
        <v>26</v>
      </c>
      <c r="AM46" s="18"/>
      <c r="AN46" s="1"/>
      <c r="AO46" s="1"/>
      <c r="AP46" s="1"/>
      <c r="AQ46" s="1"/>
      <c r="AR46" s="8" t="s">
        <v>192</v>
      </c>
      <c r="AS46" s="18"/>
      <c r="AT46" s="1"/>
      <c r="AU46" s="1"/>
    </row>
    <row r="47" spans="1:47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1.25" customHeight="1">
      <c r="A48" s="1"/>
      <c r="B48" s="1"/>
      <c r="C48" s="8" t="s">
        <v>433</v>
      </c>
      <c r="D48" s="18"/>
      <c r="E48" s="18"/>
      <c r="F48" s="1"/>
      <c r="G48" s="1"/>
      <c r="H48" s="8" t="s">
        <v>434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8" t="s">
        <v>26</v>
      </c>
      <c r="AM48" s="18"/>
      <c r="AN48" s="1"/>
      <c r="AO48" s="1"/>
      <c r="AP48" s="1"/>
      <c r="AQ48" s="1"/>
      <c r="AR48" s="8" t="s">
        <v>435</v>
      </c>
      <c r="AS48" s="18"/>
      <c r="AT48" s="1"/>
      <c r="AU48" s="1"/>
    </row>
    <row r="49" spans="1:47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1.25" customHeight="1">
      <c r="A50" s="1"/>
      <c r="B50" s="1"/>
      <c r="C50" s="8" t="s">
        <v>436</v>
      </c>
      <c r="D50" s="18"/>
      <c r="E50" s="18"/>
      <c r="F50" s="1"/>
      <c r="G50" s="1"/>
      <c r="H50" s="8" t="s">
        <v>437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8" t="s">
        <v>26</v>
      </c>
      <c r="AM50" s="18"/>
      <c r="AN50" s="1"/>
      <c r="AO50" s="1"/>
      <c r="AP50" s="1"/>
      <c r="AQ50" s="1"/>
      <c r="AR50" s="8" t="s">
        <v>414</v>
      </c>
      <c r="AS50" s="18"/>
      <c r="AT50" s="1"/>
      <c r="AU50" s="1"/>
    </row>
    <row r="51" spans="1:47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1.25" customHeight="1">
      <c r="A52" s="1"/>
      <c r="B52" s="1"/>
      <c r="C52" s="8" t="s">
        <v>438</v>
      </c>
      <c r="D52" s="18"/>
      <c r="E52" s="1"/>
      <c r="F52" s="1"/>
      <c r="G52" s="1"/>
      <c r="H52" s="8" t="s">
        <v>439</v>
      </c>
      <c r="I52" s="18"/>
      <c r="J52" s="18"/>
      <c r="K52" s="1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8" t="s">
        <v>7</v>
      </c>
      <c r="AK52" s="18"/>
      <c r="AL52" s="18"/>
      <c r="AM52" s="18"/>
      <c r="AN52" s="1"/>
      <c r="AO52" s="1"/>
      <c r="AP52" s="1"/>
      <c r="AQ52" s="1"/>
      <c r="AR52" s="8" t="s">
        <v>440</v>
      </c>
      <c r="AS52" s="18"/>
      <c r="AT52" s="1"/>
      <c r="AU52" s="1"/>
    </row>
    <row r="53" spans="1:47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1.25" customHeight="1">
      <c r="A54" s="1"/>
      <c r="B54" s="1"/>
      <c r="C54" s="8" t="s">
        <v>441</v>
      </c>
      <c r="D54" s="18"/>
      <c r="E54" s="1"/>
      <c r="F54" s="1"/>
      <c r="G54" s="1"/>
      <c r="H54" s="8" t="s">
        <v>442</v>
      </c>
      <c r="I54" s="18"/>
      <c r="J54" s="18"/>
      <c r="K54" s="18"/>
      <c r="L54" s="18"/>
      <c r="M54" s="18"/>
      <c r="N54" s="18"/>
      <c r="O54" s="18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8" t="s">
        <v>7</v>
      </c>
      <c r="AK54" s="18"/>
      <c r="AL54" s="18"/>
      <c r="AM54" s="18"/>
      <c r="AN54" s="1"/>
      <c r="AO54" s="1"/>
      <c r="AP54" s="1"/>
      <c r="AQ54" s="1"/>
      <c r="AR54" s="8" t="s">
        <v>443</v>
      </c>
      <c r="AS54" s="18"/>
      <c r="AT54" s="1"/>
      <c r="AU54" s="1"/>
    </row>
    <row r="55" spans="1:47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1.25" customHeight="1">
      <c r="A56" s="1"/>
      <c r="B56" s="1"/>
      <c r="C56" s="8" t="s">
        <v>444</v>
      </c>
      <c r="D56" s="18"/>
      <c r="E56" s="1"/>
      <c r="F56" s="1"/>
      <c r="G56" s="1"/>
      <c r="H56" s="8" t="s">
        <v>445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8" t="s">
        <v>7</v>
      </c>
      <c r="AK56" s="18"/>
      <c r="AL56" s="18"/>
      <c r="AM56" s="18"/>
      <c r="AN56" s="1"/>
      <c r="AO56" s="1"/>
      <c r="AP56" s="1"/>
      <c r="AQ56" s="1"/>
      <c r="AR56" s="8" t="s">
        <v>443</v>
      </c>
      <c r="AS56" s="18"/>
      <c r="AT56" s="1"/>
      <c r="AU56" s="1"/>
    </row>
    <row r="57" spans="1:47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1.25" customHeight="1">
      <c r="A58" s="1"/>
      <c r="B58" s="1"/>
      <c r="C58" s="8" t="s">
        <v>446</v>
      </c>
      <c r="D58" s="18"/>
      <c r="E58" s="1"/>
      <c r="F58" s="1"/>
      <c r="G58" s="1"/>
      <c r="H58" s="8" t="s">
        <v>447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8" t="s">
        <v>7</v>
      </c>
      <c r="AK58" s="18"/>
      <c r="AL58" s="18"/>
      <c r="AM58" s="18"/>
      <c r="AN58" s="1"/>
      <c r="AO58" s="1"/>
      <c r="AP58" s="1"/>
      <c r="AQ58" s="1"/>
      <c r="AR58" s="8" t="s">
        <v>448</v>
      </c>
      <c r="AS58" s="18"/>
      <c r="AT58" s="1"/>
      <c r="AU58" s="1"/>
    </row>
    <row r="59" spans="1:47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1.25" customHeight="1">
      <c r="A60" s="1"/>
      <c r="B60" s="1"/>
      <c r="C60" s="8" t="s">
        <v>449</v>
      </c>
      <c r="D60" s="18"/>
      <c r="E60" s="1"/>
      <c r="F60" s="1"/>
      <c r="G60" s="1"/>
      <c r="H60" s="8" t="s">
        <v>450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8" t="s">
        <v>7</v>
      </c>
      <c r="AK60" s="18"/>
      <c r="AL60" s="18"/>
      <c r="AM60" s="18"/>
      <c r="AN60" s="1"/>
      <c r="AO60" s="1"/>
      <c r="AP60" s="1"/>
      <c r="AQ60" s="1"/>
      <c r="AR60" s="8" t="s">
        <v>448</v>
      </c>
      <c r="AS60" s="18"/>
      <c r="AT60" s="1"/>
      <c r="AU60" s="1"/>
    </row>
    <row r="61" spans="1:47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1.25" customHeight="1">
      <c r="A62" s="1"/>
      <c r="B62" s="1"/>
      <c r="C62" s="8" t="s">
        <v>451</v>
      </c>
      <c r="D62" s="18"/>
      <c r="E62" s="1"/>
      <c r="F62" s="1"/>
      <c r="G62" s="1"/>
      <c r="H62" s="8" t="s">
        <v>452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"/>
      <c r="AD62" s="1"/>
      <c r="AE62" s="1"/>
      <c r="AF62" s="1"/>
      <c r="AG62" s="1"/>
      <c r="AH62" s="1"/>
      <c r="AI62" s="1"/>
      <c r="AJ62" s="8" t="s">
        <v>7</v>
      </c>
      <c r="AK62" s="18"/>
      <c r="AL62" s="18"/>
      <c r="AM62" s="18"/>
      <c r="AN62" s="1"/>
      <c r="AO62" s="1"/>
      <c r="AP62" s="1"/>
      <c r="AQ62" s="1"/>
      <c r="AR62" s="8" t="s">
        <v>453</v>
      </c>
      <c r="AS62" s="18"/>
      <c r="AT62" s="1"/>
      <c r="AU62" s="1"/>
    </row>
    <row r="63" spans="1:47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1.25" customHeight="1">
      <c r="A64" s="1"/>
      <c r="B64" s="1"/>
      <c r="C64" s="8" t="s">
        <v>454</v>
      </c>
      <c r="D64" s="18"/>
      <c r="E64" s="1"/>
      <c r="F64" s="1"/>
      <c r="G64" s="1"/>
      <c r="H64" s="8" t="s">
        <v>455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"/>
      <c r="AE64" s="1"/>
      <c r="AF64" s="1"/>
      <c r="AG64" s="1"/>
      <c r="AH64" s="1"/>
      <c r="AI64" s="1"/>
      <c r="AJ64" s="8" t="s">
        <v>7</v>
      </c>
      <c r="AK64" s="18"/>
      <c r="AL64" s="18"/>
      <c r="AM64" s="18"/>
      <c r="AN64" s="1"/>
      <c r="AO64" s="1"/>
      <c r="AP64" s="1"/>
      <c r="AQ64" s="1"/>
      <c r="AR64" s="8" t="s">
        <v>453</v>
      </c>
      <c r="AS64" s="18"/>
      <c r="AT64" s="1"/>
      <c r="AU64" s="1"/>
    </row>
    <row r="65" spans="1:47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1.25" customHeight="1">
      <c r="A66" s="1"/>
      <c r="B66" s="1"/>
      <c r="C66" s="8" t="s">
        <v>456</v>
      </c>
      <c r="D66" s="18"/>
      <c r="E66" s="1"/>
      <c r="F66" s="1"/>
      <c r="G66" s="1"/>
      <c r="H66" s="8" t="s">
        <v>457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"/>
      <c r="AH66" s="1"/>
      <c r="AI66" s="1"/>
      <c r="AJ66" s="8" t="s">
        <v>7</v>
      </c>
      <c r="AK66" s="18"/>
      <c r="AL66" s="18"/>
      <c r="AM66" s="18"/>
      <c r="AN66" s="1"/>
      <c r="AO66" s="1"/>
      <c r="AP66" s="1"/>
      <c r="AQ66" s="1"/>
      <c r="AR66" s="8" t="s">
        <v>443</v>
      </c>
      <c r="AS66" s="18"/>
      <c r="AT66" s="1"/>
      <c r="AU66" s="1"/>
    </row>
    <row r="67" spans="1:47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1.25" customHeight="1">
      <c r="A68" s="1"/>
      <c r="B68" s="1"/>
      <c r="C68" s="8" t="s">
        <v>458</v>
      </c>
      <c r="D68" s="18"/>
      <c r="E68" s="1"/>
      <c r="F68" s="1"/>
      <c r="G68" s="1"/>
      <c r="H68" s="8" t="s">
        <v>459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"/>
      <c r="AI68" s="1"/>
      <c r="AJ68" s="8" t="s">
        <v>7</v>
      </c>
      <c r="AK68" s="18"/>
      <c r="AL68" s="18"/>
      <c r="AM68" s="18"/>
      <c r="AN68" s="1"/>
      <c r="AO68" s="1"/>
      <c r="AP68" s="1"/>
      <c r="AQ68" s="1"/>
      <c r="AR68" s="8" t="s">
        <v>443</v>
      </c>
      <c r="AS68" s="18"/>
      <c r="AT68" s="1"/>
      <c r="AU68" s="1"/>
    </row>
    <row r="69" spans="1:47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1.25" customHeight="1">
      <c r="A70" s="1"/>
      <c r="B70" s="1"/>
      <c r="C70" s="8" t="s">
        <v>460</v>
      </c>
      <c r="D70" s="18"/>
      <c r="E70" s="1"/>
      <c r="F70" s="1"/>
      <c r="G70" s="1"/>
      <c r="H70" s="8" t="s">
        <v>461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"/>
      <c r="AB70" s="1"/>
      <c r="AC70" s="1"/>
      <c r="AD70" s="1"/>
      <c r="AE70" s="1"/>
      <c r="AF70" s="1"/>
      <c r="AG70" s="1"/>
      <c r="AH70" s="1"/>
      <c r="AI70" s="1"/>
      <c r="AJ70" s="8" t="s">
        <v>7</v>
      </c>
      <c r="AK70" s="18"/>
      <c r="AL70" s="18"/>
      <c r="AM70" s="18"/>
      <c r="AN70" s="1"/>
      <c r="AO70" s="1"/>
      <c r="AP70" s="1"/>
      <c r="AQ70" s="8" t="s">
        <v>186</v>
      </c>
      <c r="AR70" s="18"/>
      <c r="AS70" s="18"/>
      <c r="AT70" s="1"/>
      <c r="AU70" s="1"/>
    </row>
    <row r="71" spans="1:47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1.25" customHeight="1">
      <c r="A72" s="1"/>
      <c r="B72" s="1"/>
      <c r="C72" s="8" t="s">
        <v>462</v>
      </c>
      <c r="D72" s="18"/>
      <c r="E72" s="1"/>
      <c r="F72" s="1"/>
      <c r="G72" s="1"/>
      <c r="H72" s="8" t="s">
        <v>463</v>
      </c>
      <c r="I72" s="18"/>
      <c r="J72" s="18"/>
      <c r="K72" s="18"/>
      <c r="L72" s="18"/>
      <c r="M72" s="18"/>
      <c r="N72" s="18"/>
      <c r="O72" s="1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8" t="s">
        <v>7</v>
      </c>
      <c r="AK72" s="18"/>
      <c r="AL72" s="18"/>
      <c r="AM72" s="18"/>
      <c r="AN72" s="1"/>
      <c r="AO72" s="1"/>
      <c r="AP72" s="1"/>
      <c r="AQ72" s="8" t="s">
        <v>464</v>
      </c>
      <c r="AR72" s="18"/>
      <c r="AS72" s="18"/>
      <c r="AT72" s="1"/>
      <c r="AU72" s="1"/>
    </row>
    <row r="73" spans="1:47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1.25" customHeight="1">
      <c r="A74" s="1"/>
      <c r="B74" s="1"/>
      <c r="C74" s="8" t="s">
        <v>465</v>
      </c>
      <c r="D74" s="18"/>
      <c r="E74" s="1"/>
      <c r="F74" s="1"/>
      <c r="G74" s="1"/>
      <c r="H74" s="8" t="s">
        <v>466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8" t="s">
        <v>7</v>
      </c>
      <c r="AK74" s="18"/>
      <c r="AL74" s="18"/>
      <c r="AM74" s="18"/>
      <c r="AN74" s="1"/>
      <c r="AO74" s="1"/>
      <c r="AP74" s="1"/>
      <c r="AQ74" s="8" t="s">
        <v>467</v>
      </c>
      <c r="AR74" s="18"/>
      <c r="AS74" s="18"/>
      <c r="AT74" s="1"/>
      <c r="AU74" s="1"/>
    </row>
    <row r="75" spans="1:47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1.25" customHeight="1">
      <c r="A76" s="1"/>
      <c r="B76" s="1"/>
      <c r="C76" s="8" t="s">
        <v>468</v>
      </c>
      <c r="D76" s="18"/>
      <c r="E76" s="1"/>
      <c r="F76" s="1"/>
      <c r="G76" s="1"/>
      <c r="H76" s="8" t="s">
        <v>469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8" t="s">
        <v>7</v>
      </c>
      <c r="AK76" s="18"/>
      <c r="AL76" s="18"/>
      <c r="AM76" s="18"/>
      <c r="AN76" s="1"/>
      <c r="AO76" s="1"/>
      <c r="AP76" s="1"/>
      <c r="AQ76" s="8" t="s">
        <v>467</v>
      </c>
      <c r="AR76" s="18"/>
      <c r="AS76" s="18"/>
      <c r="AT76" s="1"/>
      <c r="AU76" s="1"/>
    </row>
    <row r="77" spans="1:47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1.25" customHeight="1">
      <c r="A78" s="1"/>
      <c r="B78" s="1"/>
      <c r="C78" s="8" t="s">
        <v>470</v>
      </c>
      <c r="D78" s="18"/>
      <c r="E78" s="1"/>
      <c r="F78" s="1"/>
      <c r="G78" s="1"/>
      <c r="H78" s="8" t="s">
        <v>471</v>
      </c>
      <c r="I78" s="18"/>
      <c r="J78" s="18"/>
      <c r="K78" s="18"/>
      <c r="L78" s="18"/>
      <c r="M78" s="1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8" t="s">
        <v>7</v>
      </c>
      <c r="AK78" s="18"/>
      <c r="AL78" s="18"/>
      <c r="AM78" s="18"/>
      <c r="AN78" s="1"/>
      <c r="AO78" s="1"/>
      <c r="AP78" s="1"/>
      <c r="AQ78" s="1"/>
      <c r="AR78" s="8" t="s">
        <v>33</v>
      </c>
      <c r="AS78" s="18"/>
      <c r="AT78" s="1"/>
      <c r="AU78" s="1"/>
    </row>
    <row r="79" spans="1:47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1.25" customHeight="1">
      <c r="A80" s="1"/>
      <c r="B80" s="1"/>
      <c r="C80" s="8" t="s">
        <v>472</v>
      </c>
      <c r="D80" s="18"/>
      <c r="E80" s="1"/>
      <c r="F80" s="1"/>
      <c r="G80" s="1"/>
      <c r="H80" s="8" t="s">
        <v>473</v>
      </c>
      <c r="I80" s="18"/>
      <c r="J80" s="1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8" t="s">
        <v>7</v>
      </c>
      <c r="AK80" s="18"/>
      <c r="AL80" s="18"/>
      <c r="AM80" s="18"/>
      <c r="AN80" s="1"/>
      <c r="AO80" s="1"/>
      <c r="AP80" s="1"/>
      <c r="AQ80" s="1"/>
      <c r="AR80" s="8" t="s">
        <v>239</v>
      </c>
      <c r="AS80" s="18"/>
      <c r="AT80" s="1"/>
      <c r="AU80" s="1"/>
    </row>
    <row r="81" spans="1:47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1.25" customHeight="1">
      <c r="A82" s="1"/>
      <c r="B82" s="1"/>
      <c r="C82" s="8" t="s">
        <v>474</v>
      </c>
      <c r="D82" s="18"/>
      <c r="E82" s="1"/>
      <c r="F82" s="1"/>
      <c r="G82" s="1"/>
      <c r="H82" s="8" t="s">
        <v>475</v>
      </c>
      <c r="I82" s="18"/>
      <c r="J82" s="18"/>
      <c r="K82" s="18"/>
      <c r="L82" s="18"/>
      <c r="M82" s="1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8" t="s">
        <v>7</v>
      </c>
      <c r="AK82" s="18"/>
      <c r="AL82" s="18"/>
      <c r="AM82" s="18"/>
      <c r="AN82" s="1"/>
      <c r="AO82" s="1"/>
      <c r="AP82" s="1"/>
      <c r="AQ82" s="1"/>
      <c r="AR82" s="8" t="s">
        <v>476</v>
      </c>
      <c r="AS82" s="18"/>
      <c r="AT82" s="1"/>
      <c r="AU82" s="1"/>
    </row>
    <row r="83" spans="1:47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1.25" customHeight="1">
      <c r="A84" s="1"/>
      <c r="B84" s="1"/>
      <c r="C84" s="8" t="s">
        <v>477</v>
      </c>
      <c r="D84" s="18"/>
      <c r="E84" s="1"/>
      <c r="F84" s="1"/>
      <c r="G84" s="1"/>
      <c r="H84" s="8" t="s">
        <v>478</v>
      </c>
      <c r="I84" s="18"/>
      <c r="J84" s="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8" t="s">
        <v>7</v>
      </c>
      <c r="AK84" s="18"/>
      <c r="AL84" s="18"/>
      <c r="AM84" s="18"/>
      <c r="AN84" s="1"/>
      <c r="AO84" s="1"/>
      <c r="AP84" s="1"/>
      <c r="AQ84" s="1"/>
      <c r="AR84" s="8" t="s">
        <v>126</v>
      </c>
      <c r="AS84" s="18"/>
      <c r="AT84" s="1"/>
      <c r="AU84" s="1"/>
    </row>
    <row r="85" spans="1:47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1.25" customHeight="1">
      <c r="A86" s="1"/>
      <c r="B86" s="1"/>
      <c r="C86" s="8" t="s">
        <v>479</v>
      </c>
      <c r="D86" s="18"/>
      <c r="E86" s="1"/>
      <c r="F86" s="1"/>
      <c r="G86" s="1"/>
      <c r="H86" s="8" t="s">
        <v>480</v>
      </c>
      <c r="I86" s="18"/>
      <c r="J86" s="18"/>
      <c r="K86" s="18"/>
      <c r="L86" s="18"/>
      <c r="M86" s="18"/>
      <c r="N86" s="1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8" t="s">
        <v>7</v>
      </c>
      <c r="AK86" s="18"/>
      <c r="AL86" s="18"/>
      <c r="AM86" s="18"/>
      <c r="AN86" s="1"/>
      <c r="AO86" s="1"/>
      <c r="AP86" s="1"/>
      <c r="AQ86" s="1"/>
      <c r="AR86" s="8" t="s">
        <v>481</v>
      </c>
      <c r="AS86" s="18"/>
      <c r="AT86" s="1"/>
      <c r="AU86" s="1"/>
    </row>
    <row r="87" spans="1:47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1.25" customHeight="1">
      <c r="A88" s="1"/>
      <c r="B88" s="1"/>
      <c r="C88" s="8" t="s">
        <v>482</v>
      </c>
      <c r="D88" s="18"/>
      <c r="E88" s="1"/>
      <c r="F88" s="1"/>
      <c r="G88" s="1"/>
      <c r="H88" s="8" t="s">
        <v>483</v>
      </c>
      <c r="I88" s="18"/>
      <c r="J88" s="18"/>
      <c r="K88" s="18"/>
      <c r="L88" s="18"/>
      <c r="M88" s="1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8" t="s">
        <v>7</v>
      </c>
      <c r="AK88" s="18"/>
      <c r="AL88" s="18"/>
      <c r="AM88" s="18"/>
      <c r="AN88" s="1"/>
      <c r="AO88" s="1"/>
      <c r="AP88" s="1"/>
      <c r="AQ88" s="1"/>
      <c r="AR88" s="8" t="s">
        <v>443</v>
      </c>
      <c r="AS88" s="18"/>
      <c r="AT88" s="1"/>
      <c r="AU88" s="1"/>
    </row>
    <row r="89" spans="1:47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1.25" customHeight="1">
      <c r="A90" s="1"/>
      <c r="B90" s="1"/>
      <c r="C90" s="8" t="s">
        <v>484</v>
      </c>
      <c r="D90" s="18"/>
      <c r="E90" s="1"/>
      <c r="F90" s="1"/>
      <c r="G90" s="1"/>
      <c r="H90" s="8" t="s">
        <v>485</v>
      </c>
      <c r="I90" s="18"/>
      <c r="J90" s="18"/>
      <c r="K90" s="18"/>
      <c r="L90" s="18"/>
      <c r="M90" s="18"/>
      <c r="N90" s="1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8" t="s">
        <v>7</v>
      </c>
      <c r="AK90" s="18"/>
      <c r="AL90" s="18"/>
      <c r="AM90" s="18"/>
      <c r="AN90" s="1"/>
      <c r="AO90" s="1"/>
      <c r="AP90" s="1"/>
      <c r="AQ90" s="1"/>
      <c r="AR90" s="8" t="s">
        <v>208</v>
      </c>
      <c r="AS90" s="18"/>
      <c r="AT90" s="1"/>
      <c r="AU90" s="1"/>
    </row>
    <row r="91" spans="1:47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1.25" customHeight="1">
      <c r="A92" s="1"/>
      <c r="B92" s="1"/>
      <c r="C92" s="8" t="s">
        <v>486</v>
      </c>
      <c r="D92" s="18"/>
      <c r="E92" s="18"/>
      <c r="F92" s="1"/>
      <c r="G92" s="1"/>
      <c r="H92" s="8" t="s">
        <v>487</v>
      </c>
      <c r="I92" s="18"/>
      <c r="J92" s="1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8" t="s">
        <v>7</v>
      </c>
      <c r="AK92" s="18"/>
      <c r="AL92" s="18"/>
      <c r="AM92" s="18"/>
      <c r="AN92" s="1"/>
      <c r="AO92" s="1"/>
      <c r="AP92" s="1"/>
      <c r="AQ92" s="1"/>
      <c r="AR92" s="8" t="s">
        <v>208</v>
      </c>
      <c r="AS92" s="18"/>
      <c r="AT92" s="1"/>
      <c r="AU92" s="1"/>
    </row>
    <row r="93" spans="1:47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1.25" customHeight="1">
      <c r="A94" s="1"/>
      <c r="B94" s="1"/>
      <c r="C94" s="8" t="s">
        <v>488</v>
      </c>
      <c r="D94" s="18"/>
      <c r="E94" s="1"/>
      <c r="F94" s="1"/>
      <c r="G94" s="1"/>
      <c r="H94" s="8" t="s">
        <v>489</v>
      </c>
      <c r="I94" s="18"/>
      <c r="J94" s="18"/>
      <c r="K94" s="18"/>
      <c r="L94" s="18"/>
      <c r="M94" s="18"/>
      <c r="N94" s="18"/>
      <c r="O94" s="1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8" t="s">
        <v>7</v>
      </c>
      <c r="AK94" s="18"/>
      <c r="AL94" s="18"/>
      <c r="AM94" s="18"/>
      <c r="AN94" s="1"/>
      <c r="AO94" s="1"/>
      <c r="AP94" s="1"/>
      <c r="AQ94" s="1"/>
      <c r="AR94" s="8" t="s">
        <v>389</v>
      </c>
      <c r="AS94" s="18"/>
      <c r="AT94" s="1"/>
      <c r="AU94" s="1"/>
    </row>
    <row r="95" spans="1:47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1.25" customHeight="1">
      <c r="A96" s="1"/>
      <c r="B96" s="1"/>
      <c r="C96" s="8" t="s">
        <v>490</v>
      </c>
      <c r="D96" s="18"/>
      <c r="E96" s="1"/>
      <c r="F96" s="1"/>
      <c r="G96" s="1"/>
      <c r="H96" s="8" t="s">
        <v>491</v>
      </c>
      <c r="I96" s="18"/>
      <c r="J96" s="18"/>
      <c r="K96" s="18"/>
      <c r="L96" s="18"/>
      <c r="M96" s="18"/>
      <c r="N96" s="18"/>
      <c r="O96" s="18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8" t="s">
        <v>7</v>
      </c>
      <c r="AK96" s="18"/>
      <c r="AL96" s="18"/>
      <c r="AM96" s="18"/>
      <c r="AN96" s="1"/>
      <c r="AO96" s="1"/>
      <c r="AP96" s="1"/>
      <c r="AQ96" s="1"/>
      <c r="AR96" s="8" t="s">
        <v>417</v>
      </c>
      <c r="AS96" s="18"/>
      <c r="AT96" s="1"/>
      <c r="AU96" s="1"/>
    </row>
    <row r="97" spans="1:47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1.25" customHeight="1">
      <c r="A98" s="1"/>
      <c r="B98" s="1"/>
      <c r="C98" s="8" t="s">
        <v>492</v>
      </c>
      <c r="D98" s="18"/>
      <c r="E98" s="1"/>
      <c r="F98" s="1"/>
      <c r="G98" s="1"/>
      <c r="H98" s="8" t="s">
        <v>493</v>
      </c>
      <c r="I98" s="18"/>
      <c r="J98" s="18"/>
      <c r="K98" s="18"/>
      <c r="L98" s="18"/>
      <c r="M98" s="18"/>
      <c r="N98" s="18"/>
      <c r="O98" s="18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8" t="s">
        <v>7</v>
      </c>
      <c r="AK98" s="18"/>
      <c r="AL98" s="18"/>
      <c r="AM98" s="18"/>
      <c r="AN98" s="1"/>
      <c r="AO98" s="1"/>
      <c r="AP98" s="1"/>
      <c r="AQ98" s="1"/>
      <c r="AR98" s="8" t="s">
        <v>417</v>
      </c>
      <c r="AS98" s="18"/>
      <c r="AT98" s="1"/>
      <c r="AU98" s="1"/>
    </row>
    <row r="99" spans="1:47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1.25" customHeight="1">
      <c r="A100" s="1"/>
      <c r="B100" s="1"/>
      <c r="C100" s="8" t="s">
        <v>494</v>
      </c>
      <c r="D100" s="18"/>
      <c r="E100" s="1"/>
      <c r="F100" s="1"/>
      <c r="G100" s="1"/>
      <c r="H100" s="8" t="s">
        <v>495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8" t="s">
        <v>7</v>
      </c>
      <c r="AK100" s="18"/>
      <c r="AL100" s="18"/>
      <c r="AM100" s="18"/>
      <c r="AN100" s="1"/>
      <c r="AO100" s="1"/>
      <c r="AP100" s="1"/>
      <c r="AQ100" s="1"/>
      <c r="AR100" s="8" t="s">
        <v>496</v>
      </c>
      <c r="AS100" s="18"/>
      <c r="AT100" s="1"/>
      <c r="AU100" s="1"/>
    </row>
    <row r="101" spans="1:47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8" t="s">
        <v>497</v>
      </c>
      <c r="AQ104" s="18"/>
      <c r="AR104" s="18"/>
      <c r="AS104" s="18"/>
      <c r="AT104" s="18"/>
      <c r="AU104" s="1"/>
    </row>
    <row r="105" spans="1:47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</sheetData>
  <mergeCells count="189">
    <mergeCell ref="B2:F4"/>
    <mergeCell ref="G2:AJ4"/>
    <mergeCell ref="AK2:AL4"/>
    <mergeCell ref="AO3:AT3"/>
    <mergeCell ref="AR6:AS6"/>
    <mergeCell ref="C8:D8"/>
    <mergeCell ref="H8:K8"/>
    <mergeCell ref="AJ8:AM8"/>
    <mergeCell ref="C10:E10"/>
    <mergeCell ref="H10:L10"/>
    <mergeCell ref="AJ10:AM10"/>
    <mergeCell ref="C12:E12"/>
    <mergeCell ref="H12:L12"/>
    <mergeCell ref="AJ12:AM12"/>
    <mergeCell ref="C14:D14"/>
    <mergeCell ref="H14:N14"/>
    <mergeCell ref="AJ14:AM14"/>
    <mergeCell ref="AR14:AS14"/>
    <mergeCell ref="C16:E16"/>
    <mergeCell ref="H16:P16"/>
    <mergeCell ref="AJ16:AM16"/>
    <mergeCell ref="C18:E18"/>
    <mergeCell ref="H18:P18"/>
    <mergeCell ref="AJ18:AM18"/>
    <mergeCell ref="C20:D20"/>
    <mergeCell ref="H20:K20"/>
    <mergeCell ref="AJ20:AM20"/>
    <mergeCell ref="C22:D22"/>
    <mergeCell ref="H22:L22"/>
    <mergeCell ref="AJ22:AM22"/>
    <mergeCell ref="AR22:AS22"/>
    <mergeCell ref="C24:D24"/>
    <mergeCell ref="H24:P24"/>
    <mergeCell ref="AJ24:AM24"/>
    <mergeCell ref="C26:D26"/>
    <mergeCell ref="H26:Y26"/>
    <mergeCell ref="AJ26:AM26"/>
    <mergeCell ref="AR26:AS26"/>
    <mergeCell ref="C28:E28"/>
    <mergeCell ref="H28:U28"/>
    <mergeCell ref="AL28:AM28"/>
    <mergeCell ref="AR28:AS28"/>
    <mergeCell ref="C30:E30"/>
    <mergeCell ref="H30:AA30"/>
    <mergeCell ref="AL30:AM30"/>
    <mergeCell ref="AR30:AS30"/>
    <mergeCell ref="C32:E32"/>
    <mergeCell ref="H32:V32"/>
    <mergeCell ref="AL32:AM32"/>
    <mergeCell ref="AR32:AS32"/>
    <mergeCell ref="C34:E34"/>
    <mergeCell ref="H34:AA34"/>
    <mergeCell ref="AL34:AM34"/>
    <mergeCell ref="AR34:AS34"/>
    <mergeCell ref="C36:E36"/>
    <mergeCell ref="H36:U36"/>
    <mergeCell ref="AL36:AM36"/>
    <mergeCell ref="AR36:AS36"/>
    <mergeCell ref="C38:E38"/>
    <mergeCell ref="H38:AA38"/>
    <mergeCell ref="AL38:AM38"/>
    <mergeCell ref="AR38:AS38"/>
    <mergeCell ref="C40:E40"/>
    <mergeCell ref="H40:AD40"/>
    <mergeCell ref="AL40:AM40"/>
    <mergeCell ref="AR40:AS40"/>
    <mergeCell ref="C42:E42"/>
    <mergeCell ref="H42:AG42"/>
    <mergeCell ref="AL42:AM42"/>
    <mergeCell ref="AR42:AS42"/>
    <mergeCell ref="C44:E44"/>
    <mergeCell ref="H44:U44"/>
    <mergeCell ref="AL44:AM44"/>
    <mergeCell ref="AR44:AS44"/>
    <mergeCell ref="C46:E46"/>
    <mergeCell ref="H46:AA46"/>
    <mergeCell ref="AL46:AM46"/>
    <mergeCell ref="AR46:AS46"/>
    <mergeCell ref="C48:E48"/>
    <mergeCell ref="H48:T48"/>
    <mergeCell ref="AL48:AM48"/>
    <mergeCell ref="AR48:AS48"/>
    <mergeCell ref="C50:E50"/>
    <mergeCell ref="H50:X50"/>
    <mergeCell ref="AL50:AM50"/>
    <mergeCell ref="AR50:AS50"/>
    <mergeCell ref="C52:D52"/>
    <mergeCell ref="H52:K52"/>
    <mergeCell ref="AJ52:AM52"/>
    <mergeCell ref="AR52:AS52"/>
    <mergeCell ref="C54:D54"/>
    <mergeCell ref="H54:Q54"/>
    <mergeCell ref="AJ54:AM54"/>
    <mergeCell ref="AR54:AS54"/>
    <mergeCell ref="C56:D56"/>
    <mergeCell ref="H56:R56"/>
    <mergeCell ref="AJ56:AM56"/>
    <mergeCell ref="AR56:AS56"/>
    <mergeCell ref="C58:D58"/>
    <mergeCell ref="H58:U58"/>
    <mergeCell ref="AJ58:AM58"/>
    <mergeCell ref="AR58:AS58"/>
    <mergeCell ref="C60:D60"/>
    <mergeCell ref="H60:V60"/>
    <mergeCell ref="AJ60:AM60"/>
    <mergeCell ref="AR60:AS60"/>
    <mergeCell ref="C62:D62"/>
    <mergeCell ref="H62:AB62"/>
    <mergeCell ref="AJ62:AM62"/>
    <mergeCell ref="AR62:AS62"/>
    <mergeCell ref="C64:D64"/>
    <mergeCell ref="H64:AC64"/>
    <mergeCell ref="AJ64:AM64"/>
    <mergeCell ref="AR64:AS64"/>
    <mergeCell ref="C66:D66"/>
    <mergeCell ref="H66:AF66"/>
    <mergeCell ref="AJ66:AM66"/>
    <mergeCell ref="AR66:AS66"/>
    <mergeCell ref="C68:D68"/>
    <mergeCell ref="H68:AG68"/>
    <mergeCell ref="AJ68:AM68"/>
    <mergeCell ref="AR68:AS68"/>
    <mergeCell ref="C70:D70"/>
    <mergeCell ref="H70:Z70"/>
    <mergeCell ref="AJ70:AM70"/>
    <mergeCell ref="AQ70:AS70"/>
    <mergeCell ref="C72:D72"/>
    <mergeCell ref="H72:O72"/>
    <mergeCell ref="AJ72:AM72"/>
    <mergeCell ref="AQ72:AS72"/>
    <mergeCell ref="C74:D74"/>
    <mergeCell ref="H74:S74"/>
    <mergeCell ref="AJ74:AM74"/>
    <mergeCell ref="AQ74:AS74"/>
    <mergeCell ref="C76:D76"/>
    <mergeCell ref="H76:T76"/>
    <mergeCell ref="AJ76:AM76"/>
    <mergeCell ref="AQ76:AS76"/>
    <mergeCell ref="C78:D78"/>
    <mergeCell ref="H78:M78"/>
    <mergeCell ref="AJ78:AM78"/>
    <mergeCell ref="AR78:AS78"/>
    <mergeCell ref="C80:D80"/>
    <mergeCell ref="H80:J80"/>
    <mergeCell ref="AJ80:AM80"/>
    <mergeCell ref="AR80:AS80"/>
    <mergeCell ref="C82:D82"/>
    <mergeCell ref="H82:M82"/>
    <mergeCell ref="AJ82:AM82"/>
    <mergeCell ref="AR82:AS82"/>
    <mergeCell ref="C84:D84"/>
    <mergeCell ref="H84:J84"/>
    <mergeCell ref="AJ84:AM84"/>
    <mergeCell ref="AR84:AS84"/>
    <mergeCell ref="C86:D86"/>
    <mergeCell ref="H86:N86"/>
    <mergeCell ref="AJ86:AM86"/>
    <mergeCell ref="AR86:AS86"/>
    <mergeCell ref="C88:D88"/>
    <mergeCell ref="H88:M88"/>
    <mergeCell ref="AJ88:AM88"/>
    <mergeCell ref="AR88:AS88"/>
    <mergeCell ref="C90:D90"/>
    <mergeCell ref="H90:N90"/>
    <mergeCell ref="AJ90:AM90"/>
    <mergeCell ref="AR90:AS90"/>
    <mergeCell ref="C92:E92"/>
    <mergeCell ref="H92:J92"/>
    <mergeCell ref="AJ92:AM92"/>
    <mergeCell ref="AR92:AS92"/>
    <mergeCell ref="C94:D94"/>
    <mergeCell ref="H94:O94"/>
    <mergeCell ref="AJ94:AM94"/>
    <mergeCell ref="AR94:AS94"/>
    <mergeCell ref="I102:AH102"/>
    <mergeCell ref="J104:AE104"/>
    <mergeCell ref="AP104:AT104"/>
    <mergeCell ref="C96:D96"/>
    <mergeCell ref="H96:O96"/>
    <mergeCell ref="AJ96:AM96"/>
    <mergeCell ref="AR96:AS96"/>
    <mergeCell ref="C98:D98"/>
    <mergeCell ref="H98:O98"/>
    <mergeCell ref="AJ98:AM98"/>
    <mergeCell ref="AR98:AS98"/>
    <mergeCell ref="C100:D100"/>
    <mergeCell ref="H100:W100"/>
    <mergeCell ref="AJ100:AM100"/>
    <mergeCell ref="AR100:AS10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85546875" customWidth="1"/>
    <col min="6" max="6" width="17.28515625" customWidth="1"/>
    <col min="7" max="7" width="0.140625" customWidth="1"/>
    <col min="8" max="8" width="3.7109375" customWidth="1"/>
    <col min="9" max="9" width="7.85546875" customWidth="1"/>
    <col min="10" max="10" width="4.140625" customWidth="1"/>
    <col min="11" max="12" width="3.5703125" customWidth="1"/>
    <col min="13" max="13" width="4" customWidth="1"/>
    <col min="14" max="14" width="5.5703125" customWidth="1"/>
    <col min="15" max="15" width="3.7109375" customWidth="1"/>
    <col min="16" max="16" width="3.5703125" customWidth="1"/>
    <col min="17" max="17" width="4" customWidth="1"/>
    <col min="18" max="18" width="3.5703125" customWidth="1"/>
    <col min="19" max="19" width="3.28515625" customWidth="1"/>
    <col min="20" max="20" width="3.85546875" customWidth="1"/>
    <col min="21" max="21" width="6.140625" customWidth="1"/>
    <col min="22" max="22" width="13" customWidth="1"/>
    <col min="23" max="23" width="0.28515625" customWidth="1"/>
    <col min="24" max="24" width="6" customWidth="1"/>
    <col min="25" max="25" width="0.42578125" customWidth="1"/>
    <col min="26" max="26" width="4.42578125" customWidth="1"/>
    <col min="27" max="27" width="3" customWidth="1"/>
    <col min="28" max="28" width="7.28515625" customWidth="1"/>
    <col min="29" max="29" width="1" customWidth="1"/>
    <col min="30" max="30" width="3.85546875" customWidth="1"/>
  </cols>
  <sheetData>
    <row r="1" spans="1:30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1"/>
      <c r="AA1" s="1"/>
      <c r="AB1" s="1"/>
      <c r="AC1" s="1"/>
      <c r="AD1" s="1"/>
    </row>
    <row r="2" spans="1:30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9" t="s">
        <v>2</v>
      </c>
      <c r="Y2" s="4"/>
      <c r="Z2" s="1"/>
      <c r="AA2" s="1"/>
      <c r="AB2" s="1"/>
      <c r="AC2" s="1"/>
      <c r="AD2" s="1"/>
    </row>
    <row r="3" spans="1:30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21"/>
      <c r="Y3" s="4"/>
      <c r="Z3" s="1"/>
      <c r="AA3" s="8" t="s">
        <v>3</v>
      </c>
      <c r="AB3" s="18"/>
      <c r="AC3" s="18"/>
      <c r="AD3" s="1"/>
    </row>
    <row r="4" spans="1:30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  <c r="X4" s="22"/>
      <c r="Y4" s="4"/>
      <c r="Z4" s="1"/>
      <c r="AA4" s="1"/>
      <c r="AB4" s="1"/>
      <c r="AC4" s="1"/>
      <c r="AD4" s="1"/>
    </row>
    <row r="5" spans="1:30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"/>
      <c r="Z5" s="1"/>
      <c r="AA5" s="1"/>
      <c r="AB5" s="1"/>
      <c r="AC5" s="1"/>
      <c r="AD5" s="1"/>
    </row>
    <row r="6" spans="1:30" ht="11.25" customHeight="1">
      <c r="A6" s="1"/>
      <c r="B6" s="1"/>
      <c r="C6" s="1" t="s">
        <v>2165</v>
      </c>
      <c r="D6" s="1"/>
      <c r="E6" s="1"/>
      <c r="F6" s="1"/>
      <c r="G6" s="1"/>
      <c r="H6" s="1" t="s">
        <v>2166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2160</v>
      </c>
      <c r="Y6" s="1"/>
      <c r="Z6" s="1"/>
      <c r="AA6" s="1"/>
      <c r="AB6" s="5" t="s">
        <v>498</v>
      </c>
      <c r="AC6" s="1"/>
      <c r="AD6" s="1"/>
    </row>
    <row r="7" spans="1:30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1.25" customHeight="1">
      <c r="A8" s="1"/>
      <c r="B8" s="1"/>
      <c r="C8" s="8" t="s">
        <v>499</v>
      </c>
      <c r="D8" s="18"/>
      <c r="E8" s="1"/>
      <c r="F8" s="1"/>
      <c r="G8" s="1"/>
      <c r="H8" s="8" t="s">
        <v>500</v>
      </c>
      <c r="I8" s="18"/>
      <c r="J8" s="18"/>
      <c r="K8" s="18"/>
      <c r="L8" s="18"/>
      <c r="M8" s="18"/>
      <c r="N8" s="18"/>
      <c r="O8" s="18"/>
      <c r="P8" s="18"/>
      <c r="Q8" s="18"/>
      <c r="R8" s="1"/>
      <c r="S8" s="1"/>
      <c r="T8" s="1"/>
      <c r="U8" s="1"/>
      <c r="V8" s="1"/>
      <c r="W8" s="8" t="s">
        <v>7</v>
      </c>
      <c r="X8" s="18"/>
      <c r="Y8" s="18"/>
      <c r="Z8" s="1"/>
      <c r="AA8" s="1"/>
      <c r="AB8" s="5" t="s">
        <v>498</v>
      </c>
      <c r="AC8" s="1"/>
      <c r="AD8" s="1"/>
    </row>
    <row r="9" spans="1:30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1.25" customHeight="1">
      <c r="A10" s="1"/>
      <c r="B10" s="1"/>
      <c r="C10" s="8" t="s">
        <v>501</v>
      </c>
      <c r="D10" s="18"/>
      <c r="E10" s="1"/>
      <c r="F10" s="1"/>
      <c r="G10" s="1"/>
      <c r="H10" s="8" t="s">
        <v>502</v>
      </c>
      <c r="I10" s="18"/>
      <c r="J10" s="18"/>
      <c r="K10" s="18"/>
      <c r="L10" s="18"/>
      <c r="M10" s="18"/>
      <c r="N10" s="18"/>
      <c r="O10" s="18"/>
      <c r="P10" s="1"/>
      <c r="Q10" s="1"/>
      <c r="R10" s="1"/>
      <c r="S10" s="1"/>
      <c r="T10" s="1"/>
      <c r="U10" s="1"/>
      <c r="V10" s="1"/>
      <c r="W10" s="8" t="s">
        <v>7</v>
      </c>
      <c r="X10" s="18"/>
      <c r="Y10" s="18"/>
      <c r="Z10" s="1"/>
      <c r="AA10" s="1"/>
      <c r="AB10" s="5" t="s">
        <v>503</v>
      </c>
      <c r="AC10" s="1"/>
      <c r="AD10" s="1"/>
    </row>
    <row r="11" spans="1:30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1.25" customHeight="1">
      <c r="A12" s="1"/>
      <c r="B12" s="1"/>
      <c r="C12" s="8" t="s">
        <v>504</v>
      </c>
      <c r="D12" s="18"/>
      <c r="E12" s="1"/>
      <c r="F12" s="1"/>
      <c r="G12" s="1"/>
      <c r="H12" s="8" t="s">
        <v>505</v>
      </c>
      <c r="I12" s="18"/>
      <c r="J12" s="18"/>
      <c r="K12" s="18"/>
      <c r="L12" s="18"/>
      <c r="M12" s="18"/>
      <c r="N12" s="18"/>
      <c r="O12" s="18"/>
      <c r="P12" s="18"/>
      <c r="Q12" s="1"/>
      <c r="R12" s="1"/>
      <c r="S12" s="1"/>
      <c r="T12" s="1"/>
      <c r="U12" s="1"/>
      <c r="V12" s="1"/>
      <c r="W12" s="8" t="s">
        <v>7</v>
      </c>
      <c r="X12" s="18"/>
      <c r="Y12" s="18"/>
      <c r="Z12" s="1"/>
      <c r="AA12" s="1"/>
      <c r="AB12" s="5" t="s">
        <v>506</v>
      </c>
      <c r="AC12" s="1"/>
      <c r="AD12" s="1"/>
    </row>
    <row r="13" spans="1:30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1.25" customHeight="1">
      <c r="A14" s="1"/>
      <c r="B14" s="1"/>
      <c r="C14" s="8" t="s">
        <v>507</v>
      </c>
      <c r="D14" s="18"/>
      <c r="E14" s="1"/>
      <c r="F14" s="1"/>
      <c r="G14" s="1"/>
      <c r="H14" s="8" t="s">
        <v>508</v>
      </c>
      <c r="I14" s="18"/>
      <c r="J14" s="18"/>
      <c r="K14" s="18"/>
      <c r="L14" s="18"/>
      <c r="M14" s="18"/>
      <c r="N14" s="18"/>
      <c r="O14" s="18"/>
      <c r="P14" s="18"/>
      <c r="Q14" s="1"/>
      <c r="R14" s="1"/>
      <c r="S14" s="1"/>
      <c r="T14" s="1"/>
      <c r="U14" s="1"/>
      <c r="V14" s="1"/>
      <c r="W14" s="8" t="s">
        <v>7</v>
      </c>
      <c r="X14" s="18"/>
      <c r="Y14" s="18"/>
      <c r="Z14" s="1"/>
      <c r="AA14" s="1"/>
      <c r="AB14" s="5" t="s">
        <v>506</v>
      </c>
      <c r="AC14" s="1"/>
      <c r="AD14" s="1"/>
    </row>
    <row r="15" spans="1:30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1.25" customHeight="1">
      <c r="A16" s="1"/>
      <c r="B16" s="1"/>
      <c r="C16" s="8" t="s">
        <v>509</v>
      </c>
      <c r="D16" s="18"/>
      <c r="E16" s="1"/>
      <c r="F16" s="1"/>
      <c r="G16" s="1"/>
      <c r="H16" s="8" t="s">
        <v>510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"/>
      <c r="T16" s="1"/>
      <c r="U16" s="1"/>
      <c r="V16" s="1"/>
      <c r="W16" s="8" t="s">
        <v>7</v>
      </c>
      <c r="X16" s="18"/>
      <c r="Y16" s="18"/>
      <c r="Z16" s="1"/>
      <c r="AA16" s="1"/>
      <c r="AB16" s="5" t="s">
        <v>398</v>
      </c>
      <c r="AC16" s="1"/>
      <c r="AD16" s="1"/>
    </row>
    <row r="17" spans="1:30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1.25" customHeight="1">
      <c r="A18" s="1"/>
      <c r="B18" s="1"/>
      <c r="C18" s="8" t="s">
        <v>511</v>
      </c>
      <c r="D18" s="18"/>
      <c r="E18" s="1"/>
      <c r="F18" s="1"/>
      <c r="G18" s="1"/>
      <c r="H18" s="8" t="s">
        <v>512</v>
      </c>
      <c r="I18" s="18"/>
      <c r="J18" s="18"/>
      <c r="K18" s="18"/>
      <c r="L18" s="18"/>
      <c r="M18" s="18"/>
      <c r="N18" s="18"/>
      <c r="O18" s="1"/>
      <c r="P18" s="1"/>
      <c r="Q18" s="1"/>
      <c r="R18" s="1"/>
      <c r="S18" s="1"/>
      <c r="T18" s="1"/>
      <c r="U18" s="1"/>
      <c r="V18" s="1"/>
      <c r="W18" s="8" t="s">
        <v>7</v>
      </c>
      <c r="X18" s="18"/>
      <c r="Y18" s="18"/>
      <c r="Z18" s="1"/>
      <c r="AA18" s="1"/>
      <c r="AB18" s="5" t="s">
        <v>513</v>
      </c>
      <c r="AC18" s="1"/>
      <c r="AD18" s="1"/>
    </row>
    <row r="19" spans="1:30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1.25" customHeight="1">
      <c r="A20" s="1"/>
      <c r="B20" s="1"/>
      <c r="C20" s="8" t="s">
        <v>514</v>
      </c>
      <c r="D20" s="18"/>
      <c r="E20" s="1"/>
      <c r="F20" s="1"/>
      <c r="G20" s="1"/>
      <c r="H20" s="8" t="s">
        <v>515</v>
      </c>
      <c r="I20" s="18"/>
      <c r="J20" s="18"/>
      <c r="K20" s="18"/>
      <c r="L20" s="18"/>
      <c r="M20" s="18"/>
      <c r="N20" s="18"/>
      <c r="O20" s="18"/>
      <c r="P20" s="1"/>
      <c r="Q20" s="1"/>
      <c r="R20" s="1"/>
      <c r="S20" s="1"/>
      <c r="T20" s="1"/>
      <c r="U20" s="1"/>
      <c r="V20" s="1"/>
      <c r="W20" s="8" t="s">
        <v>7</v>
      </c>
      <c r="X20" s="18"/>
      <c r="Y20" s="18"/>
      <c r="Z20" s="1"/>
      <c r="AA20" s="1"/>
      <c r="AB20" s="5" t="s">
        <v>513</v>
      </c>
      <c r="AC20" s="1"/>
      <c r="AD20" s="1"/>
    </row>
    <row r="21" spans="1:30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1.25" customHeight="1">
      <c r="A22" s="1"/>
      <c r="B22" s="1"/>
      <c r="C22" s="8" t="s">
        <v>516</v>
      </c>
      <c r="D22" s="18"/>
      <c r="E22" s="1"/>
      <c r="F22" s="1"/>
      <c r="G22" s="1"/>
      <c r="H22" s="8" t="s">
        <v>517</v>
      </c>
      <c r="I22" s="18"/>
      <c r="J22" s="18"/>
      <c r="K22" s="18"/>
      <c r="L22" s="18"/>
      <c r="M22" s="18"/>
      <c r="N22" s="18"/>
      <c r="O22" s="1"/>
      <c r="P22" s="1"/>
      <c r="Q22" s="1"/>
      <c r="R22" s="1"/>
      <c r="S22" s="1"/>
      <c r="T22" s="1"/>
      <c r="U22" s="1"/>
      <c r="V22" s="1"/>
      <c r="W22" s="8" t="s">
        <v>7</v>
      </c>
      <c r="X22" s="18"/>
      <c r="Y22" s="18"/>
      <c r="Z22" s="1"/>
      <c r="AA22" s="1"/>
      <c r="AB22" s="5" t="s">
        <v>518</v>
      </c>
      <c r="AC22" s="1"/>
      <c r="AD22" s="1"/>
    </row>
    <row r="23" spans="1:30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1.25" customHeight="1">
      <c r="A24" s="1"/>
      <c r="B24" s="1"/>
      <c r="C24" s="8" t="s">
        <v>519</v>
      </c>
      <c r="D24" s="18"/>
      <c r="E24" s="1"/>
      <c r="F24" s="1"/>
      <c r="G24" s="1"/>
      <c r="H24" s="8" t="s">
        <v>520</v>
      </c>
      <c r="I24" s="18"/>
      <c r="J24" s="18"/>
      <c r="K24" s="18"/>
      <c r="L24" s="18"/>
      <c r="M24" s="18"/>
      <c r="N24" s="18"/>
      <c r="O24" s="1"/>
      <c r="P24" s="1"/>
      <c r="Q24" s="1"/>
      <c r="R24" s="1"/>
      <c r="S24" s="1"/>
      <c r="T24" s="1"/>
      <c r="U24" s="1"/>
      <c r="V24" s="1"/>
      <c r="W24" s="8" t="s">
        <v>7</v>
      </c>
      <c r="X24" s="18"/>
      <c r="Y24" s="18"/>
      <c r="Z24" s="1"/>
      <c r="AA24" s="1"/>
      <c r="AB24" s="5" t="s">
        <v>521</v>
      </c>
      <c r="AC24" s="1"/>
      <c r="AD24" s="1"/>
    </row>
    <row r="25" spans="1:30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1.25" customHeight="1">
      <c r="A26" s="1"/>
      <c r="B26" s="1"/>
      <c r="C26" s="8" t="s">
        <v>522</v>
      </c>
      <c r="D26" s="18"/>
      <c r="E26" s="1"/>
      <c r="F26" s="1"/>
      <c r="G26" s="1"/>
      <c r="H26" s="8" t="s">
        <v>523</v>
      </c>
      <c r="I26" s="1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8" t="s">
        <v>7</v>
      </c>
      <c r="X26" s="18"/>
      <c r="Y26" s="18"/>
      <c r="Z26" s="1"/>
      <c r="AA26" s="1"/>
      <c r="AB26" s="5" t="s">
        <v>213</v>
      </c>
      <c r="AC26" s="1"/>
      <c r="AD26" s="1"/>
    </row>
    <row r="27" spans="1:30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1.25" customHeight="1">
      <c r="A28" s="1"/>
      <c r="B28" s="1"/>
      <c r="C28" s="8" t="s">
        <v>524</v>
      </c>
      <c r="D28" s="18"/>
      <c r="E28" s="1"/>
      <c r="F28" s="1"/>
      <c r="G28" s="1"/>
      <c r="H28" s="8" t="s">
        <v>525</v>
      </c>
      <c r="I28" s="18"/>
      <c r="J28" s="18"/>
      <c r="K28" s="18"/>
      <c r="L28" s="18"/>
      <c r="M28" s="18"/>
      <c r="N28" s="18"/>
      <c r="O28" s="18"/>
      <c r="P28" s="18"/>
      <c r="Q28" s="18"/>
      <c r="R28" s="1"/>
      <c r="S28" s="1"/>
      <c r="T28" s="1"/>
      <c r="U28" s="1"/>
      <c r="V28" s="1"/>
      <c r="W28" s="8" t="s">
        <v>7</v>
      </c>
      <c r="X28" s="18"/>
      <c r="Y28" s="18"/>
      <c r="Z28" s="1"/>
      <c r="AA28" s="1"/>
      <c r="AB28" s="5" t="s">
        <v>8</v>
      </c>
      <c r="AC28" s="1"/>
      <c r="AD28" s="1"/>
    </row>
    <row r="29" spans="1:30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1.25" customHeight="1">
      <c r="A30" s="1"/>
      <c r="B30" s="1"/>
      <c r="C30" s="8" t="s">
        <v>526</v>
      </c>
      <c r="D30" s="18"/>
      <c r="E30" s="1"/>
      <c r="F30" s="1"/>
      <c r="G30" s="1"/>
      <c r="H30" s="8" t="s">
        <v>527</v>
      </c>
      <c r="I30" s="18"/>
      <c r="J30" s="18"/>
      <c r="K30" s="18"/>
      <c r="L30" s="18"/>
      <c r="M30" s="18"/>
      <c r="N30" s="18"/>
      <c r="O30" s="1"/>
      <c r="P30" s="1"/>
      <c r="Q30" s="1"/>
      <c r="R30" s="1"/>
      <c r="S30" s="1"/>
      <c r="T30" s="1"/>
      <c r="U30" s="1"/>
      <c r="V30" s="1"/>
      <c r="W30" s="8" t="s">
        <v>7</v>
      </c>
      <c r="X30" s="18"/>
      <c r="Y30" s="18"/>
      <c r="Z30" s="1"/>
      <c r="AA30" s="1"/>
      <c r="AB30" s="5" t="s">
        <v>528</v>
      </c>
      <c r="AC30" s="1"/>
      <c r="AD30" s="1"/>
    </row>
    <row r="31" spans="1:30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1.25" customHeight="1">
      <c r="A32" s="1"/>
      <c r="B32" s="1"/>
      <c r="C32" s="8" t="s">
        <v>529</v>
      </c>
      <c r="D32" s="18"/>
      <c r="E32" s="1"/>
      <c r="F32" s="1"/>
      <c r="G32" s="1"/>
      <c r="H32" s="8" t="s">
        <v>530</v>
      </c>
      <c r="I32" s="18"/>
      <c r="J32" s="18"/>
      <c r="K32" s="18"/>
      <c r="L32" s="18"/>
      <c r="M32" s="18"/>
      <c r="N32" s="18"/>
      <c r="O32" s="1"/>
      <c r="P32" s="1"/>
      <c r="Q32" s="1"/>
      <c r="R32" s="1"/>
      <c r="S32" s="1"/>
      <c r="T32" s="1"/>
      <c r="U32" s="1"/>
      <c r="V32" s="1"/>
      <c r="W32" s="8" t="s">
        <v>7</v>
      </c>
      <c r="X32" s="18"/>
      <c r="Y32" s="18"/>
      <c r="Z32" s="1"/>
      <c r="AA32" s="1"/>
      <c r="AB32" s="5" t="s">
        <v>528</v>
      </c>
      <c r="AC32" s="1"/>
      <c r="AD32" s="1"/>
    </row>
    <row r="33" spans="1:30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1.25" customHeight="1">
      <c r="A34" s="1"/>
      <c r="B34" s="1"/>
      <c r="C34" s="8" t="s">
        <v>531</v>
      </c>
      <c r="D34" s="18"/>
      <c r="E34" s="1"/>
      <c r="F34" s="1"/>
      <c r="G34" s="1"/>
      <c r="H34" s="8" t="s">
        <v>532</v>
      </c>
      <c r="I34" s="18"/>
      <c r="J34" s="18"/>
      <c r="K34" s="18"/>
      <c r="L34" s="18"/>
      <c r="M34" s="18"/>
      <c r="N34" s="18"/>
      <c r="O34" s="18"/>
      <c r="P34" s="1"/>
      <c r="Q34" s="1"/>
      <c r="R34" s="1"/>
      <c r="S34" s="1"/>
      <c r="T34" s="1"/>
      <c r="U34" s="1"/>
      <c r="V34" s="1"/>
      <c r="W34" s="8" t="s">
        <v>7</v>
      </c>
      <c r="X34" s="18"/>
      <c r="Y34" s="18"/>
      <c r="Z34" s="1"/>
      <c r="AA34" s="1"/>
      <c r="AB34" s="5" t="s">
        <v>453</v>
      </c>
      <c r="AC34" s="1"/>
      <c r="AD34" s="1"/>
    </row>
    <row r="35" spans="1:30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1.25" customHeight="1">
      <c r="A36" s="1"/>
      <c r="B36" s="1"/>
      <c r="C36" s="8" t="s">
        <v>533</v>
      </c>
      <c r="D36" s="18"/>
      <c r="E36" s="1"/>
      <c r="F36" s="1"/>
      <c r="G36" s="1"/>
      <c r="H36" s="8" t="s">
        <v>534</v>
      </c>
      <c r="I36" s="18"/>
      <c r="J36" s="18"/>
      <c r="K36" s="18"/>
      <c r="L36" s="18"/>
      <c r="M36" s="18"/>
      <c r="N36" s="18"/>
      <c r="O36" s="18"/>
      <c r="P36" s="18"/>
      <c r="Q36" s="1"/>
      <c r="R36" s="1"/>
      <c r="S36" s="1"/>
      <c r="T36" s="1"/>
      <c r="U36" s="1"/>
      <c r="V36" s="1"/>
      <c r="W36" s="8" t="s">
        <v>7</v>
      </c>
      <c r="X36" s="18"/>
      <c r="Y36" s="18"/>
      <c r="Z36" s="1"/>
      <c r="AA36" s="1"/>
      <c r="AB36" s="5" t="s">
        <v>535</v>
      </c>
      <c r="AC36" s="1"/>
      <c r="AD36" s="1"/>
    </row>
    <row r="37" spans="1:30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1.25" customHeight="1">
      <c r="A38" s="1"/>
      <c r="B38" s="1"/>
      <c r="C38" s="8" t="s">
        <v>536</v>
      </c>
      <c r="D38" s="18"/>
      <c r="E38" s="1"/>
      <c r="F38" s="1"/>
      <c r="G38" s="1"/>
      <c r="H38" s="8" t="s">
        <v>537</v>
      </c>
      <c r="I38" s="18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8" t="s">
        <v>7</v>
      </c>
      <c r="X38" s="18"/>
      <c r="Y38" s="18"/>
      <c r="Z38" s="1"/>
      <c r="AA38" s="1"/>
      <c r="AB38" s="5" t="s">
        <v>426</v>
      </c>
      <c r="AC38" s="1"/>
      <c r="AD38" s="1"/>
    </row>
    <row r="39" spans="1:30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1.25" customHeight="1">
      <c r="A40" s="1"/>
      <c r="B40" s="1"/>
      <c r="C40" s="8" t="s">
        <v>538</v>
      </c>
      <c r="D40" s="18"/>
      <c r="E40" s="1"/>
      <c r="F40" s="1"/>
      <c r="G40" s="1"/>
      <c r="H40" s="8" t="s">
        <v>539</v>
      </c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8" t="s">
        <v>7</v>
      </c>
      <c r="X40" s="18"/>
      <c r="Y40" s="18"/>
      <c r="Z40" s="1"/>
      <c r="AA40" s="1"/>
      <c r="AB40" s="5" t="s">
        <v>540</v>
      </c>
      <c r="AC40" s="1"/>
      <c r="AD40" s="1"/>
    </row>
    <row r="41" spans="1:30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1.25" customHeight="1">
      <c r="A42" s="1"/>
      <c r="B42" s="1"/>
      <c r="C42" s="8" t="s">
        <v>541</v>
      </c>
      <c r="D42" s="18"/>
      <c r="E42" s="18"/>
      <c r="F42" s="1"/>
      <c r="G42" s="1"/>
      <c r="H42" s="8" t="s">
        <v>542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"/>
      <c r="U42" s="1"/>
      <c r="V42" s="1"/>
      <c r="W42" s="8" t="s">
        <v>7</v>
      </c>
      <c r="X42" s="18"/>
      <c r="Y42" s="18"/>
      <c r="Z42" s="1"/>
      <c r="AA42" s="1"/>
      <c r="AB42" s="5" t="s">
        <v>543</v>
      </c>
      <c r="AC42" s="1"/>
      <c r="AD42" s="1"/>
    </row>
    <row r="43" spans="1:30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1.25" customHeight="1">
      <c r="A44" s="1"/>
      <c r="B44" s="1"/>
      <c r="C44" s="8" t="s">
        <v>544</v>
      </c>
      <c r="D44" s="18"/>
      <c r="E44" s="18"/>
      <c r="F44" s="1"/>
      <c r="G44" s="1"/>
      <c r="H44" s="8" t="s">
        <v>545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"/>
      <c r="T44" s="1"/>
      <c r="U44" s="1"/>
      <c r="V44" s="1"/>
      <c r="W44" s="8" t="s">
        <v>7</v>
      </c>
      <c r="X44" s="18"/>
      <c r="Y44" s="18"/>
      <c r="Z44" s="1"/>
      <c r="AA44" s="1"/>
      <c r="AB44" s="5" t="s">
        <v>546</v>
      </c>
      <c r="AC44" s="1"/>
      <c r="AD44" s="1"/>
    </row>
    <row r="45" spans="1:30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1.25" customHeight="1">
      <c r="A46" s="1"/>
      <c r="B46" s="1"/>
      <c r="C46" s="8" t="s">
        <v>547</v>
      </c>
      <c r="D46" s="18"/>
      <c r="E46" s="18"/>
      <c r="F46" s="1"/>
      <c r="G46" s="1"/>
      <c r="H46" s="8" t="s">
        <v>548</v>
      </c>
      <c r="I46" s="18"/>
      <c r="J46" s="18"/>
      <c r="K46" s="1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 t="s">
        <v>7</v>
      </c>
      <c r="X46" s="18"/>
      <c r="Y46" s="18"/>
      <c r="Z46" s="1"/>
      <c r="AA46" s="1"/>
      <c r="AB46" s="5" t="s">
        <v>23</v>
      </c>
      <c r="AC46" s="1"/>
      <c r="AD46" s="1"/>
    </row>
    <row r="47" spans="1:30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1.25" customHeight="1">
      <c r="A48" s="1"/>
      <c r="B48" s="1"/>
      <c r="C48" s="8" t="s">
        <v>549</v>
      </c>
      <c r="D48" s="18"/>
      <c r="E48" s="18"/>
      <c r="F48" s="1"/>
      <c r="G48" s="1"/>
      <c r="H48" s="8" t="s">
        <v>548</v>
      </c>
      <c r="I48" s="18"/>
      <c r="J48" s="18"/>
      <c r="K48" s="1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8" t="s">
        <v>7</v>
      </c>
      <c r="X48" s="18"/>
      <c r="Y48" s="18"/>
      <c r="Z48" s="1"/>
      <c r="AA48" s="1"/>
      <c r="AB48" s="5" t="s">
        <v>23</v>
      </c>
      <c r="AC48" s="1"/>
      <c r="AD48" s="1"/>
    </row>
    <row r="49" spans="1:30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1.25" customHeight="1">
      <c r="A50" s="1"/>
      <c r="B50" s="1"/>
      <c r="C50" s="8" t="s">
        <v>550</v>
      </c>
      <c r="D50" s="18"/>
      <c r="E50" s="1"/>
      <c r="F50" s="1"/>
      <c r="G50" s="1"/>
      <c r="H50" s="8" t="s">
        <v>551</v>
      </c>
      <c r="I50" s="18"/>
      <c r="J50" s="18"/>
      <c r="K50" s="18"/>
      <c r="L50" s="18"/>
      <c r="M50" s="18"/>
      <c r="N50" s="18"/>
      <c r="O50" s="18"/>
      <c r="P50" s="18"/>
      <c r="Q50" s="18"/>
      <c r="R50" s="1"/>
      <c r="S50" s="1"/>
      <c r="T50" s="1"/>
      <c r="U50" s="1"/>
      <c r="V50" s="1"/>
      <c r="W50" s="8" t="s">
        <v>7</v>
      </c>
      <c r="X50" s="18"/>
      <c r="Y50" s="18"/>
      <c r="Z50" s="1"/>
      <c r="AA50" s="1"/>
      <c r="AB50" s="5" t="s">
        <v>110</v>
      </c>
      <c r="AC50" s="1"/>
      <c r="AD50" s="1"/>
    </row>
    <row r="51" spans="1:30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1.25" customHeight="1">
      <c r="A52" s="1"/>
      <c r="B52" s="1"/>
      <c r="C52" s="8" t="s">
        <v>552</v>
      </c>
      <c r="D52" s="18"/>
      <c r="E52" s="1"/>
      <c r="F52" s="1"/>
      <c r="G52" s="1"/>
      <c r="H52" s="8" t="s">
        <v>553</v>
      </c>
      <c r="I52" s="18"/>
      <c r="J52" s="18"/>
      <c r="K52" s="18"/>
      <c r="L52" s="18"/>
      <c r="M52" s="18"/>
      <c r="N52" s="18"/>
      <c r="O52" s="1"/>
      <c r="P52" s="1"/>
      <c r="Q52" s="1"/>
      <c r="R52" s="1"/>
      <c r="S52" s="1"/>
      <c r="T52" s="1"/>
      <c r="U52" s="1"/>
      <c r="V52" s="1"/>
      <c r="W52" s="8" t="s">
        <v>7</v>
      </c>
      <c r="X52" s="18"/>
      <c r="Y52" s="18"/>
      <c r="Z52" s="1"/>
      <c r="AA52" s="1"/>
      <c r="AB52" s="5" t="s">
        <v>554</v>
      </c>
      <c r="AC52" s="1"/>
      <c r="AD52" s="1"/>
    </row>
    <row r="53" spans="1:30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1.25" customHeight="1">
      <c r="A54" s="1"/>
      <c r="B54" s="1"/>
      <c r="C54" s="8" t="s">
        <v>555</v>
      </c>
      <c r="D54" s="18"/>
      <c r="E54" s="1"/>
      <c r="F54" s="1"/>
      <c r="G54" s="1"/>
      <c r="H54" s="8" t="s">
        <v>556</v>
      </c>
      <c r="I54" s="18"/>
      <c r="J54" s="18"/>
      <c r="K54" s="18"/>
      <c r="L54" s="18"/>
      <c r="M54" s="1"/>
      <c r="N54" s="1"/>
      <c r="O54" s="1"/>
      <c r="P54" s="1"/>
      <c r="Q54" s="1"/>
      <c r="R54" s="1"/>
      <c r="S54" s="1"/>
      <c r="T54" s="1"/>
      <c r="U54" s="1"/>
      <c r="V54" s="1"/>
      <c r="W54" s="8" t="s">
        <v>7</v>
      </c>
      <c r="X54" s="18"/>
      <c r="Y54" s="18"/>
      <c r="Z54" s="1"/>
      <c r="AA54" s="1"/>
      <c r="AB54" s="5" t="s">
        <v>557</v>
      </c>
      <c r="AC54" s="1"/>
      <c r="AD54" s="1"/>
    </row>
    <row r="55" spans="1:30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1.25" customHeight="1">
      <c r="A56" s="1"/>
      <c r="B56" s="1"/>
      <c r="C56" s="8" t="s">
        <v>558</v>
      </c>
      <c r="D56" s="18"/>
      <c r="E56" s="1"/>
      <c r="F56" s="1"/>
      <c r="G56" s="1"/>
      <c r="H56" s="8" t="s">
        <v>559</v>
      </c>
      <c r="I56" s="18"/>
      <c r="J56" s="18"/>
      <c r="K56" s="1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8" t="s">
        <v>7</v>
      </c>
      <c r="X56" s="18"/>
      <c r="Y56" s="18"/>
      <c r="Z56" s="1"/>
      <c r="AA56" s="1"/>
      <c r="AB56" s="5" t="s">
        <v>376</v>
      </c>
      <c r="AC56" s="1"/>
      <c r="AD56" s="1"/>
    </row>
    <row r="57" spans="1:30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1.25" customHeight="1">
      <c r="A58" s="1"/>
      <c r="B58" s="1"/>
      <c r="C58" s="8" t="s">
        <v>560</v>
      </c>
      <c r="D58" s="18"/>
      <c r="E58" s="1"/>
      <c r="F58" s="1"/>
      <c r="G58" s="1"/>
      <c r="H58" s="8" t="s">
        <v>561</v>
      </c>
      <c r="I58" s="18"/>
      <c r="J58" s="18"/>
      <c r="K58" s="1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8" t="s">
        <v>7</v>
      </c>
      <c r="X58" s="18"/>
      <c r="Y58" s="18"/>
      <c r="Z58" s="1"/>
      <c r="AA58" s="1"/>
      <c r="AB58" s="5" t="s">
        <v>562</v>
      </c>
      <c r="AC58" s="1"/>
      <c r="AD58" s="1"/>
    </row>
    <row r="59" spans="1:30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1.25" customHeight="1">
      <c r="A60" s="1"/>
      <c r="B60" s="1"/>
      <c r="C60" s="8" t="s">
        <v>563</v>
      </c>
      <c r="D60" s="18"/>
      <c r="E60" s="18"/>
      <c r="F60" s="1"/>
      <c r="G60" s="1"/>
      <c r="H60" s="8" t="s">
        <v>564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"/>
      <c r="T60" s="1"/>
      <c r="U60" s="1"/>
      <c r="V60" s="1"/>
      <c r="W60" s="8" t="s">
        <v>7</v>
      </c>
      <c r="X60" s="18"/>
      <c r="Y60" s="18"/>
      <c r="Z60" s="1"/>
      <c r="AA60" s="1"/>
      <c r="AB60" s="5" t="s">
        <v>565</v>
      </c>
      <c r="AC60" s="1"/>
      <c r="AD60" s="1"/>
    </row>
    <row r="61" spans="1:30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1.25" customHeight="1">
      <c r="A62" s="1"/>
      <c r="B62" s="1"/>
      <c r="C62" s="8" t="s">
        <v>566</v>
      </c>
      <c r="D62" s="18"/>
      <c r="E62" s="18"/>
      <c r="F62" s="1"/>
      <c r="G62" s="1"/>
      <c r="H62" s="8" t="s">
        <v>567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"/>
      <c r="T62" s="1"/>
      <c r="U62" s="1"/>
      <c r="V62" s="1"/>
      <c r="W62" s="8" t="s">
        <v>7</v>
      </c>
      <c r="X62" s="18"/>
      <c r="Y62" s="18"/>
      <c r="Z62" s="1"/>
      <c r="AA62" s="1"/>
      <c r="AB62" s="5" t="s">
        <v>565</v>
      </c>
      <c r="AC62" s="1"/>
      <c r="AD62" s="1"/>
    </row>
    <row r="63" spans="1:30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1.25" customHeight="1">
      <c r="A64" s="1"/>
      <c r="B64" s="1"/>
      <c r="C64" s="8" t="s">
        <v>568</v>
      </c>
      <c r="D64" s="18"/>
      <c r="E64" s="1"/>
      <c r="F64" s="1"/>
      <c r="G64" s="1"/>
      <c r="H64" s="8" t="s">
        <v>569</v>
      </c>
      <c r="I64" s="18"/>
      <c r="J64" s="18"/>
      <c r="K64" s="18"/>
      <c r="L64" s="18"/>
      <c r="M64" s="18"/>
      <c r="N64" s="18"/>
      <c r="O64" s="18"/>
      <c r="P64" s="18"/>
      <c r="Q64" s="1"/>
      <c r="R64" s="1"/>
      <c r="S64" s="1"/>
      <c r="T64" s="1"/>
      <c r="U64" s="1"/>
      <c r="V64" s="1"/>
      <c r="W64" s="8" t="s">
        <v>7</v>
      </c>
      <c r="X64" s="18"/>
      <c r="Y64" s="18"/>
      <c r="Z64" s="1"/>
      <c r="AA64" s="1"/>
      <c r="AB64" s="5" t="s">
        <v>570</v>
      </c>
      <c r="AC64" s="1"/>
      <c r="AD64" s="1"/>
    </row>
    <row r="65" spans="1:30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1.25" customHeight="1">
      <c r="A66" s="1"/>
      <c r="B66" s="1"/>
      <c r="C66" s="8" t="s">
        <v>571</v>
      </c>
      <c r="D66" s="18"/>
      <c r="E66" s="1"/>
      <c r="F66" s="1"/>
      <c r="G66" s="1"/>
      <c r="H66" s="8" t="s">
        <v>572</v>
      </c>
      <c r="I66" s="18"/>
      <c r="J66" s="18"/>
      <c r="K66" s="18"/>
      <c r="L66" s="18"/>
      <c r="M66" s="18"/>
      <c r="N66" s="18"/>
      <c r="O66" s="1"/>
      <c r="P66" s="1"/>
      <c r="Q66" s="1"/>
      <c r="R66" s="1"/>
      <c r="S66" s="1"/>
      <c r="T66" s="1"/>
      <c r="U66" s="1"/>
      <c r="V66" s="1"/>
      <c r="W66" s="8" t="s">
        <v>7</v>
      </c>
      <c r="X66" s="18"/>
      <c r="Y66" s="18"/>
      <c r="Z66" s="1"/>
      <c r="AA66" s="1"/>
      <c r="AB66" s="5" t="s">
        <v>118</v>
      </c>
      <c r="AC66" s="1"/>
      <c r="AD66" s="1"/>
    </row>
    <row r="67" spans="1:30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1.25" customHeight="1">
      <c r="A68" s="1"/>
      <c r="B68" s="1"/>
      <c r="C68" s="8" t="s">
        <v>573</v>
      </c>
      <c r="D68" s="18"/>
      <c r="E68" s="1"/>
      <c r="F68" s="1"/>
      <c r="G68" s="1"/>
      <c r="H68" s="8" t="s">
        <v>574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"/>
      <c r="T68" s="1"/>
      <c r="U68" s="1"/>
      <c r="V68" s="1"/>
      <c r="W68" s="8" t="s">
        <v>7</v>
      </c>
      <c r="X68" s="18"/>
      <c r="Y68" s="18"/>
      <c r="Z68" s="1"/>
      <c r="AA68" s="8" t="s">
        <v>575</v>
      </c>
      <c r="AB68" s="18"/>
      <c r="AC68" s="1"/>
      <c r="AD68" s="1"/>
    </row>
    <row r="69" spans="1:30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1.25" customHeight="1">
      <c r="A70" s="1"/>
      <c r="B70" s="1"/>
      <c r="C70" s="8" t="s">
        <v>576</v>
      </c>
      <c r="D70" s="18"/>
      <c r="E70" s="1"/>
      <c r="F70" s="1"/>
      <c r="G70" s="1"/>
      <c r="H70" s="8" t="s">
        <v>577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"/>
      <c r="U70" s="1"/>
      <c r="V70" s="1"/>
      <c r="W70" s="8" t="s">
        <v>7</v>
      </c>
      <c r="X70" s="18"/>
      <c r="Y70" s="18"/>
      <c r="Z70" s="1"/>
      <c r="AA70" s="8" t="s">
        <v>578</v>
      </c>
      <c r="AB70" s="18"/>
      <c r="AC70" s="1"/>
      <c r="AD70" s="1"/>
    </row>
    <row r="71" spans="1:30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1.25" customHeight="1">
      <c r="A72" s="1"/>
      <c r="B72" s="1"/>
      <c r="C72" s="8" t="s">
        <v>579</v>
      </c>
      <c r="D72" s="18"/>
      <c r="E72" s="1"/>
      <c r="F72" s="1"/>
      <c r="G72" s="1"/>
      <c r="H72" s="8" t="s">
        <v>580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"/>
      <c r="T72" s="1"/>
      <c r="U72" s="1"/>
      <c r="V72" s="1"/>
      <c r="W72" s="8" t="s">
        <v>7</v>
      </c>
      <c r="X72" s="18"/>
      <c r="Y72" s="18"/>
      <c r="Z72" s="1"/>
      <c r="AA72" s="8" t="s">
        <v>581</v>
      </c>
      <c r="AB72" s="18"/>
      <c r="AC72" s="1"/>
      <c r="AD72" s="1"/>
    </row>
    <row r="73" spans="1:30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1.25" customHeight="1">
      <c r="A74" s="1"/>
      <c r="B74" s="1"/>
      <c r="C74" s="8" t="s">
        <v>582</v>
      </c>
      <c r="D74" s="18"/>
      <c r="E74" s="1"/>
      <c r="F74" s="1"/>
      <c r="G74" s="1"/>
      <c r="H74" s="8" t="s">
        <v>583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"/>
      <c r="U74" s="1"/>
      <c r="V74" s="1"/>
      <c r="W74" s="8" t="s">
        <v>7</v>
      </c>
      <c r="X74" s="18"/>
      <c r="Y74" s="18"/>
      <c r="Z74" s="1"/>
      <c r="AA74" s="8" t="s">
        <v>584</v>
      </c>
      <c r="AB74" s="18"/>
      <c r="AC74" s="1"/>
      <c r="AD74" s="1"/>
    </row>
    <row r="75" spans="1:30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1.25" customHeight="1">
      <c r="A76" s="1"/>
      <c r="B76" s="1"/>
      <c r="C76" s="8" t="s">
        <v>585</v>
      </c>
      <c r="D76" s="18"/>
      <c r="E76" s="1"/>
      <c r="F76" s="1"/>
      <c r="G76" s="1"/>
      <c r="H76" s="8" t="s">
        <v>586</v>
      </c>
      <c r="I76" s="18"/>
      <c r="J76" s="18"/>
      <c r="K76" s="18"/>
      <c r="L76" s="18"/>
      <c r="M76" s="18"/>
      <c r="N76" s="1"/>
      <c r="O76" s="1"/>
      <c r="P76" s="1"/>
      <c r="Q76" s="1"/>
      <c r="R76" s="1"/>
      <c r="S76" s="1"/>
      <c r="T76" s="1"/>
      <c r="U76" s="1"/>
      <c r="V76" s="1"/>
      <c r="W76" s="8" t="s">
        <v>7</v>
      </c>
      <c r="X76" s="18"/>
      <c r="Y76" s="18"/>
      <c r="Z76" s="1"/>
      <c r="AA76" s="1"/>
      <c r="AB76" s="5" t="s">
        <v>496</v>
      </c>
      <c r="AC76" s="1"/>
      <c r="AD76" s="1"/>
    </row>
    <row r="77" spans="1:30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1.25" customHeight="1">
      <c r="A78" s="1"/>
      <c r="B78" s="1"/>
      <c r="C78" s="8" t="s">
        <v>587</v>
      </c>
      <c r="D78" s="18"/>
      <c r="E78" s="1"/>
      <c r="F78" s="1"/>
      <c r="G78" s="1"/>
      <c r="H78" s="8" t="s">
        <v>588</v>
      </c>
      <c r="I78" s="18"/>
      <c r="J78" s="18"/>
      <c r="K78" s="1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8" t="s">
        <v>7</v>
      </c>
      <c r="X78" s="18"/>
      <c r="Y78" s="18"/>
      <c r="Z78" s="1"/>
      <c r="AA78" s="1"/>
      <c r="AB78" s="5" t="s">
        <v>589</v>
      </c>
      <c r="AC78" s="1"/>
      <c r="AD78" s="1"/>
    </row>
    <row r="79" spans="1:30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1.25" customHeight="1">
      <c r="A80" s="1"/>
      <c r="B80" s="1"/>
      <c r="C80" s="8" t="s">
        <v>590</v>
      </c>
      <c r="D80" s="18"/>
      <c r="E80" s="1"/>
      <c r="F80" s="1"/>
      <c r="G80" s="1"/>
      <c r="H80" s="8" t="s">
        <v>591</v>
      </c>
      <c r="I80" s="18"/>
      <c r="J80" s="18"/>
      <c r="K80" s="18"/>
      <c r="L80" s="18"/>
      <c r="M80" s="18"/>
      <c r="N80" s="1"/>
      <c r="O80" s="1"/>
      <c r="P80" s="1"/>
      <c r="Q80" s="1"/>
      <c r="R80" s="1"/>
      <c r="S80" s="1"/>
      <c r="T80" s="1"/>
      <c r="U80" s="1"/>
      <c r="V80" s="1"/>
      <c r="W80" s="8" t="s">
        <v>7</v>
      </c>
      <c r="X80" s="18"/>
      <c r="Y80" s="18"/>
      <c r="Z80" s="1"/>
      <c r="AA80" s="1"/>
      <c r="AB80" s="5" t="s">
        <v>592</v>
      </c>
      <c r="AC80" s="1"/>
      <c r="AD80" s="1"/>
    </row>
    <row r="81" spans="1:30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1.25" customHeight="1">
      <c r="A82" s="1"/>
      <c r="B82" s="1"/>
      <c r="C82" s="8" t="s">
        <v>593</v>
      </c>
      <c r="D82" s="18"/>
      <c r="E82" s="1"/>
      <c r="F82" s="1"/>
      <c r="G82" s="1"/>
      <c r="H82" s="8" t="s">
        <v>594</v>
      </c>
      <c r="I82" s="18"/>
      <c r="J82" s="18"/>
      <c r="K82" s="18"/>
      <c r="L82" s="18"/>
      <c r="M82" s="18"/>
      <c r="N82" s="1"/>
      <c r="O82" s="1"/>
      <c r="P82" s="1"/>
      <c r="Q82" s="1"/>
      <c r="R82" s="1"/>
      <c r="S82" s="1"/>
      <c r="T82" s="1"/>
      <c r="U82" s="1"/>
      <c r="V82" s="1"/>
      <c r="W82" s="8" t="s">
        <v>7</v>
      </c>
      <c r="X82" s="18"/>
      <c r="Y82" s="18"/>
      <c r="Z82" s="1"/>
      <c r="AA82" s="1"/>
      <c r="AB82" s="5" t="s">
        <v>481</v>
      </c>
      <c r="AC82" s="1"/>
      <c r="AD82" s="1"/>
    </row>
    <row r="83" spans="1:30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1.25" customHeight="1">
      <c r="A84" s="1"/>
      <c r="B84" s="1"/>
      <c r="C84" s="8" t="s">
        <v>595</v>
      </c>
      <c r="D84" s="18"/>
      <c r="E84" s="1"/>
      <c r="F84" s="1"/>
      <c r="G84" s="1"/>
      <c r="H84" s="8" t="s">
        <v>596</v>
      </c>
      <c r="I84" s="18"/>
      <c r="J84" s="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8" t="s">
        <v>7</v>
      </c>
      <c r="X84" s="18"/>
      <c r="Y84" s="18"/>
      <c r="Z84" s="1"/>
      <c r="AA84" s="1"/>
      <c r="AB84" s="5" t="s">
        <v>597</v>
      </c>
      <c r="AC84" s="1"/>
      <c r="AD84" s="1"/>
    </row>
    <row r="85" spans="1:30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1.25" customHeight="1">
      <c r="A86" s="1"/>
      <c r="B86" s="1"/>
      <c r="C86" s="8" t="s">
        <v>598</v>
      </c>
      <c r="D86" s="18"/>
      <c r="E86" s="1"/>
      <c r="F86" s="1"/>
      <c r="G86" s="1"/>
      <c r="H86" s="8" t="s">
        <v>599</v>
      </c>
      <c r="I86" s="18"/>
      <c r="J86" s="18"/>
      <c r="K86" s="18"/>
      <c r="L86" s="18"/>
      <c r="M86" s="1"/>
      <c r="N86" s="1"/>
      <c r="O86" s="1"/>
      <c r="P86" s="1"/>
      <c r="Q86" s="1"/>
      <c r="R86" s="1"/>
      <c r="S86" s="1"/>
      <c r="T86" s="1"/>
      <c r="U86" s="1"/>
      <c r="V86" s="1"/>
      <c r="W86" s="8" t="s">
        <v>7</v>
      </c>
      <c r="X86" s="18"/>
      <c r="Y86" s="18"/>
      <c r="Z86" s="1"/>
      <c r="AA86" s="1"/>
      <c r="AB86" s="5" t="s">
        <v>528</v>
      </c>
      <c r="AC86" s="1"/>
      <c r="AD86" s="1"/>
    </row>
    <row r="87" spans="1:30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1.25" customHeight="1">
      <c r="A88" s="1"/>
      <c r="B88" s="1"/>
      <c r="C88" s="8" t="s">
        <v>600</v>
      </c>
      <c r="D88" s="18"/>
      <c r="E88" s="18"/>
      <c r="F88" s="1"/>
      <c r="G88" s="1"/>
      <c r="H88" s="8" t="s">
        <v>601</v>
      </c>
      <c r="I88" s="18"/>
      <c r="J88" s="18"/>
      <c r="K88" s="1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8" t="s">
        <v>7</v>
      </c>
      <c r="X88" s="18"/>
      <c r="Y88" s="18"/>
      <c r="Z88" s="1"/>
      <c r="AA88" s="1"/>
      <c r="AB88" s="5" t="s">
        <v>554</v>
      </c>
      <c r="AC88" s="1"/>
      <c r="AD88" s="1"/>
    </row>
    <row r="89" spans="1:30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1.25" customHeight="1">
      <c r="A90" s="1"/>
      <c r="B90" s="1"/>
      <c r="C90" s="8" t="s">
        <v>602</v>
      </c>
      <c r="D90" s="18"/>
      <c r="E90" s="1"/>
      <c r="F90" s="1"/>
      <c r="G90" s="1"/>
      <c r="H90" s="8" t="s">
        <v>603</v>
      </c>
      <c r="I90" s="18"/>
      <c r="J90" s="18"/>
      <c r="K90" s="18"/>
      <c r="L90" s="18"/>
      <c r="M90" s="1"/>
      <c r="N90" s="1"/>
      <c r="O90" s="1"/>
      <c r="P90" s="1"/>
      <c r="Q90" s="1"/>
      <c r="R90" s="1"/>
      <c r="S90" s="1"/>
      <c r="T90" s="1"/>
      <c r="U90" s="1"/>
      <c r="V90" s="1"/>
      <c r="W90" s="8" t="s">
        <v>7</v>
      </c>
      <c r="X90" s="18"/>
      <c r="Y90" s="18"/>
      <c r="Z90" s="1"/>
      <c r="AA90" s="1"/>
      <c r="AB90" s="5" t="s">
        <v>604</v>
      </c>
      <c r="AC90" s="1"/>
      <c r="AD90" s="1"/>
    </row>
    <row r="91" spans="1:30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1.25" customHeight="1">
      <c r="A92" s="1"/>
      <c r="B92" s="1"/>
      <c r="C92" s="8" t="s">
        <v>605</v>
      </c>
      <c r="D92" s="18"/>
      <c r="E92" s="1"/>
      <c r="F92" s="1"/>
      <c r="G92" s="1"/>
      <c r="H92" s="8" t="s">
        <v>606</v>
      </c>
      <c r="I92" s="18"/>
      <c r="J92" s="18"/>
      <c r="K92" s="18"/>
      <c r="L92" s="18"/>
      <c r="M92" s="18"/>
      <c r="N92" s="1"/>
      <c r="O92" s="1"/>
      <c r="P92" s="1"/>
      <c r="Q92" s="1"/>
      <c r="R92" s="1"/>
      <c r="S92" s="1"/>
      <c r="T92" s="1"/>
      <c r="U92" s="1"/>
      <c r="V92" s="1"/>
      <c r="W92" s="8" t="s">
        <v>607</v>
      </c>
      <c r="X92" s="18"/>
      <c r="Y92" s="18"/>
      <c r="Z92" s="1"/>
      <c r="AA92" s="1"/>
      <c r="AB92" s="5" t="s">
        <v>608</v>
      </c>
      <c r="AC92" s="1"/>
      <c r="AD92" s="1"/>
    </row>
    <row r="93" spans="1:30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1.25" customHeight="1">
      <c r="A94" s="1"/>
      <c r="B94" s="1"/>
      <c r="C94" s="8" t="s">
        <v>609</v>
      </c>
      <c r="D94" s="18"/>
      <c r="E94" s="1"/>
      <c r="F94" s="1"/>
      <c r="G94" s="1"/>
      <c r="H94" s="8" t="s">
        <v>610</v>
      </c>
      <c r="I94" s="18"/>
      <c r="J94" s="18"/>
      <c r="K94" s="18"/>
      <c r="L94" s="18"/>
      <c r="M94" s="18"/>
      <c r="N94" s="1"/>
      <c r="O94" s="1"/>
      <c r="P94" s="1"/>
      <c r="Q94" s="1"/>
      <c r="R94" s="1"/>
      <c r="S94" s="1"/>
      <c r="T94" s="1"/>
      <c r="U94" s="1"/>
      <c r="V94" s="1"/>
      <c r="W94" s="8" t="s">
        <v>7</v>
      </c>
      <c r="X94" s="18"/>
      <c r="Y94" s="18"/>
      <c r="Z94" s="1"/>
      <c r="AA94" s="1"/>
      <c r="AB94" s="5" t="s">
        <v>166</v>
      </c>
      <c r="AC94" s="1"/>
      <c r="AD94" s="1"/>
    </row>
    <row r="95" spans="1:30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1.25" customHeight="1">
      <c r="A96" s="1"/>
      <c r="B96" s="1"/>
      <c r="C96" s="8" t="s">
        <v>611</v>
      </c>
      <c r="D96" s="18"/>
      <c r="E96" s="1"/>
      <c r="F96" s="1"/>
      <c r="G96" s="1"/>
      <c r="H96" s="8" t="s">
        <v>612</v>
      </c>
      <c r="I96" s="18"/>
      <c r="J96" s="18"/>
      <c r="K96" s="18"/>
      <c r="L96" s="18"/>
      <c r="M96" s="18"/>
      <c r="N96" s="1"/>
      <c r="O96" s="1"/>
      <c r="P96" s="1"/>
      <c r="Q96" s="1"/>
      <c r="R96" s="1"/>
      <c r="S96" s="1"/>
      <c r="T96" s="1"/>
      <c r="U96" s="1"/>
      <c r="V96" s="1"/>
      <c r="W96" s="8" t="s">
        <v>7</v>
      </c>
      <c r="X96" s="18"/>
      <c r="Y96" s="18"/>
      <c r="Z96" s="1"/>
      <c r="AA96" s="1"/>
      <c r="AB96" s="5" t="s">
        <v>440</v>
      </c>
      <c r="AC96" s="1"/>
      <c r="AD96" s="1"/>
    </row>
    <row r="97" spans="1:30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1.25" customHeight="1">
      <c r="A98" s="1"/>
      <c r="B98" s="1"/>
      <c r="C98" s="8" t="s">
        <v>613</v>
      </c>
      <c r="D98" s="18"/>
      <c r="E98" s="1"/>
      <c r="F98" s="1"/>
      <c r="G98" s="1"/>
      <c r="H98" s="8" t="s">
        <v>614</v>
      </c>
      <c r="I98" s="1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8" t="s">
        <v>7</v>
      </c>
      <c r="X98" s="18"/>
      <c r="Y98" s="18"/>
      <c r="Z98" s="1"/>
      <c r="AA98" s="1"/>
      <c r="AB98" s="5" t="s">
        <v>615</v>
      </c>
      <c r="AC98" s="1"/>
      <c r="AD98" s="1"/>
    </row>
    <row r="99" spans="1:30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1.25" customHeight="1">
      <c r="A100" s="1"/>
      <c r="B100" s="1"/>
      <c r="C100" s="8" t="s">
        <v>616</v>
      </c>
      <c r="D100" s="18"/>
      <c r="E100" s="18"/>
      <c r="F100" s="1"/>
      <c r="G100" s="1"/>
      <c r="H100" s="8" t="s">
        <v>617</v>
      </c>
      <c r="I100" s="18"/>
      <c r="J100" s="18"/>
      <c r="K100" s="1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8" t="s">
        <v>7</v>
      </c>
      <c r="X100" s="18"/>
      <c r="Y100" s="18"/>
      <c r="Z100" s="1"/>
      <c r="AA100" s="1"/>
      <c r="AB100" s="5" t="s">
        <v>183</v>
      </c>
      <c r="AC100" s="1"/>
      <c r="AD100" s="1"/>
    </row>
    <row r="101" spans="1:30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"/>
      <c r="V104" s="1"/>
      <c r="W104" s="1"/>
      <c r="X104" s="1"/>
      <c r="Y104" s="1"/>
      <c r="Z104" s="1"/>
      <c r="AA104" s="8" t="s">
        <v>618</v>
      </c>
      <c r="AB104" s="18"/>
      <c r="AC104" s="18"/>
      <c r="AD104" s="1"/>
    </row>
    <row r="105" spans="1:30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</sheetData>
  <mergeCells count="152">
    <mergeCell ref="B2:F4"/>
    <mergeCell ref="G2:W4"/>
    <mergeCell ref="X2:X4"/>
    <mergeCell ref="AA3:AC3"/>
    <mergeCell ref="C8:D8"/>
    <mergeCell ref="H8:Q8"/>
    <mergeCell ref="W8:Y8"/>
    <mergeCell ref="C10:D10"/>
    <mergeCell ref="H10:O10"/>
    <mergeCell ref="W10:Y10"/>
    <mergeCell ref="C12:D12"/>
    <mergeCell ref="H12:P12"/>
    <mergeCell ref="W12:Y12"/>
    <mergeCell ref="C14:D14"/>
    <mergeCell ref="H14:P14"/>
    <mergeCell ref="W14:Y14"/>
    <mergeCell ref="C16:D16"/>
    <mergeCell ref="H16:R16"/>
    <mergeCell ref="W16:Y16"/>
    <mergeCell ref="C18:D18"/>
    <mergeCell ref="H18:N18"/>
    <mergeCell ref="W18:Y18"/>
    <mergeCell ref="C20:D20"/>
    <mergeCell ref="H20:O20"/>
    <mergeCell ref="W20:Y20"/>
    <mergeCell ref="C22:D22"/>
    <mergeCell ref="H22:N22"/>
    <mergeCell ref="W22:Y22"/>
    <mergeCell ref="C24:D24"/>
    <mergeCell ref="H24:N24"/>
    <mergeCell ref="W24:Y24"/>
    <mergeCell ref="C26:D26"/>
    <mergeCell ref="H26:I26"/>
    <mergeCell ref="W26:Y26"/>
    <mergeCell ref="C28:D28"/>
    <mergeCell ref="H28:Q28"/>
    <mergeCell ref="W28:Y28"/>
    <mergeCell ref="C30:D30"/>
    <mergeCell ref="H30:N30"/>
    <mergeCell ref="W30:Y30"/>
    <mergeCell ref="C32:D32"/>
    <mergeCell ref="H32:N32"/>
    <mergeCell ref="W32:Y32"/>
    <mergeCell ref="C34:D34"/>
    <mergeCell ref="H34:O34"/>
    <mergeCell ref="W34:Y34"/>
    <mergeCell ref="C36:D36"/>
    <mergeCell ref="H36:P36"/>
    <mergeCell ref="W36:Y36"/>
    <mergeCell ref="C38:D38"/>
    <mergeCell ref="H38:J38"/>
    <mergeCell ref="W38:Y38"/>
    <mergeCell ref="C40:D40"/>
    <mergeCell ref="H40:I40"/>
    <mergeCell ref="W40:Y40"/>
    <mergeCell ref="C42:E42"/>
    <mergeCell ref="H42:S42"/>
    <mergeCell ref="W42:Y42"/>
    <mergeCell ref="C44:E44"/>
    <mergeCell ref="H44:R44"/>
    <mergeCell ref="W44:Y44"/>
    <mergeCell ref="C46:E46"/>
    <mergeCell ref="H46:K46"/>
    <mergeCell ref="W46:Y46"/>
    <mergeCell ref="C48:E48"/>
    <mergeCell ref="H48:K48"/>
    <mergeCell ref="W48:Y48"/>
    <mergeCell ref="C50:D50"/>
    <mergeCell ref="H50:Q50"/>
    <mergeCell ref="W50:Y50"/>
    <mergeCell ref="C52:D52"/>
    <mergeCell ref="H52:N52"/>
    <mergeCell ref="W52:Y52"/>
    <mergeCell ref="C54:D54"/>
    <mergeCell ref="H54:L54"/>
    <mergeCell ref="W54:Y54"/>
    <mergeCell ref="C56:D56"/>
    <mergeCell ref="H56:K56"/>
    <mergeCell ref="W56:Y56"/>
    <mergeCell ref="C58:D58"/>
    <mergeCell ref="H58:K58"/>
    <mergeCell ref="W58:Y58"/>
    <mergeCell ref="C60:E60"/>
    <mergeCell ref="H60:R60"/>
    <mergeCell ref="W60:Y60"/>
    <mergeCell ref="C62:E62"/>
    <mergeCell ref="H62:R62"/>
    <mergeCell ref="W62:Y62"/>
    <mergeCell ref="C64:D64"/>
    <mergeCell ref="H64:P64"/>
    <mergeCell ref="W64:Y64"/>
    <mergeCell ref="C66:D66"/>
    <mergeCell ref="H66:N66"/>
    <mergeCell ref="W66:Y66"/>
    <mergeCell ref="C68:D68"/>
    <mergeCell ref="H68:R68"/>
    <mergeCell ref="W68:Y68"/>
    <mergeCell ref="AA68:AB68"/>
    <mergeCell ref="C70:D70"/>
    <mergeCell ref="H70:S70"/>
    <mergeCell ref="W70:Y70"/>
    <mergeCell ref="AA70:AB70"/>
    <mergeCell ref="C72:D72"/>
    <mergeCell ref="H72:R72"/>
    <mergeCell ref="W72:Y72"/>
    <mergeCell ref="AA72:AB72"/>
    <mergeCell ref="C74:D74"/>
    <mergeCell ref="H74:S74"/>
    <mergeCell ref="W74:Y74"/>
    <mergeCell ref="AA74:AB74"/>
    <mergeCell ref="C76:D76"/>
    <mergeCell ref="H76:M76"/>
    <mergeCell ref="W76:Y76"/>
    <mergeCell ref="C78:D78"/>
    <mergeCell ref="H78:K78"/>
    <mergeCell ref="W78:Y78"/>
    <mergeCell ref="C80:D80"/>
    <mergeCell ref="H80:M80"/>
    <mergeCell ref="W80:Y80"/>
    <mergeCell ref="C82:D82"/>
    <mergeCell ref="H82:M82"/>
    <mergeCell ref="W82:Y82"/>
    <mergeCell ref="C84:D84"/>
    <mergeCell ref="H84:J84"/>
    <mergeCell ref="W84:Y84"/>
    <mergeCell ref="C86:D86"/>
    <mergeCell ref="H86:L86"/>
    <mergeCell ref="W86:Y86"/>
    <mergeCell ref="C88:E88"/>
    <mergeCell ref="H88:K88"/>
    <mergeCell ref="W88:Y88"/>
    <mergeCell ref="C90:D90"/>
    <mergeCell ref="H90:L90"/>
    <mergeCell ref="W90:Y90"/>
    <mergeCell ref="C92:D92"/>
    <mergeCell ref="H92:M92"/>
    <mergeCell ref="W92:Y92"/>
    <mergeCell ref="C94:D94"/>
    <mergeCell ref="H94:M94"/>
    <mergeCell ref="W94:Y94"/>
    <mergeCell ref="I102:U102"/>
    <mergeCell ref="J104:T104"/>
    <mergeCell ref="AA104:AC104"/>
    <mergeCell ref="C96:D96"/>
    <mergeCell ref="H96:M96"/>
    <mergeCell ref="W96:Y96"/>
    <mergeCell ref="C98:D98"/>
    <mergeCell ref="H98:I98"/>
    <mergeCell ref="W98:Y98"/>
    <mergeCell ref="C100:E100"/>
    <mergeCell ref="H100:K100"/>
    <mergeCell ref="W100:Y10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42578125" customWidth="1"/>
    <col min="6" max="6" width="17.7109375" customWidth="1"/>
    <col min="7" max="7" width="0.140625" customWidth="1"/>
    <col min="8" max="8" width="3.7109375" customWidth="1"/>
    <col min="9" max="9" width="6.140625" customWidth="1"/>
    <col min="10" max="10" width="7.140625" customWidth="1"/>
    <col min="11" max="11" width="3.5703125" customWidth="1"/>
    <col min="12" max="12" width="4.140625" customWidth="1"/>
    <col min="13" max="13" width="3.28515625" customWidth="1"/>
    <col min="14" max="14" width="1.42578125" customWidth="1"/>
    <col min="15" max="15" width="1.140625" customWidth="1"/>
    <col min="16" max="17" width="0.7109375" customWidth="1"/>
    <col min="18" max="18" width="2.42578125" customWidth="1"/>
    <col min="19" max="19" width="1.140625" customWidth="1"/>
    <col min="20" max="20" width="0.85546875" customWidth="1"/>
    <col min="21" max="21" width="0.7109375" customWidth="1"/>
    <col min="22" max="22" width="2" customWidth="1"/>
    <col min="23" max="23" width="0.42578125" customWidth="1"/>
    <col min="24" max="24" width="2" customWidth="1"/>
    <col min="25" max="25" width="1.140625" customWidth="1"/>
    <col min="26" max="26" width="1.42578125" customWidth="1"/>
    <col min="27" max="27" width="1" customWidth="1"/>
    <col min="28" max="28" width="0.42578125" customWidth="1"/>
    <col min="29" max="30" width="0.5703125" customWidth="1"/>
    <col min="31" max="31" width="2.140625" customWidth="1"/>
    <col min="32" max="32" width="0.42578125" customWidth="1"/>
    <col min="33" max="33" width="5.28515625" customWidth="1"/>
    <col min="34" max="34" width="1.28515625" customWidth="1"/>
    <col min="35" max="35" width="0.42578125" customWidth="1"/>
    <col min="36" max="36" width="1.28515625" customWidth="1"/>
    <col min="37" max="37" width="3.140625" customWidth="1"/>
    <col min="38" max="38" width="8.42578125" customWidth="1"/>
    <col min="39" max="39" width="4.5703125" customWidth="1"/>
    <col min="40" max="40" width="0.28515625" customWidth="1"/>
    <col min="41" max="41" width="6" customWidth="1"/>
    <col min="42" max="42" width="0.42578125" customWidth="1"/>
    <col min="43" max="43" width="3.28515625" customWidth="1"/>
    <col min="44" max="44" width="1.140625" customWidth="1"/>
    <col min="45" max="45" width="1.85546875" customWidth="1"/>
    <col min="46" max="46" width="1.28515625" customWidth="1"/>
    <col min="47" max="47" width="7.42578125" customWidth="1"/>
    <col min="48" max="48" width="1" customWidth="1"/>
    <col min="49" max="49" width="3.85546875" customWidth="1"/>
  </cols>
  <sheetData>
    <row r="1" spans="1:49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1"/>
      <c r="AQ1" s="1"/>
      <c r="AR1" s="1"/>
      <c r="AS1" s="1"/>
      <c r="AT1" s="1"/>
      <c r="AU1" s="1"/>
      <c r="AV1" s="1"/>
      <c r="AW1" s="1"/>
    </row>
    <row r="2" spans="1:49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1"/>
      <c r="AO2" s="19" t="s">
        <v>2</v>
      </c>
      <c r="AP2" s="4"/>
      <c r="AQ2" s="1"/>
      <c r="AR2" s="1"/>
      <c r="AS2" s="1"/>
      <c r="AT2" s="1"/>
      <c r="AU2" s="1"/>
      <c r="AV2" s="1"/>
      <c r="AW2" s="1"/>
    </row>
    <row r="3" spans="1:49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4"/>
      <c r="AO3" s="21"/>
      <c r="AP3" s="4"/>
      <c r="AQ3" s="1"/>
      <c r="AR3" s="8" t="s">
        <v>3</v>
      </c>
      <c r="AS3" s="18"/>
      <c r="AT3" s="18"/>
      <c r="AU3" s="18"/>
      <c r="AV3" s="18"/>
      <c r="AW3" s="1"/>
    </row>
    <row r="4" spans="1:49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/>
      <c r="AO4" s="22"/>
      <c r="AP4" s="4"/>
      <c r="AQ4" s="1"/>
      <c r="AR4" s="1"/>
      <c r="AS4" s="1"/>
      <c r="AT4" s="1"/>
      <c r="AU4" s="1"/>
      <c r="AV4" s="1"/>
      <c r="AW4" s="1"/>
    </row>
    <row r="5" spans="1:49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1"/>
      <c r="AQ5" s="1"/>
      <c r="AR5" s="1"/>
      <c r="AS5" s="1"/>
      <c r="AT5" s="1"/>
      <c r="AU5" s="1"/>
      <c r="AV5" s="1"/>
      <c r="AW5" s="1"/>
    </row>
    <row r="6" spans="1:49" ht="11.25" customHeight="1">
      <c r="A6" s="1"/>
      <c r="B6" s="1"/>
      <c r="C6" s="1" t="s">
        <v>2167</v>
      </c>
      <c r="D6" s="1"/>
      <c r="E6" s="1"/>
      <c r="F6" s="1"/>
      <c r="G6" s="1"/>
      <c r="H6" s="1" t="s">
        <v>2168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2160</v>
      </c>
      <c r="AP6" s="1"/>
      <c r="AQ6" s="1"/>
      <c r="AR6" s="1"/>
      <c r="AS6" s="1"/>
      <c r="AT6" s="1"/>
      <c r="AU6" s="5" t="s">
        <v>23</v>
      </c>
      <c r="AV6" s="1"/>
      <c r="AW6" s="1"/>
    </row>
    <row r="7" spans="1:49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1.25" customHeight="1">
      <c r="A8" s="1"/>
      <c r="B8" s="1"/>
      <c r="C8" s="8" t="s">
        <v>619</v>
      </c>
      <c r="D8" s="18"/>
      <c r="E8" s="1"/>
      <c r="F8" s="1"/>
      <c r="G8" s="1"/>
      <c r="H8" s="8" t="s">
        <v>620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8" t="s">
        <v>7</v>
      </c>
      <c r="AO8" s="18"/>
      <c r="AP8" s="18"/>
      <c r="AQ8" s="1"/>
      <c r="AR8" s="1"/>
      <c r="AS8" s="1"/>
      <c r="AT8" s="8" t="s">
        <v>621</v>
      </c>
      <c r="AU8" s="18"/>
      <c r="AV8" s="1"/>
      <c r="AW8" s="1"/>
    </row>
    <row r="9" spans="1:49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1.25" customHeight="1">
      <c r="A10" s="1"/>
      <c r="B10" s="1"/>
      <c r="C10" s="8" t="s">
        <v>622</v>
      </c>
      <c r="D10" s="18"/>
      <c r="E10" s="1"/>
      <c r="F10" s="1"/>
      <c r="G10" s="1"/>
      <c r="H10" s="8" t="s">
        <v>623</v>
      </c>
      <c r="I10" s="18"/>
      <c r="J10" s="18"/>
      <c r="K10" s="18"/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8" t="s">
        <v>7</v>
      </c>
      <c r="AO10" s="18"/>
      <c r="AP10" s="18"/>
      <c r="AQ10" s="1"/>
      <c r="AR10" s="1"/>
      <c r="AS10" s="1"/>
      <c r="AT10" s="8" t="s">
        <v>624</v>
      </c>
      <c r="AU10" s="18"/>
      <c r="AV10" s="1"/>
      <c r="AW10" s="1"/>
    </row>
    <row r="11" spans="1:49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1.25" customHeight="1">
      <c r="A12" s="1"/>
      <c r="B12" s="1"/>
      <c r="C12" s="8" t="s">
        <v>625</v>
      </c>
      <c r="D12" s="18"/>
      <c r="E12" s="1"/>
      <c r="F12" s="1"/>
      <c r="G12" s="1"/>
      <c r="H12" s="8" t="s">
        <v>626</v>
      </c>
      <c r="I12" s="18"/>
      <c r="J12" s="18"/>
      <c r="K12" s="18"/>
      <c r="L12" s="1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8" t="s">
        <v>7</v>
      </c>
      <c r="AO12" s="18"/>
      <c r="AP12" s="18"/>
      <c r="AQ12" s="1"/>
      <c r="AR12" s="1"/>
      <c r="AS12" s="1"/>
      <c r="AT12" s="8" t="s">
        <v>627</v>
      </c>
      <c r="AU12" s="18"/>
      <c r="AV12" s="1"/>
      <c r="AW12" s="1"/>
    </row>
    <row r="13" spans="1:49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11.25" customHeight="1">
      <c r="A14" s="1"/>
      <c r="B14" s="1"/>
      <c r="C14" s="8" t="s">
        <v>628</v>
      </c>
      <c r="D14" s="18"/>
      <c r="E14" s="1"/>
      <c r="F14" s="1"/>
      <c r="G14" s="1"/>
      <c r="H14" s="8" t="s">
        <v>629</v>
      </c>
      <c r="I14" s="18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8" t="s">
        <v>7</v>
      </c>
      <c r="AO14" s="18"/>
      <c r="AP14" s="18"/>
      <c r="AQ14" s="1"/>
      <c r="AR14" s="1"/>
      <c r="AS14" s="1"/>
      <c r="AT14" s="8" t="s">
        <v>630</v>
      </c>
      <c r="AU14" s="18"/>
      <c r="AV14" s="1"/>
      <c r="AW14" s="1"/>
    </row>
    <row r="15" spans="1:49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11.25" customHeight="1">
      <c r="A16" s="1"/>
      <c r="B16" s="1"/>
      <c r="C16" s="8" t="s">
        <v>631</v>
      </c>
      <c r="D16" s="18"/>
      <c r="E16" s="1"/>
      <c r="F16" s="1"/>
      <c r="G16" s="1"/>
      <c r="H16" s="8" t="s">
        <v>632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"/>
      <c r="AJ16" s="1"/>
      <c r="AK16" s="1"/>
      <c r="AL16" s="1"/>
      <c r="AM16" s="1"/>
      <c r="AN16" s="8" t="s">
        <v>7</v>
      </c>
      <c r="AO16" s="18"/>
      <c r="AP16" s="18"/>
      <c r="AQ16" s="1"/>
      <c r="AR16" s="1"/>
      <c r="AS16" s="1"/>
      <c r="AT16" s="1"/>
      <c r="AU16" s="5" t="s">
        <v>323</v>
      </c>
      <c r="AV16" s="1"/>
      <c r="AW16" s="1"/>
    </row>
    <row r="17" spans="1:49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11.25" customHeight="1">
      <c r="A18" s="1"/>
      <c r="B18" s="1"/>
      <c r="C18" s="8" t="s">
        <v>633</v>
      </c>
      <c r="D18" s="18"/>
      <c r="E18" s="1"/>
      <c r="F18" s="1"/>
      <c r="G18" s="1"/>
      <c r="H18" s="8" t="s">
        <v>634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"/>
      <c r="AK18" s="1"/>
      <c r="AL18" s="1"/>
      <c r="AM18" s="1"/>
      <c r="AN18" s="8" t="s">
        <v>7</v>
      </c>
      <c r="AO18" s="18"/>
      <c r="AP18" s="18"/>
      <c r="AQ18" s="1"/>
      <c r="AR18" s="1"/>
      <c r="AS18" s="1"/>
      <c r="AT18" s="1"/>
      <c r="AU18" s="5" t="s">
        <v>323</v>
      </c>
      <c r="AV18" s="1"/>
      <c r="AW18" s="1"/>
    </row>
    <row r="19" spans="1:49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1.25" customHeight="1">
      <c r="A20" s="1"/>
      <c r="B20" s="1"/>
      <c r="C20" s="8" t="s">
        <v>635</v>
      </c>
      <c r="D20" s="18"/>
      <c r="E20" s="1"/>
      <c r="F20" s="1"/>
      <c r="G20" s="1"/>
      <c r="H20" s="8" t="s">
        <v>636</v>
      </c>
      <c r="I20" s="18"/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8" t="s">
        <v>7</v>
      </c>
      <c r="AO20" s="18"/>
      <c r="AP20" s="18"/>
      <c r="AQ20" s="1"/>
      <c r="AR20" s="1"/>
      <c r="AS20" s="1"/>
      <c r="AT20" s="1"/>
      <c r="AU20" s="5" t="s">
        <v>637</v>
      </c>
      <c r="AV20" s="1"/>
      <c r="AW20" s="1"/>
    </row>
    <row r="21" spans="1:49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1.25" customHeight="1">
      <c r="A22" s="1"/>
      <c r="B22" s="1"/>
      <c r="C22" s="8" t="s">
        <v>638</v>
      </c>
      <c r="D22" s="18"/>
      <c r="E22" s="1"/>
      <c r="F22" s="1"/>
      <c r="G22" s="1"/>
      <c r="H22" s="8" t="s">
        <v>639</v>
      </c>
      <c r="I22" s="18"/>
      <c r="J22" s="18"/>
      <c r="K22" s="18"/>
      <c r="L22" s="18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8" t="s">
        <v>7</v>
      </c>
      <c r="AO22" s="18"/>
      <c r="AP22" s="18"/>
      <c r="AQ22" s="1"/>
      <c r="AR22" s="1"/>
      <c r="AS22" s="1"/>
      <c r="AT22" s="1"/>
      <c r="AU22" s="5" t="s">
        <v>640</v>
      </c>
      <c r="AV22" s="1"/>
      <c r="AW22" s="1"/>
    </row>
    <row r="23" spans="1:49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1.25" customHeight="1">
      <c r="A24" s="1"/>
      <c r="B24" s="1"/>
      <c r="C24" s="8" t="s">
        <v>641</v>
      </c>
      <c r="D24" s="18"/>
      <c r="E24" s="1"/>
      <c r="F24" s="1"/>
      <c r="G24" s="1"/>
      <c r="H24" s="8" t="s">
        <v>642</v>
      </c>
      <c r="I24" s="18"/>
      <c r="J24" s="18"/>
      <c r="K24" s="18"/>
      <c r="L24" s="18"/>
      <c r="M24" s="18"/>
      <c r="N24" s="18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8" t="s">
        <v>7</v>
      </c>
      <c r="AO24" s="18"/>
      <c r="AP24" s="18"/>
      <c r="AQ24" s="1"/>
      <c r="AR24" s="1"/>
      <c r="AS24" s="1"/>
      <c r="AT24" s="8" t="s">
        <v>643</v>
      </c>
      <c r="AU24" s="18"/>
      <c r="AV24" s="1"/>
      <c r="AW24" s="1"/>
    </row>
    <row r="25" spans="1:49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1.25" customHeight="1">
      <c r="A26" s="1"/>
      <c r="B26" s="1"/>
      <c r="C26" s="8" t="s">
        <v>644</v>
      </c>
      <c r="D26" s="18"/>
      <c r="E26" s="1"/>
      <c r="F26" s="1"/>
      <c r="G26" s="1"/>
      <c r="H26" s="8" t="s">
        <v>645</v>
      </c>
      <c r="I26" s="18"/>
      <c r="J26" s="18"/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8" t="s">
        <v>7</v>
      </c>
      <c r="AO26" s="18"/>
      <c r="AP26" s="18"/>
      <c r="AQ26" s="1"/>
      <c r="AR26" s="1"/>
      <c r="AS26" s="1"/>
      <c r="AT26" s="8" t="s">
        <v>646</v>
      </c>
      <c r="AU26" s="18"/>
      <c r="AV26" s="1"/>
      <c r="AW26" s="1"/>
    </row>
    <row r="27" spans="1:49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1.25" customHeight="1">
      <c r="A28" s="1"/>
      <c r="B28" s="1"/>
      <c r="C28" s="8" t="s">
        <v>647</v>
      </c>
      <c r="D28" s="18"/>
      <c r="E28" s="1"/>
      <c r="F28" s="1"/>
      <c r="G28" s="1"/>
      <c r="H28" s="8" t="s">
        <v>648</v>
      </c>
      <c r="I28" s="18"/>
      <c r="J28" s="18"/>
      <c r="K28" s="18"/>
      <c r="L28" s="1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8" t="s">
        <v>7</v>
      </c>
      <c r="AO28" s="18"/>
      <c r="AP28" s="18"/>
      <c r="AQ28" s="1"/>
      <c r="AR28" s="1"/>
      <c r="AS28" s="1"/>
      <c r="AT28" s="1"/>
      <c r="AU28" s="5" t="s">
        <v>649</v>
      </c>
      <c r="AV28" s="1"/>
      <c r="AW28" s="1"/>
    </row>
    <row r="29" spans="1:49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1.25" customHeight="1">
      <c r="A30" s="1"/>
      <c r="B30" s="1"/>
      <c r="C30" s="8" t="s">
        <v>650</v>
      </c>
      <c r="D30" s="18"/>
      <c r="E30" s="1"/>
      <c r="F30" s="1"/>
      <c r="G30" s="1"/>
      <c r="H30" s="8" t="s">
        <v>651</v>
      </c>
      <c r="I30" s="18"/>
      <c r="J30" s="18"/>
      <c r="K30" s="18"/>
      <c r="L30" s="1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8" t="s">
        <v>7</v>
      </c>
      <c r="AO30" s="18"/>
      <c r="AP30" s="18"/>
      <c r="AQ30" s="1"/>
      <c r="AR30" s="1"/>
      <c r="AS30" s="1"/>
      <c r="AT30" s="1"/>
      <c r="AU30" s="5" t="s">
        <v>649</v>
      </c>
      <c r="AV30" s="1"/>
      <c r="AW30" s="1"/>
    </row>
    <row r="31" spans="1:49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1.25" customHeight="1">
      <c r="A32" s="1"/>
      <c r="B32" s="1"/>
      <c r="C32" s="8" t="s">
        <v>652</v>
      </c>
      <c r="D32" s="18"/>
      <c r="E32" s="1"/>
      <c r="F32" s="1"/>
      <c r="G32" s="1"/>
      <c r="H32" s="8" t="s">
        <v>653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8" t="s">
        <v>7</v>
      </c>
      <c r="AO32" s="18"/>
      <c r="AP32" s="18"/>
      <c r="AQ32" s="1"/>
      <c r="AR32" s="1"/>
      <c r="AS32" s="1"/>
      <c r="AT32" s="8" t="s">
        <v>186</v>
      </c>
      <c r="AU32" s="18"/>
      <c r="AV32" s="1"/>
      <c r="AW32" s="1"/>
    </row>
    <row r="33" spans="1:49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11.25" customHeight="1">
      <c r="A34" s="1"/>
      <c r="B34" s="1"/>
      <c r="C34" s="8" t="s">
        <v>654</v>
      </c>
      <c r="D34" s="18"/>
      <c r="E34" s="1"/>
      <c r="F34" s="1"/>
      <c r="G34" s="1"/>
      <c r="H34" s="8" t="s">
        <v>655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8" t="s">
        <v>7</v>
      </c>
      <c r="AO34" s="18"/>
      <c r="AP34" s="18"/>
      <c r="AQ34" s="1"/>
      <c r="AR34" s="1"/>
      <c r="AS34" s="1"/>
      <c r="AT34" s="8" t="s">
        <v>186</v>
      </c>
      <c r="AU34" s="18"/>
      <c r="AV34" s="1"/>
      <c r="AW34" s="1"/>
    </row>
    <row r="35" spans="1:49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1.25" customHeight="1">
      <c r="A36" s="1"/>
      <c r="B36" s="1"/>
      <c r="C36" s="8" t="s">
        <v>656</v>
      </c>
      <c r="D36" s="18"/>
      <c r="E36" s="1"/>
      <c r="F36" s="1"/>
      <c r="G36" s="1"/>
      <c r="H36" s="8" t="s">
        <v>657</v>
      </c>
      <c r="I36" s="18"/>
      <c r="J36" s="18"/>
      <c r="K36" s="18"/>
      <c r="L36" s="18"/>
      <c r="M36" s="18"/>
      <c r="N36" s="18"/>
      <c r="O36" s="18"/>
      <c r="P36" s="18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8" t="s">
        <v>7</v>
      </c>
      <c r="AO36" s="18"/>
      <c r="AP36" s="18"/>
      <c r="AQ36" s="1"/>
      <c r="AR36" s="1"/>
      <c r="AS36" s="1"/>
      <c r="AT36" s="1"/>
      <c r="AU36" s="5" t="s">
        <v>521</v>
      </c>
      <c r="AV36" s="1"/>
      <c r="AW36" s="1"/>
    </row>
    <row r="37" spans="1:49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1.25" customHeight="1">
      <c r="A38" s="1"/>
      <c r="B38" s="1"/>
      <c r="C38" s="8" t="s">
        <v>658</v>
      </c>
      <c r="D38" s="18"/>
      <c r="E38" s="1"/>
      <c r="F38" s="1"/>
      <c r="G38" s="1"/>
      <c r="H38" s="8" t="s">
        <v>659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8" t="s">
        <v>7</v>
      </c>
      <c r="AO38" s="18"/>
      <c r="AP38" s="18"/>
      <c r="AQ38" s="1"/>
      <c r="AR38" s="1"/>
      <c r="AS38" s="1"/>
      <c r="AT38" s="8" t="s">
        <v>660</v>
      </c>
      <c r="AU38" s="18"/>
      <c r="AV38" s="1"/>
      <c r="AW38" s="1"/>
    </row>
    <row r="39" spans="1:49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1.25" customHeight="1">
      <c r="A40" s="1"/>
      <c r="B40" s="1"/>
      <c r="C40" s="8" t="s">
        <v>661</v>
      </c>
      <c r="D40" s="18"/>
      <c r="E40" s="1"/>
      <c r="F40" s="1"/>
      <c r="G40" s="1"/>
      <c r="H40" s="8" t="s">
        <v>662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8" t="s">
        <v>7</v>
      </c>
      <c r="AO40" s="18"/>
      <c r="AP40" s="18"/>
      <c r="AQ40" s="1"/>
      <c r="AR40" s="1"/>
      <c r="AS40" s="1"/>
      <c r="AT40" s="8" t="s">
        <v>663</v>
      </c>
      <c r="AU40" s="18"/>
      <c r="AV40" s="1"/>
      <c r="AW40" s="1"/>
    </row>
    <row r="41" spans="1:49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1.25" customHeight="1">
      <c r="A42" s="1"/>
      <c r="B42" s="1"/>
      <c r="C42" s="8" t="s">
        <v>664</v>
      </c>
      <c r="D42" s="18"/>
      <c r="E42" s="1"/>
      <c r="F42" s="1"/>
      <c r="G42" s="1"/>
      <c r="H42" s="8" t="s">
        <v>665</v>
      </c>
      <c r="I42" s="18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8" t="s">
        <v>7</v>
      </c>
      <c r="AO42" s="18"/>
      <c r="AP42" s="18"/>
      <c r="AQ42" s="1"/>
      <c r="AR42" s="1"/>
      <c r="AS42" s="1"/>
      <c r="AT42" s="1"/>
      <c r="AU42" s="5" t="s">
        <v>481</v>
      </c>
      <c r="AV42" s="1"/>
      <c r="AW42" s="1"/>
    </row>
    <row r="43" spans="1:49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1.25" customHeight="1">
      <c r="A44" s="1"/>
      <c r="B44" s="1"/>
      <c r="C44" s="8" t="s">
        <v>666</v>
      </c>
      <c r="D44" s="18"/>
      <c r="E44" s="1"/>
      <c r="F44" s="1"/>
      <c r="G44" s="1"/>
      <c r="H44" s="8" t="s">
        <v>667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8" t="s">
        <v>7</v>
      </c>
      <c r="AO44" s="18"/>
      <c r="AP44" s="18"/>
      <c r="AQ44" s="1"/>
      <c r="AR44" s="1"/>
      <c r="AS44" s="1"/>
      <c r="AT44" s="8" t="s">
        <v>668</v>
      </c>
      <c r="AU44" s="18"/>
      <c r="AV44" s="1"/>
      <c r="AW44" s="1"/>
    </row>
    <row r="45" spans="1:49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1.25" customHeight="1">
      <c r="A46" s="1"/>
      <c r="B46" s="1"/>
      <c r="C46" s="8" t="s">
        <v>669</v>
      </c>
      <c r="D46" s="18"/>
      <c r="E46" s="1"/>
      <c r="F46" s="1"/>
      <c r="G46" s="1"/>
      <c r="H46" s="8" t="s">
        <v>670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8" t="s">
        <v>7</v>
      </c>
      <c r="AO46" s="18"/>
      <c r="AP46" s="18"/>
      <c r="AQ46" s="1"/>
      <c r="AR46" s="1"/>
      <c r="AS46" s="1"/>
      <c r="AT46" s="8" t="s">
        <v>668</v>
      </c>
      <c r="AU46" s="18"/>
      <c r="AV46" s="1"/>
      <c r="AW46" s="1"/>
    </row>
    <row r="47" spans="1:49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1.25" customHeight="1">
      <c r="A48" s="1"/>
      <c r="B48" s="1"/>
      <c r="C48" s="8" t="s">
        <v>671</v>
      </c>
      <c r="D48" s="18"/>
      <c r="E48" s="1"/>
      <c r="F48" s="1"/>
      <c r="G48" s="1"/>
      <c r="H48" s="8" t="s">
        <v>672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8" t="s">
        <v>7</v>
      </c>
      <c r="AO48" s="18"/>
      <c r="AP48" s="18"/>
      <c r="AQ48" s="1"/>
      <c r="AR48" s="1"/>
      <c r="AS48" s="1"/>
      <c r="AT48" s="8" t="s">
        <v>668</v>
      </c>
      <c r="AU48" s="18"/>
      <c r="AV48" s="1"/>
      <c r="AW48" s="1"/>
    </row>
    <row r="49" spans="1:49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1.25" customHeight="1">
      <c r="A50" s="1"/>
      <c r="B50" s="1"/>
      <c r="C50" s="8" t="s">
        <v>673</v>
      </c>
      <c r="D50" s="18"/>
      <c r="E50" s="1"/>
      <c r="F50" s="1"/>
      <c r="G50" s="1"/>
      <c r="H50" s="8" t="s">
        <v>674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8" t="s">
        <v>7</v>
      </c>
      <c r="AO50" s="18"/>
      <c r="AP50" s="18"/>
      <c r="AQ50" s="1"/>
      <c r="AR50" s="1"/>
      <c r="AS50" s="1"/>
      <c r="AT50" s="8" t="s">
        <v>668</v>
      </c>
      <c r="AU50" s="18"/>
      <c r="AV50" s="1"/>
      <c r="AW50" s="1"/>
    </row>
    <row r="51" spans="1:49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1.25" customHeight="1">
      <c r="A52" s="1"/>
      <c r="B52" s="1"/>
      <c r="C52" s="8" t="s">
        <v>675</v>
      </c>
      <c r="D52" s="18"/>
      <c r="E52" s="1"/>
      <c r="F52" s="1"/>
      <c r="G52" s="1"/>
      <c r="H52" s="8" t="s">
        <v>676</v>
      </c>
      <c r="I52" s="18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8" t="s">
        <v>7</v>
      </c>
      <c r="AO52" s="18"/>
      <c r="AP52" s="18"/>
      <c r="AQ52" s="1"/>
      <c r="AR52" s="1"/>
      <c r="AS52" s="1"/>
      <c r="AT52" s="8" t="s">
        <v>535</v>
      </c>
      <c r="AU52" s="18"/>
      <c r="AV52" s="1"/>
      <c r="AW52" s="1"/>
    </row>
    <row r="53" spans="1:49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1.25" customHeight="1">
      <c r="A54" s="1"/>
      <c r="B54" s="1"/>
      <c r="C54" s="8" t="s">
        <v>677</v>
      </c>
      <c r="D54" s="18"/>
      <c r="E54" s="1"/>
      <c r="F54" s="1"/>
      <c r="G54" s="1"/>
      <c r="H54" s="8" t="s">
        <v>678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8" t="s">
        <v>7</v>
      </c>
      <c r="AO54" s="18"/>
      <c r="AP54" s="18"/>
      <c r="AQ54" s="1"/>
      <c r="AR54" s="1"/>
      <c r="AS54" s="1"/>
      <c r="AT54" s="8" t="s">
        <v>679</v>
      </c>
      <c r="AU54" s="18"/>
      <c r="AV54" s="1"/>
      <c r="AW54" s="1"/>
    </row>
    <row r="55" spans="1:49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1.25" customHeight="1">
      <c r="A56" s="1"/>
      <c r="B56" s="1"/>
      <c r="C56" s="8" t="s">
        <v>680</v>
      </c>
      <c r="D56" s="18"/>
      <c r="E56" s="18"/>
      <c r="F56" s="1"/>
      <c r="G56" s="1"/>
      <c r="H56" s="8" t="s">
        <v>681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"/>
      <c r="AM56" s="1"/>
      <c r="AN56" s="8" t="s">
        <v>7</v>
      </c>
      <c r="AO56" s="18"/>
      <c r="AP56" s="18"/>
      <c r="AQ56" s="1"/>
      <c r="AR56" s="1"/>
      <c r="AS56" s="1"/>
      <c r="AT56" s="8" t="s">
        <v>682</v>
      </c>
      <c r="AU56" s="18"/>
      <c r="AV56" s="1"/>
      <c r="AW56" s="1"/>
    </row>
    <row r="57" spans="1:49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1.25" customHeight="1">
      <c r="A58" s="1"/>
      <c r="B58" s="1"/>
      <c r="C58" s="8" t="s">
        <v>683</v>
      </c>
      <c r="D58" s="18"/>
      <c r="E58" s="18"/>
      <c r="F58" s="1"/>
      <c r="G58" s="1"/>
      <c r="H58" s="8" t="s">
        <v>684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"/>
      <c r="AM58" s="1"/>
      <c r="AN58" s="8" t="s">
        <v>7</v>
      </c>
      <c r="AO58" s="18"/>
      <c r="AP58" s="18"/>
      <c r="AQ58" s="1"/>
      <c r="AR58" s="1"/>
      <c r="AS58" s="1"/>
      <c r="AT58" s="8" t="s">
        <v>682</v>
      </c>
      <c r="AU58" s="18"/>
      <c r="AV58" s="1"/>
      <c r="AW58" s="1"/>
    </row>
    <row r="59" spans="1:49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1.25" customHeight="1">
      <c r="A60" s="1"/>
      <c r="B60" s="1"/>
      <c r="C60" s="8" t="s">
        <v>685</v>
      </c>
      <c r="D60" s="18"/>
      <c r="E60" s="1"/>
      <c r="F60" s="1"/>
      <c r="G60" s="1"/>
      <c r="H60" s="8" t="s">
        <v>686</v>
      </c>
      <c r="I60" s="18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8" t="s">
        <v>7</v>
      </c>
      <c r="AO60" s="18"/>
      <c r="AP60" s="18"/>
      <c r="AQ60" s="1"/>
      <c r="AR60" s="1"/>
      <c r="AS60" s="1"/>
      <c r="AT60" s="1"/>
      <c r="AU60" s="5" t="s">
        <v>521</v>
      </c>
      <c r="AV60" s="1"/>
      <c r="AW60" s="1"/>
    </row>
    <row r="61" spans="1:49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1.25" customHeight="1">
      <c r="A62" s="1"/>
      <c r="B62" s="1"/>
      <c r="C62" s="8" t="s">
        <v>687</v>
      </c>
      <c r="D62" s="18"/>
      <c r="E62" s="1"/>
      <c r="F62" s="1"/>
      <c r="G62" s="1"/>
      <c r="H62" s="8" t="s">
        <v>688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8" t="s">
        <v>7</v>
      </c>
      <c r="AO62" s="18"/>
      <c r="AP62" s="18"/>
      <c r="AQ62" s="1"/>
      <c r="AR62" s="1"/>
      <c r="AS62" s="1"/>
      <c r="AT62" s="1"/>
      <c r="AU62" s="5" t="s">
        <v>689</v>
      </c>
      <c r="AV62" s="1"/>
      <c r="AW62" s="1"/>
    </row>
    <row r="63" spans="1:49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1.25" customHeight="1">
      <c r="A64" s="1"/>
      <c r="B64" s="1"/>
      <c r="C64" s="8" t="s">
        <v>690</v>
      </c>
      <c r="D64" s="18"/>
      <c r="E64" s="1"/>
      <c r="F64" s="1"/>
      <c r="G64" s="1"/>
      <c r="H64" s="8" t="s">
        <v>691</v>
      </c>
      <c r="I64" s="18"/>
      <c r="J64" s="18"/>
      <c r="K64" s="18"/>
      <c r="L64" s="1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8" t="s">
        <v>7</v>
      </c>
      <c r="AO64" s="18"/>
      <c r="AP64" s="18"/>
      <c r="AQ64" s="1"/>
      <c r="AR64" s="1"/>
      <c r="AS64" s="1"/>
      <c r="AT64" s="1"/>
      <c r="AU64" s="5" t="s">
        <v>692</v>
      </c>
      <c r="AV64" s="1"/>
      <c r="AW64" s="1"/>
    </row>
    <row r="65" spans="1:49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1.25" customHeight="1">
      <c r="A66" s="1"/>
      <c r="B66" s="1"/>
      <c r="C66" s="8" t="s">
        <v>693</v>
      </c>
      <c r="D66" s="18"/>
      <c r="E66" s="1"/>
      <c r="F66" s="1"/>
      <c r="G66" s="1"/>
      <c r="H66" s="8" t="s">
        <v>694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8" t="s">
        <v>7</v>
      </c>
      <c r="AO66" s="18"/>
      <c r="AP66" s="18"/>
      <c r="AQ66" s="1"/>
      <c r="AR66" s="1"/>
      <c r="AS66" s="1"/>
      <c r="AT66" s="8" t="s">
        <v>695</v>
      </c>
      <c r="AU66" s="18"/>
      <c r="AV66" s="1"/>
      <c r="AW66" s="1"/>
    </row>
    <row r="67" spans="1:49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1.25" customHeight="1">
      <c r="A68" s="1"/>
      <c r="B68" s="1"/>
      <c r="C68" s="8" t="s">
        <v>696</v>
      </c>
      <c r="D68" s="18"/>
      <c r="E68" s="1"/>
      <c r="F68" s="1"/>
      <c r="G68" s="1"/>
      <c r="H68" s="8" t="s">
        <v>697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8" t="s">
        <v>7</v>
      </c>
      <c r="AO68" s="18"/>
      <c r="AP68" s="18"/>
      <c r="AQ68" s="1"/>
      <c r="AR68" s="1"/>
      <c r="AS68" s="1"/>
      <c r="AT68" s="8" t="s">
        <v>695</v>
      </c>
      <c r="AU68" s="18"/>
      <c r="AV68" s="1"/>
      <c r="AW68" s="1"/>
    </row>
    <row r="69" spans="1:49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1.25" customHeight="1">
      <c r="A70" s="1"/>
      <c r="B70" s="1"/>
      <c r="C70" s="8" t="s">
        <v>698</v>
      </c>
      <c r="D70" s="18"/>
      <c r="E70" s="1"/>
      <c r="F70" s="1"/>
      <c r="G70" s="1"/>
      <c r="H70" s="8" t="s">
        <v>699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8" t="s">
        <v>7</v>
      </c>
      <c r="AO70" s="18"/>
      <c r="AP70" s="18"/>
      <c r="AQ70" s="1"/>
      <c r="AR70" s="1"/>
      <c r="AS70" s="1"/>
      <c r="AT70" s="1"/>
      <c r="AU70" s="5" t="s">
        <v>597</v>
      </c>
      <c r="AV70" s="1"/>
      <c r="AW70" s="1"/>
    </row>
    <row r="71" spans="1:49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1.25" customHeight="1">
      <c r="A72" s="1"/>
      <c r="B72" s="1"/>
      <c r="C72" s="8" t="s">
        <v>700</v>
      </c>
      <c r="D72" s="18"/>
      <c r="E72" s="1"/>
      <c r="F72" s="1"/>
      <c r="G72" s="1"/>
      <c r="H72" s="8" t="s">
        <v>701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"/>
      <c r="AH72" s="1"/>
      <c r="AI72" s="1"/>
      <c r="AJ72" s="1"/>
      <c r="AK72" s="1"/>
      <c r="AL72" s="1"/>
      <c r="AM72" s="1"/>
      <c r="AN72" s="8" t="s">
        <v>7</v>
      </c>
      <c r="AO72" s="18"/>
      <c r="AP72" s="18"/>
      <c r="AQ72" s="1"/>
      <c r="AR72" s="1"/>
      <c r="AS72" s="1"/>
      <c r="AT72" s="8" t="s">
        <v>702</v>
      </c>
      <c r="AU72" s="18"/>
      <c r="AV72" s="1"/>
      <c r="AW72" s="1"/>
    </row>
    <row r="73" spans="1:49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1.25" customHeight="1">
      <c r="A74" s="1"/>
      <c r="B74" s="1"/>
      <c r="C74" s="8" t="s">
        <v>703</v>
      </c>
      <c r="D74" s="18"/>
      <c r="E74" s="1"/>
      <c r="F74" s="1"/>
      <c r="G74" s="1"/>
      <c r="H74" s="8" t="s">
        <v>704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8" t="s">
        <v>7</v>
      </c>
      <c r="AO74" s="18"/>
      <c r="AP74" s="18"/>
      <c r="AQ74" s="1"/>
      <c r="AR74" s="1"/>
      <c r="AS74" s="8" t="s">
        <v>705</v>
      </c>
      <c r="AT74" s="18"/>
      <c r="AU74" s="18"/>
      <c r="AV74" s="1"/>
      <c r="AW74" s="1"/>
    </row>
    <row r="75" spans="1:49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1.25" customHeight="1">
      <c r="A76" s="1"/>
      <c r="B76" s="1"/>
      <c r="C76" s="8" t="s">
        <v>706</v>
      </c>
      <c r="D76" s="18"/>
      <c r="E76" s="1"/>
      <c r="F76" s="1"/>
      <c r="G76" s="1"/>
      <c r="H76" s="8" t="s">
        <v>707</v>
      </c>
      <c r="I76" s="18"/>
      <c r="J76" s="18"/>
      <c r="K76" s="18"/>
      <c r="L76" s="18"/>
      <c r="M76" s="18"/>
      <c r="N76" s="18"/>
      <c r="O76" s="18"/>
      <c r="P76" s="18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8" t="s">
        <v>7</v>
      </c>
      <c r="AO76" s="18"/>
      <c r="AP76" s="18"/>
      <c r="AQ76" s="1"/>
      <c r="AR76" s="1"/>
      <c r="AS76" s="1"/>
      <c r="AT76" s="8" t="s">
        <v>708</v>
      </c>
      <c r="AU76" s="18"/>
      <c r="AV76" s="1"/>
      <c r="AW76" s="1"/>
    </row>
    <row r="77" spans="1:49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1.25" customHeight="1">
      <c r="A78" s="1"/>
      <c r="B78" s="1"/>
      <c r="C78" s="8" t="s">
        <v>709</v>
      </c>
      <c r="D78" s="18"/>
      <c r="E78" s="1"/>
      <c r="F78" s="1"/>
      <c r="G78" s="1"/>
      <c r="H78" s="8" t="s">
        <v>710</v>
      </c>
      <c r="I78" s="18"/>
      <c r="J78" s="18"/>
      <c r="K78" s="18"/>
      <c r="L78" s="18"/>
      <c r="M78" s="18"/>
      <c r="N78" s="18"/>
      <c r="O78" s="18"/>
      <c r="P78" s="18"/>
      <c r="Q78" s="18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8" t="s">
        <v>7</v>
      </c>
      <c r="AO78" s="18"/>
      <c r="AP78" s="18"/>
      <c r="AQ78" s="1"/>
      <c r="AR78" s="1"/>
      <c r="AS78" s="1"/>
      <c r="AT78" s="8" t="s">
        <v>708</v>
      </c>
      <c r="AU78" s="18"/>
      <c r="AV78" s="1"/>
      <c r="AW78" s="1"/>
    </row>
    <row r="79" spans="1:49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1.25" customHeight="1">
      <c r="A80" s="1"/>
      <c r="B80" s="1"/>
      <c r="C80" s="8" t="s">
        <v>711</v>
      </c>
      <c r="D80" s="18"/>
      <c r="E80" s="18"/>
      <c r="F80" s="1"/>
      <c r="G80" s="1"/>
      <c r="H80" s="8" t="s">
        <v>712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"/>
      <c r="AN80" s="8" t="s">
        <v>7</v>
      </c>
      <c r="AO80" s="18"/>
      <c r="AP80" s="18"/>
      <c r="AQ80" s="1"/>
      <c r="AR80" s="1"/>
      <c r="AS80" s="1"/>
      <c r="AT80" s="8" t="s">
        <v>713</v>
      </c>
      <c r="AU80" s="18"/>
      <c r="AV80" s="1"/>
      <c r="AW80" s="1"/>
    </row>
    <row r="81" spans="1:49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1.25" customHeight="1">
      <c r="A82" s="1"/>
      <c r="B82" s="1"/>
      <c r="C82" s="8" t="s">
        <v>714</v>
      </c>
      <c r="D82" s="18"/>
      <c r="E82" s="1"/>
      <c r="F82" s="1"/>
      <c r="G82" s="1"/>
      <c r="H82" s="8" t="s">
        <v>715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8" t="s">
        <v>7</v>
      </c>
      <c r="AO82" s="18"/>
      <c r="AP82" s="18"/>
      <c r="AQ82" s="1"/>
      <c r="AR82" s="1"/>
      <c r="AS82" s="1"/>
      <c r="AT82" s="1"/>
      <c r="AU82" s="5" t="s">
        <v>453</v>
      </c>
      <c r="AV82" s="1"/>
      <c r="AW82" s="1"/>
    </row>
    <row r="83" spans="1:49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1.25" customHeight="1">
      <c r="A84" s="1"/>
      <c r="B84" s="1"/>
      <c r="C84" s="8" t="s">
        <v>716</v>
      </c>
      <c r="D84" s="18"/>
      <c r="E84" s="1"/>
      <c r="F84" s="1"/>
      <c r="G84" s="1"/>
      <c r="H84" s="8" t="s">
        <v>717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8" t="s">
        <v>7</v>
      </c>
      <c r="AO84" s="18"/>
      <c r="AP84" s="18"/>
      <c r="AQ84" s="1"/>
      <c r="AR84" s="1"/>
      <c r="AS84" s="1"/>
      <c r="AT84" s="1"/>
      <c r="AU84" s="5" t="s">
        <v>718</v>
      </c>
      <c r="AV84" s="1"/>
      <c r="AW84" s="1"/>
    </row>
    <row r="85" spans="1:49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1.25" customHeight="1">
      <c r="A86" s="1"/>
      <c r="B86" s="1"/>
      <c r="C86" s="8" t="s">
        <v>719</v>
      </c>
      <c r="D86" s="18"/>
      <c r="E86" s="1"/>
      <c r="F86" s="1"/>
      <c r="G86" s="1"/>
      <c r="H86" s="8" t="s">
        <v>720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8" t="s">
        <v>7</v>
      </c>
      <c r="AO86" s="18"/>
      <c r="AP86" s="18"/>
      <c r="AQ86" s="1"/>
      <c r="AR86" s="1"/>
      <c r="AS86" s="1"/>
      <c r="AT86" s="1"/>
      <c r="AU86" s="5" t="s">
        <v>23</v>
      </c>
      <c r="AV86" s="1"/>
      <c r="AW86" s="1"/>
    </row>
    <row r="87" spans="1:49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1.25" customHeight="1">
      <c r="A88" s="1"/>
      <c r="B88" s="1"/>
      <c r="C88" s="8" t="s">
        <v>721</v>
      </c>
      <c r="D88" s="18"/>
      <c r="E88" s="1"/>
      <c r="F88" s="1"/>
      <c r="G88" s="1"/>
      <c r="H88" s="8" t="s">
        <v>722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8" t="s">
        <v>7</v>
      </c>
      <c r="AO88" s="18"/>
      <c r="AP88" s="18"/>
      <c r="AQ88" s="1"/>
      <c r="AR88" s="1"/>
      <c r="AS88" s="1"/>
      <c r="AT88" s="8" t="s">
        <v>152</v>
      </c>
      <c r="AU88" s="18"/>
      <c r="AV88" s="1"/>
      <c r="AW88" s="1"/>
    </row>
    <row r="89" spans="1:49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1.25" customHeight="1">
      <c r="A90" s="1"/>
      <c r="B90" s="1"/>
      <c r="C90" s="8" t="s">
        <v>723</v>
      </c>
      <c r="D90" s="18"/>
      <c r="E90" s="1"/>
      <c r="F90" s="1"/>
      <c r="G90" s="1"/>
      <c r="H90" s="8" t="s">
        <v>724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8" t="s">
        <v>7</v>
      </c>
      <c r="AO90" s="18"/>
      <c r="AP90" s="18"/>
      <c r="AQ90" s="1"/>
      <c r="AR90" s="1"/>
      <c r="AS90" s="1"/>
      <c r="AT90" s="8" t="s">
        <v>66</v>
      </c>
      <c r="AU90" s="18"/>
      <c r="AV90" s="1"/>
      <c r="AW90" s="1"/>
    </row>
    <row r="91" spans="1:49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1.25" customHeight="1">
      <c r="A92" s="1"/>
      <c r="B92" s="1"/>
      <c r="C92" s="8" t="s">
        <v>725</v>
      </c>
      <c r="D92" s="18"/>
      <c r="E92" s="1"/>
      <c r="F92" s="1"/>
      <c r="G92" s="1"/>
      <c r="H92" s="8" t="s">
        <v>726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8" t="s">
        <v>7</v>
      </c>
      <c r="AO92" s="18"/>
      <c r="AP92" s="18"/>
      <c r="AQ92" s="1"/>
      <c r="AR92" s="1"/>
      <c r="AS92" s="1"/>
      <c r="AT92" s="1"/>
      <c r="AU92" s="5" t="s">
        <v>389</v>
      </c>
      <c r="AV92" s="1"/>
      <c r="AW92" s="1"/>
    </row>
    <row r="93" spans="1:49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1.25" customHeight="1">
      <c r="A94" s="1"/>
      <c r="B94" s="1"/>
      <c r="C94" s="8" t="s">
        <v>727</v>
      </c>
      <c r="D94" s="18"/>
      <c r="E94" s="1"/>
      <c r="F94" s="1"/>
      <c r="G94" s="1"/>
      <c r="H94" s="8" t="s">
        <v>728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"/>
      <c r="AG94" s="1"/>
      <c r="AH94" s="1"/>
      <c r="AI94" s="1"/>
      <c r="AJ94" s="1"/>
      <c r="AK94" s="1"/>
      <c r="AL94" s="1"/>
      <c r="AM94" s="1"/>
      <c r="AN94" s="8" t="s">
        <v>7</v>
      </c>
      <c r="AO94" s="18"/>
      <c r="AP94" s="18"/>
      <c r="AQ94" s="1"/>
      <c r="AR94" s="1"/>
      <c r="AS94" s="1"/>
      <c r="AT94" s="8" t="s">
        <v>729</v>
      </c>
      <c r="AU94" s="18"/>
      <c r="AV94" s="1"/>
      <c r="AW94" s="1"/>
    </row>
    <row r="95" spans="1:49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1.25" customHeight="1">
      <c r="A96" s="1"/>
      <c r="B96" s="1"/>
      <c r="C96" s="8" t="s">
        <v>730</v>
      </c>
      <c r="D96" s="18"/>
      <c r="E96" s="1"/>
      <c r="F96" s="1"/>
      <c r="G96" s="1"/>
      <c r="H96" s="8" t="s">
        <v>731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"/>
      <c r="AG96" s="1"/>
      <c r="AH96" s="1"/>
      <c r="AI96" s="1"/>
      <c r="AJ96" s="1"/>
      <c r="AK96" s="1"/>
      <c r="AL96" s="1"/>
      <c r="AM96" s="1"/>
      <c r="AN96" s="8" t="s">
        <v>7</v>
      </c>
      <c r="AO96" s="18"/>
      <c r="AP96" s="18"/>
      <c r="AQ96" s="1"/>
      <c r="AR96" s="1"/>
      <c r="AS96" s="1"/>
      <c r="AT96" s="8" t="s">
        <v>729</v>
      </c>
      <c r="AU96" s="18"/>
      <c r="AV96" s="1"/>
      <c r="AW96" s="1"/>
    </row>
    <row r="97" spans="1:49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1.25" customHeight="1">
      <c r="A98" s="1"/>
      <c r="B98" s="1"/>
      <c r="C98" s="8" t="s">
        <v>732</v>
      </c>
      <c r="D98" s="18"/>
      <c r="E98" s="1"/>
      <c r="F98" s="1"/>
      <c r="G98" s="1"/>
      <c r="H98" s="8" t="s">
        <v>733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"/>
      <c r="AL98" s="1"/>
      <c r="AM98" s="1"/>
      <c r="AN98" s="8" t="s">
        <v>7</v>
      </c>
      <c r="AO98" s="18"/>
      <c r="AP98" s="18"/>
      <c r="AQ98" s="1"/>
      <c r="AR98" s="1"/>
      <c r="AS98" s="1"/>
      <c r="AT98" s="8" t="s">
        <v>734</v>
      </c>
      <c r="AU98" s="18"/>
      <c r="AV98" s="1"/>
      <c r="AW98" s="1"/>
    </row>
    <row r="99" spans="1:49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1.25" customHeight="1">
      <c r="A100" s="1"/>
      <c r="B100" s="1"/>
      <c r="C100" s="8" t="s">
        <v>735</v>
      </c>
      <c r="D100" s="18"/>
      <c r="E100" s="1"/>
      <c r="F100" s="1"/>
      <c r="G100" s="1"/>
      <c r="H100" s="8" t="s">
        <v>736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"/>
      <c r="AF100" s="1"/>
      <c r="AG100" s="1"/>
      <c r="AH100" s="1"/>
      <c r="AI100" s="1"/>
      <c r="AJ100" s="1"/>
      <c r="AK100" s="1"/>
      <c r="AL100" s="1"/>
      <c r="AM100" s="1"/>
      <c r="AN100" s="8" t="s">
        <v>7</v>
      </c>
      <c r="AO100" s="18"/>
      <c r="AP100" s="18"/>
      <c r="AQ100" s="1"/>
      <c r="AR100" s="1"/>
      <c r="AS100" s="1"/>
      <c r="AT100" s="1"/>
      <c r="AU100" s="5" t="s">
        <v>453</v>
      </c>
      <c r="AV100" s="1"/>
      <c r="AW100" s="1"/>
    </row>
    <row r="101" spans="1:49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8" t="s">
        <v>737</v>
      </c>
      <c r="AT104" s="18"/>
      <c r="AU104" s="18"/>
      <c r="AV104" s="18"/>
      <c r="AW104" s="1"/>
    </row>
    <row r="105" spans="1:49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</sheetData>
  <mergeCells count="178">
    <mergeCell ref="B2:F4"/>
    <mergeCell ref="G2:AN4"/>
    <mergeCell ref="AO2:AO4"/>
    <mergeCell ref="AR3:AV3"/>
    <mergeCell ref="C8:D8"/>
    <mergeCell ref="H8:V8"/>
    <mergeCell ref="AN8:AP8"/>
    <mergeCell ref="AT8:AU8"/>
    <mergeCell ref="C10:D10"/>
    <mergeCell ref="H10:L10"/>
    <mergeCell ref="AN10:AP10"/>
    <mergeCell ref="AT10:AU10"/>
    <mergeCell ref="C12:D12"/>
    <mergeCell ref="H12:L12"/>
    <mergeCell ref="AN12:AP12"/>
    <mergeCell ref="AT12:AU12"/>
    <mergeCell ref="C14:D14"/>
    <mergeCell ref="H14:J14"/>
    <mergeCell ref="AN14:AP14"/>
    <mergeCell ref="AT14:AU14"/>
    <mergeCell ref="C16:D16"/>
    <mergeCell ref="H16:AH16"/>
    <mergeCell ref="AN16:AP16"/>
    <mergeCell ref="C18:D18"/>
    <mergeCell ref="H18:AI18"/>
    <mergeCell ref="AN18:AP18"/>
    <mergeCell ref="C20:D20"/>
    <mergeCell ref="H20:N20"/>
    <mergeCell ref="AN20:AP20"/>
    <mergeCell ref="C22:D22"/>
    <mergeCell ref="H22:M22"/>
    <mergeCell ref="AN22:AP22"/>
    <mergeCell ref="C24:D24"/>
    <mergeCell ref="H24:O24"/>
    <mergeCell ref="AN24:AP24"/>
    <mergeCell ref="AT24:AU24"/>
    <mergeCell ref="C26:D26"/>
    <mergeCell ref="H26:K26"/>
    <mergeCell ref="AN26:AP26"/>
    <mergeCell ref="AT26:AU26"/>
    <mergeCell ref="C28:D28"/>
    <mergeCell ref="H28:L28"/>
    <mergeCell ref="AN28:AP28"/>
    <mergeCell ref="C30:D30"/>
    <mergeCell ref="H30:L30"/>
    <mergeCell ref="AN30:AP30"/>
    <mergeCell ref="C32:D32"/>
    <mergeCell ref="H32:V32"/>
    <mergeCell ref="AN32:AP32"/>
    <mergeCell ref="AT32:AU32"/>
    <mergeCell ref="C34:D34"/>
    <mergeCell ref="H34:W34"/>
    <mergeCell ref="AN34:AP34"/>
    <mergeCell ref="AT34:AU34"/>
    <mergeCell ref="C36:D36"/>
    <mergeCell ref="H36:P36"/>
    <mergeCell ref="AN36:AP36"/>
    <mergeCell ref="C38:D38"/>
    <mergeCell ref="H38:AB38"/>
    <mergeCell ref="AN38:AP38"/>
    <mergeCell ref="AT38:AU38"/>
    <mergeCell ref="C40:D40"/>
    <mergeCell ref="H40:Z40"/>
    <mergeCell ref="AN40:AP40"/>
    <mergeCell ref="AT40:AU40"/>
    <mergeCell ref="C42:D42"/>
    <mergeCell ref="H42:J42"/>
    <mergeCell ref="AN42:AP42"/>
    <mergeCell ref="C44:D44"/>
    <mergeCell ref="H44:U44"/>
    <mergeCell ref="AN44:AP44"/>
    <mergeCell ref="AT44:AU44"/>
    <mergeCell ref="C46:D46"/>
    <mergeCell ref="H46:U46"/>
    <mergeCell ref="AN46:AP46"/>
    <mergeCell ref="AT46:AU46"/>
    <mergeCell ref="C48:D48"/>
    <mergeCell ref="H48:R48"/>
    <mergeCell ref="AN48:AP48"/>
    <mergeCell ref="AT48:AU48"/>
    <mergeCell ref="C50:D50"/>
    <mergeCell ref="H50:R50"/>
    <mergeCell ref="AN50:AP50"/>
    <mergeCell ref="AT50:AU50"/>
    <mergeCell ref="C52:D52"/>
    <mergeCell ref="H52:J52"/>
    <mergeCell ref="AN52:AP52"/>
    <mergeCell ref="AT52:AU52"/>
    <mergeCell ref="C54:D54"/>
    <mergeCell ref="H54:AC54"/>
    <mergeCell ref="AN54:AP54"/>
    <mergeCell ref="AT54:AU54"/>
    <mergeCell ref="C56:E56"/>
    <mergeCell ref="H56:AK56"/>
    <mergeCell ref="AN56:AP56"/>
    <mergeCell ref="AT56:AU56"/>
    <mergeCell ref="C58:E58"/>
    <mergeCell ref="H58:AK58"/>
    <mergeCell ref="AN58:AP58"/>
    <mergeCell ref="AT58:AU58"/>
    <mergeCell ref="C60:D60"/>
    <mergeCell ref="H60:J60"/>
    <mergeCell ref="AN60:AP60"/>
    <mergeCell ref="C62:D62"/>
    <mergeCell ref="H62:Y62"/>
    <mergeCell ref="AN62:AP62"/>
    <mergeCell ref="C64:D64"/>
    <mergeCell ref="H64:L64"/>
    <mergeCell ref="AN64:AP64"/>
    <mergeCell ref="C66:D66"/>
    <mergeCell ref="H66:T66"/>
    <mergeCell ref="AN66:AP66"/>
    <mergeCell ref="AT66:AU66"/>
    <mergeCell ref="C68:D68"/>
    <mergeCell ref="H68:S68"/>
    <mergeCell ref="AN68:AP68"/>
    <mergeCell ref="AT68:AU68"/>
    <mergeCell ref="C70:D70"/>
    <mergeCell ref="H70:AA70"/>
    <mergeCell ref="AN70:AP70"/>
    <mergeCell ref="C72:D72"/>
    <mergeCell ref="H72:AF72"/>
    <mergeCell ref="AN72:AP72"/>
    <mergeCell ref="AT72:AU72"/>
    <mergeCell ref="C74:D74"/>
    <mergeCell ref="H74:U74"/>
    <mergeCell ref="AN74:AP74"/>
    <mergeCell ref="AS74:AU74"/>
    <mergeCell ref="C76:D76"/>
    <mergeCell ref="H76:P76"/>
    <mergeCell ref="AN76:AP76"/>
    <mergeCell ref="AT76:AU76"/>
    <mergeCell ref="C78:D78"/>
    <mergeCell ref="H78:Q78"/>
    <mergeCell ref="AN78:AP78"/>
    <mergeCell ref="AT78:AU78"/>
    <mergeCell ref="C80:E80"/>
    <mergeCell ref="H80:AL80"/>
    <mergeCell ref="AN80:AP80"/>
    <mergeCell ref="AT80:AU80"/>
    <mergeCell ref="C82:D82"/>
    <mergeCell ref="H82:X82"/>
    <mergeCell ref="AN82:AP82"/>
    <mergeCell ref="C84:D84"/>
    <mergeCell ref="H84:T84"/>
    <mergeCell ref="AN84:AP84"/>
    <mergeCell ref="C86:D86"/>
    <mergeCell ref="H86:T86"/>
    <mergeCell ref="AN86:AP86"/>
    <mergeCell ref="C88:D88"/>
    <mergeCell ref="H88:T88"/>
    <mergeCell ref="AN88:AP88"/>
    <mergeCell ref="AT88:AU88"/>
    <mergeCell ref="C90:D90"/>
    <mergeCell ref="H90:Y90"/>
    <mergeCell ref="AN90:AP90"/>
    <mergeCell ref="AT90:AU90"/>
    <mergeCell ref="C92:D92"/>
    <mergeCell ref="H92:AB92"/>
    <mergeCell ref="AN92:AP92"/>
    <mergeCell ref="C94:D94"/>
    <mergeCell ref="H94:AE94"/>
    <mergeCell ref="AN94:AP94"/>
    <mergeCell ref="AT94:AU94"/>
    <mergeCell ref="I102:AK102"/>
    <mergeCell ref="J104:AG104"/>
    <mergeCell ref="AS104:AV104"/>
    <mergeCell ref="C96:D96"/>
    <mergeCell ref="H96:AE96"/>
    <mergeCell ref="AN96:AP96"/>
    <mergeCell ref="AT96:AU96"/>
    <mergeCell ref="C98:D98"/>
    <mergeCell ref="H98:AJ98"/>
    <mergeCell ref="AN98:AP98"/>
    <mergeCell ref="AT98:AU98"/>
    <mergeCell ref="C100:D100"/>
    <mergeCell ref="H100:AD100"/>
    <mergeCell ref="AN100:AP10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42578125" customWidth="1"/>
    <col min="6" max="6" width="3" customWidth="1"/>
    <col min="7" max="7" width="14.7109375" customWidth="1"/>
    <col min="8" max="8" width="0.140625" customWidth="1"/>
    <col min="9" max="9" width="3.7109375" customWidth="1"/>
    <col min="10" max="10" width="6.140625" customWidth="1"/>
    <col min="11" max="11" width="8.28515625" customWidth="1"/>
    <col min="12" max="12" width="5.5703125" customWidth="1"/>
    <col min="13" max="13" width="5.28515625" customWidth="1"/>
    <col min="14" max="14" width="6.7109375" customWidth="1"/>
    <col min="15" max="15" width="4" customWidth="1"/>
    <col min="16" max="16" width="6" customWidth="1"/>
    <col min="17" max="17" width="3.85546875" customWidth="1"/>
    <col min="18" max="18" width="6.140625" customWidth="1"/>
    <col min="19" max="19" width="4.85546875" customWidth="1"/>
    <col min="20" max="20" width="13" customWidth="1"/>
    <col min="21" max="21" width="0.28515625" customWidth="1"/>
    <col min="22" max="22" width="6" customWidth="1"/>
    <col min="23" max="23" width="0.42578125" customWidth="1"/>
    <col min="24" max="24" width="4.42578125" customWidth="1"/>
    <col min="25" max="25" width="3" customWidth="1"/>
    <col min="26" max="26" width="7.28515625" customWidth="1"/>
    <col min="27" max="27" width="1" customWidth="1"/>
    <col min="28" max="28" width="3.85546875" customWidth="1"/>
  </cols>
  <sheetData>
    <row r="1" spans="1:28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</row>
    <row r="2" spans="1:28" ht="1.7" customHeight="1">
      <c r="A2" s="3"/>
      <c r="B2" s="19" t="s">
        <v>0</v>
      </c>
      <c r="C2" s="10"/>
      <c r="D2" s="10"/>
      <c r="E2" s="10"/>
      <c r="F2" s="10"/>
      <c r="G2" s="11"/>
      <c r="H2" s="19" t="s">
        <v>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9" t="s">
        <v>2</v>
      </c>
      <c r="W2" s="4"/>
      <c r="X2" s="1"/>
      <c r="Y2" s="1"/>
      <c r="Z2" s="1"/>
      <c r="AA2" s="1"/>
      <c r="AB2" s="1"/>
    </row>
    <row r="3" spans="1:28" ht="11.25" customHeight="1">
      <c r="A3" s="3"/>
      <c r="B3" s="12"/>
      <c r="C3" s="13"/>
      <c r="D3" s="13"/>
      <c r="E3" s="13"/>
      <c r="F3" s="13"/>
      <c r="G3" s="14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1"/>
      <c r="W3" s="4"/>
      <c r="X3" s="1"/>
      <c r="Y3" s="8" t="s">
        <v>3</v>
      </c>
      <c r="Z3" s="18"/>
      <c r="AA3" s="18"/>
      <c r="AB3" s="1"/>
    </row>
    <row r="4" spans="1:28" ht="5.0999999999999996" customHeight="1">
      <c r="A4" s="3"/>
      <c r="B4" s="15"/>
      <c r="C4" s="16"/>
      <c r="D4" s="16"/>
      <c r="E4" s="16"/>
      <c r="F4" s="16"/>
      <c r="G4" s="17"/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22"/>
      <c r="W4" s="4"/>
      <c r="X4" s="1"/>
      <c r="Y4" s="1"/>
      <c r="Z4" s="1"/>
      <c r="AA4" s="1"/>
      <c r="AB4" s="1"/>
    </row>
    <row r="5" spans="1:28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  <c r="AA5" s="1"/>
      <c r="AB5" s="1"/>
    </row>
    <row r="6" spans="1:28" ht="11.25" customHeight="1">
      <c r="A6" s="1"/>
      <c r="B6" s="1"/>
      <c r="C6" s="1" t="s">
        <v>2169</v>
      </c>
      <c r="D6" s="1"/>
      <c r="E6" s="1"/>
      <c r="F6" s="1"/>
      <c r="G6" s="1"/>
      <c r="H6" s="1"/>
      <c r="I6" s="1" t="s">
        <v>2170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8" t="s">
        <v>7</v>
      </c>
      <c r="W6" s="18"/>
      <c r="X6" s="18"/>
      <c r="Y6" s="1"/>
      <c r="Z6" s="5" t="s">
        <v>738</v>
      </c>
      <c r="AA6" s="1"/>
      <c r="AB6" s="1"/>
    </row>
    <row r="7" spans="1:28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1.25" customHeight="1">
      <c r="A8" s="1"/>
      <c r="B8" s="1"/>
      <c r="C8" s="8" t="s">
        <v>739</v>
      </c>
      <c r="D8" s="18"/>
      <c r="E8" s="1"/>
      <c r="F8" s="1"/>
      <c r="G8" s="1"/>
      <c r="H8" s="1"/>
      <c r="I8" s="8" t="s">
        <v>740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"/>
      <c r="U8" s="8" t="s">
        <v>7</v>
      </c>
      <c r="V8" s="18"/>
      <c r="W8" s="18"/>
      <c r="X8" s="1"/>
      <c r="Y8" s="1"/>
      <c r="Z8" s="5" t="s">
        <v>741</v>
      </c>
      <c r="AA8" s="1"/>
      <c r="AB8" s="1"/>
    </row>
    <row r="9" spans="1:28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1.25" customHeight="1">
      <c r="A10" s="1"/>
      <c r="B10" s="1"/>
      <c r="C10" s="8" t="s">
        <v>742</v>
      </c>
      <c r="D10" s="18"/>
      <c r="E10" s="18"/>
      <c r="F10" s="1"/>
      <c r="G10" s="1"/>
      <c r="H10" s="1"/>
      <c r="I10" s="8" t="s">
        <v>743</v>
      </c>
      <c r="J10" s="18"/>
      <c r="K10" s="18"/>
      <c r="L10" s="18"/>
      <c r="M10" s="18"/>
      <c r="N10" s="18"/>
      <c r="O10" s="18"/>
      <c r="P10" s="18"/>
      <c r="Q10" s="18"/>
      <c r="R10" s="18"/>
      <c r="S10" s="1"/>
      <c r="T10" s="1"/>
      <c r="U10" s="8" t="s">
        <v>7</v>
      </c>
      <c r="V10" s="18"/>
      <c r="W10" s="18"/>
      <c r="X10" s="1"/>
      <c r="Y10" s="1"/>
      <c r="Z10" s="5" t="s">
        <v>744</v>
      </c>
      <c r="AA10" s="1"/>
      <c r="AB10" s="1"/>
    </row>
    <row r="11" spans="1:28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1.25" customHeight="1">
      <c r="A12" s="1"/>
      <c r="B12" s="1"/>
      <c r="C12" s="8" t="s">
        <v>745</v>
      </c>
      <c r="D12" s="18"/>
      <c r="E12" s="1"/>
      <c r="F12" s="1"/>
      <c r="G12" s="1"/>
      <c r="H12" s="1"/>
      <c r="I12" s="8" t="s">
        <v>746</v>
      </c>
      <c r="J12" s="18"/>
      <c r="K12" s="18"/>
      <c r="L12" s="18"/>
      <c r="M12" s="18"/>
      <c r="N12" s="18"/>
      <c r="O12" s="1"/>
      <c r="P12" s="1"/>
      <c r="Q12" s="1"/>
      <c r="R12" s="1"/>
      <c r="S12" s="1"/>
      <c r="T12" s="1"/>
      <c r="U12" s="8" t="s">
        <v>7</v>
      </c>
      <c r="V12" s="18"/>
      <c r="W12" s="18"/>
      <c r="X12" s="1"/>
      <c r="Y12" s="1"/>
      <c r="Z12" s="5" t="s">
        <v>56</v>
      </c>
      <c r="AA12" s="1"/>
      <c r="AB12" s="1"/>
    </row>
    <row r="13" spans="1:28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1.25" customHeight="1">
      <c r="A14" s="1"/>
      <c r="B14" s="1"/>
      <c r="C14" s="8" t="s">
        <v>747</v>
      </c>
      <c r="D14" s="18"/>
      <c r="E14" s="1"/>
      <c r="F14" s="1"/>
      <c r="G14" s="1"/>
      <c r="H14" s="1"/>
      <c r="I14" s="8" t="s">
        <v>748</v>
      </c>
      <c r="J14" s="18"/>
      <c r="K14" s="18"/>
      <c r="L14" s="18"/>
      <c r="M14" s="18"/>
      <c r="N14" s="18"/>
      <c r="O14" s="18"/>
      <c r="P14" s="1"/>
      <c r="Q14" s="1"/>
      <c r="R14" s="1"/>
      <c r="S14" s="1"/>
      <c r="T14" s="1"/>
      <c r="U14" s="8" t="s">
        <v>7</v>
      </c>
      <c r="V14" s="18"/>
      <c r="W14" s="18"/>
      <c r="X14" s="1"/>
      <c r="Y14" s="1"/>
      <c r="Z14" s="5" t="s">
        <v>56</v>
      </c>
      <c r="AA14" s="1"/>
      <c r="AB14" s="1"/>
    </row>
    <row r="15" spans="1:28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1.25" customHeight="1">
      <c r="A16" s="1"/>
      <c r="B16" s="1"/>
      <c r="C16" s="8" t="s">
        <v>749</v>
      </c>
      <c r="D16" s="18"/>
      <c r="E16" s="1"/>
      <c r="F16" s="1"/>
      <c r="G16" s="1"/>
      <c r="H16" s="1"/>
      <c r="I16" s="8" t="s">
        <v>750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"/>
      <c r="U16" s="8" t="s">
        <v>7</v>
      </c>
      <c r="V16" s="18"/>
      <c r="W16" s="18"/>
      <c r="X16" s="1"/>
      <c r="Y16" s="1"/>
      <c r="Z16" s="5" t="s">
        <v>56</v>
      </c>
      <c r="AA16" s="1"/>
      <c r="AB16" s="1"/>
    </row>
    <row r="17" spans="1:28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1.25" customHeight="1">
      <c r="A18" s="1"/>
      <c r="B18" s="1"/>
      <c r="C18" s="8" t="s">
        <v>751</v>
      </c>
      <c r="D18" s="18"/>
      <c r="E18" s="1"/>
      <c r="F18" s="1"/>
      <c r="G18" s="1"/>
      <c r="H18" s="1"/>
      <c r="I18" s="8" t="s">
        <v>752</v>
      </c>
      <c r="J18" s="18"/>
      <c r="K18" s="18"/>
      <c r="L18" s="18"/>
      <c r="M18" s="18"/>
      <c r="N18" s="18"/>
      <c r="O18" s="18"/>
      <c r="P18" s="18"/>
      <c r="Q18" s="1"/>
      <c r="R18" s="1"/>
      <c r="S18" s="1"/>
      <c r="T18" s="1"/>
      <c r="U18" s="8" t="s">
        <v>7</v>
      </c>
      <c r="V18" s="18"/>
      <c r="W18" s="18"/>
      <c r="X18" s="1"/>
      <c r="Y18" s="1"/>
      <c r="Z18" s="5" t="s">
        <v>56</v>
      </c>
      <c r="AA18" s="1"/>
      <c r="AB18" s="1"/>
    </row>
    <row r="19" spans="1:28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1.25" customHeight="1">
      <c r="A20" s="1"/>
      <c r="B20" s="1"/>
      <c r="C20" s="8" t="s">
        <v>753</v>
      </c>
      <c r="D20" s="18"/>
      <c r="E20" s="1"/>
      <c r="F20" s="1"/>
      <c r="G20" s="1"/>
      <c r="H20" s="1"/>
      <c r="I20" s="8" t="s">
        <v>754</v>
      </c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8" t="s">
        <v>7</v>
      </c>
      <c r="V20" s="18"/>
      <c r="W20" s="18"/>
      <c r="X20" s="1"/>
      <c r="Y20" s="8" t="s">
        <v>755</v>
      </c>
      <c r="Z20" s="18"/>
      <c r="AA20" s="1"/>
      <c r="AB20" s="1"/>
    </row>
    <row r="21" spans="1:28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1.25" customHeight="1">
      <c r="A22" s="1"/>
      <c r="B22" s="1"/>
      <c r="C22" s="8" t="s">
        <v>756</v>
      </c>
      <c r="D22" s="18"/>
      <c r="E22" s="1"/>
      <c r="F22" s="1"/>
      <c r="G22" s="1"/>
      <c r="H22" s="1"/>
      <c r="I22" s="8" t="s">
        <v>757</v>
      </c>
      <c r="J22" s="18"/>
      <c r="K22" s="18"/>
      <c r="L22" s="1"/>
      <c r="M22" s="1"/>
      <c r="N22" s="1"/>
      <c r="O22" s="1"/>
      <c r="P22" s="1"/>
      <c r="Q22" s="1"/>
      <c r="R22" s="1"/>
      <c r="S22" s="1"/>
      <c r="T22" s="1"/>
      <c r="U22" s="8" t="s">
        <v>7</v>
      </c>
      <c r="V22" s="18"/>
      <c r="W22" s="18"/>
      <c r="X22" s="1"/>
      <c r="Y22" s="1"/>
      <c r="Z22" s="5" t="s">
        <v>592</v>
      </c>
      <c r="AA22" s="1"/>
      <c r="AB22" s="1"/>
    </row>
    <row r="23" spans="1:28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1.25" customHeight="1">
      <c r="A24" s="1"/>
      <c r="B24" s="1"/>
      <c r="C24" s="8" t="s">
        <v>758</v>
      </c>
      <c r="D24" s="18"/>
      <c r="E24" s="1"/>
      <c r="F24" s="1"/>
      <c r="G24" s="1"/>
      <c r="H24" s="1"/>
      <c r="I24" s="8" t="s">
        <v>759</v>
      </c>
      <c r="J24" s="18"/>
      <c r="K24" s="18"/>
      <c r="L24" s="1"/>
      <c r="M24" s="1"/>
      <c r="N24" s="1"/>
      <c r="O24" s="1"/>
      <c r="P24" s="1"/>
      <c r="Q24" s="1"/>
      <c r="R24" s="1"/>
      <c r="S24" s="1"/>
      <c r="T24" s="1"/>
      <c r="U24" s="8" t="s">
        <v>7</v>
      </c>
      <c r="V24" s="18"/>
      <c r="W24" s="18"/>
      <c r="X24" s="1"/>
      <c r="Y24" s="1"/>
      <c r="Z24" s="5" t="s">
        <v>239</v>
      </c>
      <c r="AA24" s="1"/>
      <c r="AB24" s="1"/>
    </row>
    <row r="25" spans="1:28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1.25" customHeight="1">
      <c r="A26" s="1"/>
      <c r="B26" s="1"/>
      <c r="C26" s="8" t="s">
        <v>760</v>
      </c>
      <c r="D26" s="18"/>
      <c r="E26" s="1"/>
      <c r="F26" s="1"/>
      <c r="G26" s="1"/>
      <c r="H26" s="1"/>
      <c r="I26" s="8" t="s">
        <v>761</v>
      </c>
      <c r="J26" s="18"/>
      <c r="K26" s="18"/>
      <c r="L26" s="18"/>
      <c r="M26" s="18"/>
      <c r="N26" s="18"/>
      <c r="O26" s="18"/>
      <c r="P26" s="1"/>
      <c r="Q26" s="1"/>
      <c r="R26" s="1"/>
      <c r="S26" s="1"/>
      <c r="T26" s="1"/>
      <c r="U26" s="8" t="s">
        <v>7</v>
      </c>
      <c r="V26" s="18"/>
      <c r="W26" s="18"/>
      <c r="X26" s="1"/>
      <c r="Y26" s="1"/>
      <c r="Z26" s="5" t="s">
        <v>762</v>
      </c>
      <c r="AA26" s="1"/>
      <c r="AB26" s="1"/>
    </row>
    <row r="27" spans="1:28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1.25" customHeight="1">
      <c r="A28" s="1"/>
      <c r="B28" s="1"/>
      <c r="C28" s="8" t="s">
        <v>763</v>
      </c>
      <c r="D28" s="18"/>
      <c r="E28" s="1"/>
      <c r="F28" s="1"/>
      <c r="G28" s="1"/>
      <c r="H28" s="1"/>
      <c r="I28" s="8" t="s">
        <v>764</v>
      </c>
      <c r="J28" s="18"/>
      <c r="K28" s="18"/>
      <c r="L28" s="18"/>
      <c r="M28" s="1"/>
      <c r="N28" s="1"/>
      <c r="O28" s="1"/>
      <c r="P28" s="1"/>
      <c r="Q28" s="1"/>
      <c r="R28" s="1"/>
      <c r="S28" s="1"/>
      <c r="T28" s="1"/>
      <c r="U28" s="8" t="s">
        <v>7</v>
      </c>
      <c r="V28" s="18"/>
      <c r="W28" s="18"/>
      <c r="X28" s="1"/>
      <c r="Y28" s="1"/>
      <c r="Z28" s="5" t="s">
        <v>411</v>
      </c>
      <c r="AA28" s="1"/>
      <c r="AB28" s="1"/>
    </row>
    <row r="29" spans="1:28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1.25" customHeight="1">
      <c r="A30" s="1"/>
      <c r="B30" s="1"/>
      <c r="C30" s="8" t="s">
        <v>765</v>
      </c>
      <c r="D30" s="18"/>
      <c r="E30" s="1"/>
      <c r="F30" s="1"/>
      <c r="G30" s="1"/>
      <c r="H30" s="1"/>
      <c r="I30" s="8" t="s">
        <v>591</v>
      </c>
      <c r="J30" s="18"/>
      <c r="K30" s="18"/>
      <c r="L30" s="18"/>
      <c r="M30" s="18"/>
      <c r="N30" s="1"/>
      <c r="O30" s="1"/>
      <c r="P30" s="1"/>
      <c r="Q30" s="1"/>
      <c r="R30" s="1"/>
      <c r="S30" s="1"/>
      <c r="T30" s="1"/>
      <c r="U30" s="8" t="s">
        <v>7</v>
      </c>
      <c r="V30" s="18"/>
      <c r="W30" s="18"/>
      <c r="X30" s="1"/>
      <c r="Y30" s="1"/>
      <c r="Z30" s="5" t="s">
        <v>257</v>
      </c>
      <c r="AA30" s="1"/>
      <c r="AB30" s="1"/>
    </row>
    <row r="31" spans="1:28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1.25" customHeight="1">
      <c r="A32" s="1"/>
      <c r="B32" s="1"/>
      <c r="C32" s="8" t="s">
        <v>766</v>
      </c>
      <c r="D32" s="18"/>
      <c r="E32" s="1"/>
      <c r="F32" s="1"/>
      <c r="G32" s="1"/>
      <c r="H32" s="1"/>
      <c r="I32" s="8" t="s">
        <v>767</v>
      </c>
      <c r="J32" s="18"/>
      <c r="K32" s="18"/>
      <c r="L32" s="18"/>
      <c r="M32" s="18"/>
      <c r="N32" s="1"/>
      <c r="O32" s="1"/>
      <c r="P32" s="1"/>
      <c r="Q32" s="1"/>
      <c r="R32" s="1"/>
      <c r="S32" s="1"/>
      <c r="T32" s="1"/>
      <c r="U32" s="8" t="s">
        <v>7</v>
      </c>
      <c r="V32" s="18"/>
      <c r="W32" s="18"/>
      <c r="X32" s="1"/>
      <c r="Y32" s="1"/>
      <c r="Z32" s="5" t="s">
        <v>33</v>
      </c>
      <c r="AA32" s="1"/>
      <c r="AB32" s="1"/>
    </row>
    <row r="33" spans="1:28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1.25" customHeight="1">
      <c r="A34" s="1"/>
      <c r="B34" s="1"/>
      <c r="C34" s="8" t="s">
        <v>768</v>
      </c>
      <c r="D34" s="18"/>
      <c r="E34" s="1"/>
      <c r="F34" s="1"/>
      <c r="G34" s="1"/>
      <c r="H34" s="1"/>
      <c r="I34" s="8" t="s">
        <v>769</v>
      </c>
      <c r="J34" s="18"/>
      <c r="K34" s="18"/>
      <c r="L34" s="18"/>
      <c r="M34" s="1"/>
      <c r="N34" s="1"/>
      <c r="O34" s="1"/>
      <c r="P34" s="1"/>
      <c r="Q34" s="1"/>
      <c r="R34" s="1"/>
      <c r="S34" s="1"/>
      <c r="T34" s="1"/>
      <c r="U34" s="8" t="s">
        <v>7</v>
      </c>
      <c r="V34" s="18"/>
      <c r="W34" s="18"/>
      <c r="X34" s="1"/>
      <c r="Y34" s="1"/>
      <c r="Z34" s="5" t="s">
        <v>770</v>
      </c>
      <c r="AA34" s="1"/>
      <c r="AB34" s="1"/>
    </row>
    <row r="35" spans="1:28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1.25" customHeight="1">
      <c r="A36" s="1"/>
      <c r="B36" s="1"/>
      <c r="C36" s="8" t="s">
        <v>771</v>
      </c>
      <c r="D36" s="18"/>
      <c r="E36" s="1"/>
      <c r="F36" s="1"/>
      <c r="G36" s="1"/>
      <c r="H36" s="1"/>
      <c r="I36" s="8" t="s">
        <v>772</v>
      </c>
      <c r="J36" s="18"/>
      <c r="K36" s="18"/>
      <c r="L36" s="18"/>
      <c r="M36" s="18"/>
      <c r="N36" s="18"/>
      <c r="O36" s="18"/>
      <c r="P36" s="18"/>
      <c r="Q36" s="1"/>
      <c r="R36" s="1"/>
      <c r="S36" s="1"/>
      <c r="T36" s="1"/>
      <c r="U36" s="8" t="s">
        <v>7</v>
      </c>
      <c r="V36" s="18"/>
      <c r="W36" s="18"/>
      <c r="X36" s="1"/>
      <c r="Y36" s="1"/>
      <c r="Z36" s="5" t="s">
        <v>604</v>
      </c>
      <c r="AA36" s="1"/>
      <c r="AB36" s="1"/>
    </row>
    <row r="37" spans="1:28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1.25" customHeight="1">
      <c r="A38" s="1"/>
      <c r="B38" s="1"/>
      <c r="C38" s="8" t="s">
        <v>773</v>
      </c>
      <c r="D38" s="18"/>
      <c r="E38" s="1"/>
      <c r="F38" s="1"/>
      <c r="G38" s="1"/>
      <c r="H38" s="1"/>
      <c r="I38" s="8" t="s">
        <v>774</v>
      </c>
      <c r="J38" s="18"/>
      <c r="K38" s="18"/>
      <c r="L38" s="18"/>
      <c r="M38" s="18"/>
      <c r="N38" s="1"/>
      <c r="O38" s="1"/>
      <c r="P38" s="1"/>
      <c r="Q38" s="1"/>
      <c r="R38" s="1"/>
      <c r="S38" s="1"/>
      <c r="T38" s="1"/>
      <c r="U38" s="8" t="s">
        <v>7</v>
      </c>
      <c r="V38" s="18"/>
      <c r="W38" s="18"/>
      <c r="X38" s="1"/>
      <c r="Y38" s="1"/>
      <c r="Z38" s="5" t="s">
        <v>775</v>
      </c>
      <c r="AA38" s="1"/>
      <c r="AB38" s="1"/>
    </row>
    <row r="39" spans="1:28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1.25" customHeight="1">
      <c r="A40" s="1"/>
      <c r="B40" s="1"/>
      <c r="C40" s="8" t="s">
        <v>776</v>
      </c>
      <c r="D40" s="18"/>
      <c r="E40" s="1"/>
      <c r="F40" s="1"/>
      <c r="G40" s="1"/>
      <c r="H40" s="1"/>
      <c r="I40" s="8" t="s">
        <v>777</v>
      </c>
      <c r="J40" s="18"/>
      <c r="K40" s="18"/>
      <c r="L40" s="18"/>
      <c r="M40" s="18"/>
      <c r="N40" s="18"/>
      <c r="O40" s="18"/>
      <c r="P40" s="18"/>
      <c r="Q40" s="18"/>
      <c r="R40" s="18"/>
      <c r="S40" s="1"/>
      <c r="T40" s="1"/>
      <c r="U40" s="8" t="s">
        <v>7</v>
      </c>
      <c r="V40" s="18"/>
      <c r="W40" s="18"/>
      <c r="X40" s="1"/>
      <c r="Y40" s="1"/>
      <c r="Z40" s="5" t="s">
        <v>557</v>
      </c>
      <c r="AA40" s="1"/>
      <c r="AB40" s="1"/>
    </row>
    <row r="41" spans="1:28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1.25" customHeight="1">
      <c r="A42" s="1"/>
      <c r="B42" s="1"/>
      <c r="C42" s="8" t="s">
        <v>778</v>
      </c>
      <c r="D42" s="18"/>
      <c r="E42" s="1"/>
      <c r="F42" s="1"/>
      <c r="G42" s="1"/>
      <c r="H42" s="1"/>
      <c r="I42" s="8" t="s">
        <v>779</v>
      </c>
      <c r="J42" s="18"/>
      <c r="K42" s="18"/>
      <c r="L42" s="18"/>
      <c r="M42" s="18"/>
      <c r="N42" s="18"/>
      <c r="O42" s="18"/>
      <c r="P42" s="18"/>
      <c r="Q42" s="1"/>
      <c r="R42" s="1"/>
      <c r="S42" s="1"/>
      <c r="T42" s="1"/>
      <c r="U42" s="8" t="s">
        <v>7</v>
      </c>
      <c r="V42" s="18"/>
      <c r="W42" s="18"/>
      <c r="X42" s="1"/>
      <c r="Y42" s="1"/>
      <c r="Z42" s="5" t="s">
        <v>770</v>
      </c>
      <c r="AA42" s="1"/>
      <c r="AB42" s="1"/>
    </row>
    <row r="43" spans="1:28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1.25" customHeight="1">
      <c r="A44" s="1"/>
      <c r="B44" s="1"/>
      <c r="C44" s="8" t="s">
        <v>780</v>
      </c>
      <c r="D44" s="18"/>
      <c r="E44" s="1"/>
      <c r="F44" s="1"/>
      <c r="G44" s="1"/>
      <c r="H44" s="1"/>
      <c r="I44" s="8" t="s">
        <v>781</v>
      </c>
      <c r="J44" s="18"/>
      <c r="K44" s="18"/>
      <c r="L44" s="18"/>
      <c r="M44" s="1"/>
      <c r="N44" s="1"/>
      <c r="O44" s="1"/>
      <c r="P44" s="1"/>
      <c r="Q44" s="1"/>
      <c r="R44" s="1"/>
      <c r="S44" s="1"/>
      <c r="T44" s="1"/>
      <c r="U44" s="8" t="s">
        <v>7</v>
      </c>
      <c r="V44" s="18"/>
      <c r="W44" s="18"/>
      <c r="X44" s="1"/>
      <c r="Y44" s="1"/>
      <c r="Z44" s="5" t="s">
        <v>137</v>
      </c>
      <c r="AA44" s="1"/>
      <c r="AB44" s="1"/>
    </row>
    <row r="45" spans="1:28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1.25" customHeight="1">
      <c r="A46" s="1"/>
      <c r="B46" s="1"/>
      <c r="C46" s="8" t="s">
        <v>782</v>
      </c>
      <c r="D46" s="18"/>
      <c r="E46" s="1"/>
      <c r="F46" s="1"/>
      <c r="G46" s="1"/>
      <c r="H46" s="1"/>
      <c r="I46" s="8" t="s">
        <v>783</v>
      </c>
      <c r="J46" s="18"/>
      <c r="K46" s="18"/>
      <c r="L46" s="18"/>
      <c r="M46" s="18"/>
      <c r="N46" s="1"/>
      <c r="O46" s="1"/>
      <c r="P46" s="1"/>
      <c r="Q46" s="1"/>
      <c r="R46" s="1"/>
      <c r="S46" s="1"/>
      <c r="T46" s="1"/>
      <c r="U46" s="8" t="s">
        <v>7</v>
      </c>
      <c r="V46" s="18"/>
      <c r="W46" s="18"/>
      <c r="X46" s="1"/>
      <c r="Y46" s="1"/>
      <c r="Z46" s="5" t="s">
        <v>295</v>
      </c>
      <c r="AA46" s="1"/>
      <c r="AB46" s="1"/>
    </row>
    <row r="47" spans="1:28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1.25" customHeight="1">
      <c r="A48" s="1"/>
      <c r="B48" s="1"/>
      <c r="C48" s="8" t="s">
        <v>784</v>
      </c>
      <c r="D48" s="18"/>
      <c r="E48" s="1"/>
      <c r="F48" s="1"/>
      <c r="G48" s="1"/>
      <c r="H48" s="1"/>
      <c r="I48" s="8" t="s">
        <v>785</v>
      </c>
      <c r="J48" s="18"/>
      <c r="K48" s="18"/>
      <c r="L48" s="18"/>
      <c r="M48" s="18"/>
      <c r="N48" s="18"/>
      <c r="O48" s="18"/>
      <c r="P48" s="18"/>
      <c r="Q48" s="18"/>
      <c r="R48" s="1"/>
      <c r="S48" s="1"/>
      <c r="T48" s="1"/>
      <c r="U48" s="8" t="s">
        <v>7</v>
      </c>
      <c r="V48" s="18"/>
      <c r="W48" s="18"/>
      <c r="X48" s="1"/>
      <c r="Y48" s="1"/>
      <c r="Z48" s="5" t="s">
        <v>513</v>
      </c>
      <c r="AA48" s="1"/>
      <c r="AB48" s="1"/>
    </row>
    <row r="49" spans="1:28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1.25" customHeight="1">
      <c r="A50" s="1"/>
      <c r="B50" s="1"/>
      <c r="C50" s="8" t="s">
        <v>786</v>
      </c>
      <c r="D50" s="18"/>
      <c r="E50" s="1"/>
      <c r="F50" s="1"/>
      <c r="G50" s="1"/>
      <c r="H50" s="1"/>
      <c r="I50" s="8" t="s">
        <v>787</v>
      </c>
      <c r="J50" s="18"/>
      <c r="K50" s="18"/>
      <c r="L50" s="18"/>
      <c r="M50" s="18"/>
      <c r="N50" s="18"/>
      <c r="O50" s="1"/>
      <c r="P50" s="1"/>
      <c r="Q50" s="1"/>
      <c r="R50" s="1"/>
      <c r="S50" s="1"/>
      <c r="T50" s="1"/>
      <c r="U50" s="8" t="s">
        <v>7</v>
      </c>
      <c r="V50" s="18"/>
      <c r="W50" s="18"/>
      <c r="X50" s="1"/>
      <c r="Y50" s="1"/>
      <c r="Z50" s="5" t="s">
        <v>604</v>
      </c>
      <c r="AA50" s="1"/>
      <c r="AB50" s="1"/>
    </row>
    <row r="51" spans="1:28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1.25" customHeight="1">
      <c r="A52" s="1"/>
      <c r="B52" s="1"/>
      <c r="C52" s="8" t="s">
        <v>788</v>
      </c>
      <c r="D52" s="18"/>
      <c r="E52" s="1"/>
      <c r="F52" s="1"/>
      <c r="G52" s="1"/>
      <c r="H52" s="1"/>
      <c r="I52" s="8" t="s">
        <v>789</v>
      </c>
      <c r="J52" s="18"/>
      <c r="K52" s="18"/>
      <c r="L52" s="18"/>
      <c r="M52" s="18"/>
      <c r="N52" s="18"/>
      <c r="O52" s="18"/>
      <c r="P52" s="18"/>
      <c r="Q52" s="1"/>
      <c r="R52" s="1"/>
      <c r="S52" s="1"/>
      <c r="T52" s="1"/>
      <c r="U52" s="8" t="s">
        <v>7</v>
      </c>
      <c r="V52" s="18"/>
      <c r="W52" s="18"/>
      <c r="X52" s="1"/>
      <c r="Y52" s="1"/>
      <c r="Z52" s="5" t="s">
        <v>790</v>
      </c>
      <c r="AA52" s="1"/>
      <c r="AB52" s="1"/>
    </row>
    <row r="53" spans="1:28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1.25" customHeight="1">
      <c r="A54" s="1"/>
      <c r="B54" s="1"/>
      <c r="C54" s="8" t="s">
        <v>791</v>
      </c>
      <c r="D54" s="18"/>
      <c r="E54" s="1"/>
      <c r="F54" s="1"/>
      <c r="G54" s="1"/>
      <c r="H54" s="1"/>
      <c r="I54" s="8" t="s">
        <v>792</v>
      </c>
      <c r="J54" s="18"/>
      <c r="K54" s="18"/>
      <c r="L54" s="18"/>
      <c r="M54" s="18"/>
      <c r="N54" s="18"/>
      <c r="O54" s="1"/>
      <c r="P54" s="1"/>
      <c r="Q54" s="1"/>
      <c r="R54" s="1"/>
      <c r="S54" s="1"/>
      <c r="T54" s="1"/>
      <c r="U54" s="8" t="s">
        <v>7</v>
      </c>
      <c r="V54" s="18"/>
      <c r="W54" s="18"/>
      <c r="X54" s="1"/>
      <c r="Y54" s="1"/>
      <c r="Z54" s="5" t="s">
        <v>513</v>
      </c>
      <c r="AA54" s="1"/>
      <c r="AB54" s="1"/>
    </row>
    <row r="55" spans="1:28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1.25" customHeight="1">
      <c r="A56" s="1"/>
      <c r="B56" s="1"/>
      <c r="C56" s="8" t="s">
        <v>793</v>
      </c>
      <c r="D56" s="18"/>
      <c r="E56" s="1"/>
      <c r="F56" s="1"/>
      <c r="G56" s="1"/>
      <c r="H56" s="1"/>
      <c r="I56" s="8" t="s">
        <v>794</v>
      </c>
      <c r="J56" s="18"/>
      <c r="K56" s="18"/>
      <c r="L56" s="18"/>
      <c r="M56" s="18"/>
      <c r="N56" s="18"/>
      <c r="O56" s="18"/>
      <c r="P56" s="1"/>
      <c r="Q56" s="1"/>
      <c r="R56" s="1"/>
      <c r="S56" s="1"/>
      <c r="T56" s="1"/>
      <c r="U56" s="8" t="s">
        <v>7</v>
      </c>
      <c r="V56" s="18"/>
      <c r="W56" s="18"/>
      <c r="X56" s="1"/>
      <c r="Y56" s="1"/>
      <c r="Z56" s="5" t="s">
        <v>640</v>
      </c>
      <c r="AA56" s="1"/>
      <c r="AB56" s="1"/>
    </row>
    <row r="57" spans="1:28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1.25" customHeight="1">
      <c r="A58" s="1"/>
      <c r="B58" s="1"/>
      <c r="C58" s="8" t="s">
        <v>795</v>
      </c>
      <c r="D58" s="18"/>
      <c r="E58" s="1"/>
      <c r="F58" s="1"/>
      <c r="G58" s="1"/>
      <c r="H58" s="1"/>
      <c r="I58" s="8" t="s">
        <v>796</v>
      </c>
      <c r="J58" s="18"/>
      <c r="K58" s="18"/>
      <c r="L58" s="18"/>
      <c r="M58" s="18"/>
      <c r="N58" s="18"/>
      <c r="O58" s="18"/>
      <c r="P58" s="1"/>
      <c r="Q58" s="1"/>
      <c r="R58" s="1"/>
      <c r="S58" s="1"/>
      <c r="T58" s="1"/>
      <c r="U58" s="8" t="s">
        <v>7</v>
      </c>
      <c r="V58" s="18"/>
      <c r="W58" s="18"/>
      <c r="X58" s="1"/>
      <c r="Y58" s="1"/>
      <c r="Z58" s="5" t="s">
        <v>540</v>
      </c>
      <c r="AA58" s="1"/>
      <c r="AB58" s="1"/>
    </row>
    <row r="59" spans="1:28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1.25" customHeight="1">
      <c r="A60" s="1"/>
      <c r="B60" s="1"/>
      <c r="C60" s="8" t="s">
        <v>797</v>
      </c>
      <c r="D60" s="18"/>
      <c r="E60" s="1"/>
      <c r="F60" s="1"/>
      <c r="G60" s="1"/>
      <c r="H60" s="1"/>
      <c r="I60" s="8" t="s">
        <v>798</v>
      </c>
      <c r="J60" s="18"/>
      <c r="K60" s="18"/>
      <c r="L60" s="18"/>
      <c r="M60" s="18"/>
      <c r="N60" s="18"/>
      <c r="O60" s="18"/>
      <c r="P60" s="1"/>
      <c r="Q60" s="1"/>
      <c r="R60" s="1"/>
      <c r="S60" s="1"/>
      <c r="T60" s="1"/>
      <c r="U60" s="8" t="s">
        <v>7</v>
      </c>
      <c r="V60" s="18"/>
      <c r="W60" s="18"/>
      <c r="X60" s="1"/>
      <c r="Y60" s="1"/>
      <c r="Z60" s="5" t="s">
        <v>513</v>
      </c>
      <c r="AA60" s="1"/>
      <c r="AB60" s="1"/>
    </row>
    <row r="61" spans="1:28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1.25" customHeight="1">
      <c r="A62" s="1"/>
      <c r="B62" s="1"/>
      <c r="C62" s="8" t="s">
        <v>799</v>
      </c>
      <c r="D62" s="18"/>
      <c r="E62" s="1"/>
      <c r="F62" s="1"/>
      <c r="G62" s="1"/>
      <c r="H62" s="1"/>
      <c r="I62" s="8" t="s">
        <v>800</v>
      </c>
      <c r="J62" s="18"/>
      <c r="K62" s="18"/>
      <c r="L62" s="18"/>
      <c r="M62" s="18"/>
      <c r="N62" s="1"/>
      <c r="O62" s="1"/>
      <c r="P62" s="1"/>
      <c r="Q62" s="1"/>
      <c r="R62" s="1"/>
      <c r="S62" s="1"/>
      <c r="T62" s="1"/>
      <c r="U62" s="8" t="s">
        <v>7</v>
      </c>
      <c r="V62" s="18"/>
      <c r="W62" s="18"/>
      <c r="X62" s="1"/>
      <c r="Y62" s="1"/>
      <c r="Z62" s="5" t="s">
        <v>801</v>
      </c>
      <c r="AA62" s="1"/>
      <c r="AB62" s="1"/>
    </row>
    <row r="63" spans="1:28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1.25" customHeight="1">
      <c r="A64" s="1"/>
      <c r="B64" s="1"/>
      <c r="C64" s="8" t="s">
        <v>802</v>
      </c>
      <c r="D64" s="18"/>
      <c r="E64" s="1"/>
      <c r="F64" s="1"/>
      <c r="G64" s="1"/>
      <c r="H64" s="1"/>
      <c r="I64" s="8" t="s">
        <v>803</v>
      </c>
      <c r="J64" s="18"/>
      <c r="K64" s="18"/>
      <c r="L64" s="1"/>
      <c r="M64" s="1"/>
      <c r="N64" s="1"/>
      <c r="O64" s="1"/>
      <c r="P64" s="1"/>
      <c r="Q64" s="1"/>
      <c r="R64" s="1"/>
      <c r="S64" s="1"/>
      <c r="T64" s="1"/>
      <c r="U64" s="8" t="s">
        <v>7</v>
      </c>
      <c r="V64" s="18"/>
      <c r="W64" s="18"/>
      <c r="X64" s="1"/>
      <c r="Y64" s="1"/>
      <c r="Z64" s="5" t="s">
        <v>692</v>
      </c>
      <c r="AA64" s="1"/>
      <c r="AB64" s="1"/>
    </row>
    <row r="65" spans="1:28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1.25" customHeight="1">
      <c r="A66" s="1"/>
      <c r="B66" s="1"/>
      <c r="C66" s="8" t="s">
        <v>804</v>
      </c>
      <c r="D66" s="18"/>
      <c r="E66" s="1"/>
      <c r="F66" s="1"/>
      <c r="G66" s="1"/>
      <c r="H66" s="1"/>
      <c r="I66" s="8" t="s">
        <v>805</v>
      </c>
      <c r="J66" s="18"/>
      <c r="K66" s="18"/>
      <c r="L66" s="18"/>
      <c r="M66" s="18"/>
      <c r="N66" s="18"/>
      <c r="O66" s="18"/>
      <c r="P66" s="18"/>
      <c r="Q66" s="1"/>
      <c r="R66" s="1"/>
      <c r="S66" s="1"/>
      <c r="T66" s="1"/>
      <c r="U66" s="8" t="s">
        <v>7</v>
      </c>
      <c r="V66" s="18"/>
      <c r="W66" s="18"/>
      <c r="X66" s="1"/>
      <c r="Y66" s="1"/>
      <c r="Z66" s="5" t="s">
        <v>604</v>
      </c>
      <c r="AA66" s="1"/>
      <c r="AB66" s="1"/>
    </row>
    <row r="67" spans="1:28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1.25" customHeight="1">
      <c r="A68" s="1"/>
      <c r="B68" s="1"/>
      <c r="C68" s="8" t="s">
        <v>806</v>
      </c>
      <c r="D68" s="18"/>
      <c r="E68" s="1"/>
      <c r="F68" s="1"/>
      <c r="G68" s="1"/>
      <c r="H68" s="1"/>
      <c r="I68" s="8" t="s">
        <v>807</v>
      </c>
      <c r="J68" s="18"/>
      <c r="K68" s="18"/>
      <c r="L68" s="18"/>
      <c r="M68" s="18"/>
      <c r="N68" s="18"/>
      <c r="O68" s="18"/>
      <c r="P68" s="18"/>
      <c r="Q68" s="18"/>
      <c r="R68" s="1"/>
      <c r="S68" s="1"/>
      <c r="T68" s="1"/>
      <c r="U68" s="8" t="s">
        <v>7</v>
      </c>
      <c r="V68" s="18"/>
      <c r="W68" s="18"/>
      <c r="X68" s="1"/>
      <c r="Y68" s="1"/>
      <c r="Z68" s="5" t="s">
        <v>640</v>
      </c>
      <c r="AA68" s="1"/>
      <c r="AB68" s="1"/>
    </row>
    <row r="69" spans="1:28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1.25" customHeight="1">
      <c r="A70" s="1"/>
      <c r="B70" s="1"/>
      <c r="C70" s="8" t="s">
        <v>808</v>
      </c>
      <c r="D70" s="18"/>
      <c r="E70" s="1"/>
      <c r="F70" s="1"/>
      <c r="G70" s="1"/>
      <c r="H70" s="1"/>
      <c r="I70" s="8" t="s">
        <v>809</v>
      </c>
      <c r="J70" s="18"/>
      <c r="K70" s="18"/>
      <c r="L70" s="18"/>
      <c r="M70" s="18"/>
      <c r="N70" s="18"/>
      <c r="O70" s="18"/>
      <c r="P70" s="18"/>
      <c r="Q70" s="18"/>
      <c r="R70" s="1"/>
      <c r="S70" s="1"/>
      <c r="T70" s="1"/>
      <c r="U70" s="8" t="s">
        <v>7</v>
      </c>
      <c r="V70" s="18"/>
      <c r="W70" s="18"/>
      <c r="X70" s="1"/>
      <c r="Y70" s="1"/>
      <c r="Z70" s="5" t="s">
        <v>33</v>
      </c>
      <c r="AA70" s="1"/>
      <c r="AB70" s="1"/>
    </row>
    <row r="71" spans="1:28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1.25" customHeight="1">
      <c r="A72" s="1"/>
      <c r="B72" s="1"/>
      <c r="C72" s="8" t="s">
        <v>810</v>
      </c>
      <c r="D72" s="18"/>
      <c r="E72" s="1"/>
      <c r="F72" s="1"/>
      <c r="G72" s="1"/>
      <c r="H72" s="1"/>
      <c r="I72" s="8" t="s">
        <v>811</v>
      </c>
      <c r="J72" s="18"/>
      <c r="K72" s="18"/>
      <c r="L72" s="18"/>
      <c r="M72" s="18"/>
      <c r="N72" s="18"/>
      <c r="O72" s="18"/>
      <c r="P72" s="18"/>
      <c r="Q72" s="18"/>
      <c r="R72" s="1"/>
      <c r="S72" s="1"/>
      <c r="T72" s="1"/>
      <c r="U72" s="8" t="s">
        <v>7</v>
      </c>
      <c r="V72" s="18"/>
      <c r="W72" s="18"/>
      <c r="X72" s="1"/>
      <c r="Y72" s="1"/>
      <c r="Z72" s="5" t="s">
        <v>812</v>
      </c>
      <c r="AA72" s="1"/>
      <c r="AB72" s="1"/>
    </row>
    <row r="73" spans="1:28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1.25" customHeight="1">
      <c r="A74" s="1"/>
      <c r="B74" s="1"/>
      <c r="C74" s="8" t="s">
        <v>813</v>
      </c>
      <c r="D74" s="18"/>
      <c r="E74" s="1"/>
      <c r="F74" s="1"/>
      <c r="G74" s="1"/>
      <c r="H74" s="1"/>
      <c r="I74" s="8" t="s">
        <v>814</v>
      </c>
      <c r="J74" s="18"/>
      <c r="K74" s="18"/>
      <c r="L74" s="18"/>
      <c r="M74" s="18"/>
      <c r="N74" s="1"/>
      <c r="O74" s="1"/>
      <c r="P74" s="1"/>
      <c r="Q74" s="1"/>
      <c r="R74" s="1"/>
      <c r="S74" s="1"/>
      <c r="T74" s="1"/>
      <c r="U74" s="8" t="s">
        <v>7</v>
      </c>
      <c r="V74" s="18"/>
      <c r="W74" s="18"/>
      <c r="X74" s="1"/>
      <c r="Y74" s="1"/>
      <c r="Z74" s="5" t="s">
        <v>528</v>
      </c>
      <c r="AA74" s="1"/>
      <c r="AB74" s="1"/>
    </row>
    <row r="75" spans="1:28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1.25" customHeight="1">
      <c r="A76" s="1"/>
      <c r="B76" s="1"/>
      <c r="C76" s="8" t="s">
        <v>815</v>
      </c>
      <c r="D76" s="18"/>
      <c r="E76" s="1"/>
      <c r="F76" s="1"/>
      <c r="G76" s="1"/>
      <c r="H76" s="1"/>
      <c r="I76" s="8" t="s">
        <v>816</v>
      </c>
      <c r="J76" s="18"/>
      <c r="K76" s="18"/>
      <c r="L76" s="18"/>
      <c r="M76" s="18"/>
      <c r="N76" s="18"/>
      <c r="O76" s="1"/>
      <c r="P76" s="1"/>
      <c r="Q76" s="1"/>
      <c r="R76" s="1"/>
      <c r="S76" s="1"/>
      <c r="T76" s="1"/>
      <c r="U76" s="8" t="s">
        <v>7</v>
      </c>
      <c r="V76" s="18"/>
      <c r="W76" s="18"/>
      <c r="X76" s="1"/>
      <c r="Y76" s="1"/>
      <c r="Z76" s="5" t="s">
        <v>817</v>
      </c>
      <c r="AA76" s="1"/>
      <c r="AB76" s="1"/>
    </row>
    <row r="77" spans="1:28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1.25" customHeight="1">
      <c r="A78" s="1"/>
      <c r="B78" s="1"/>
      <c r="C78" s="8" t="s">
        <v>818</v>
      </c>
      <c r="D78" s="18"/>
      <c r="E78" s="1"/>
      <c r="F78" s="1"/>
      <c r="G78" s="1"/>
      <c r="H78" s="1"/>
      <c r="I78" s="8" t="s">
        <v>819</v>
      </c>
      <c r="J78" s="18"/>
      <c r="K78" s="18"/>
      <c r="L78" s="18"/>
      <c r="M78" s="1"/>
      <c r="N78" s="1"/>
      <c r="O78" s="1"/>
      <c r="P78" s="1"/>
      <c r="Q78" s="1"/>
      <c r="R78" s="1"/>
      <c r="S78" s="1"/>
      <c r="T78" s="1"/>
      <c r="U78" s="8" t="s">
        <v>7</v>
      </c>
      <c r="V78" s="18"/>
      <c r="W78" s="18"/>
      <c r="X78" s="1"/>
      <c r="Y78" s="1"/>
      <c r="Z78" s="5" t="s">
        <v>481</v>
      </c>
      <c r="AA78" s="1"/>
      <c r="AB78" s="1"/>
    </row>
    <row r="79" spans="1:28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1.25" customHeight="1">
      <c r="A80" s="1"/>
      <c r="B80" s="1"/>
      <c r="C80" s="8" t="s">
        <v>820</v>
      </c>
      <c r="D80" s="18"/>
      <c r="E80" s="1"/>
      <c r="F80" s="1"/>
      <c r="G80" s="1"/>
      <c r="H80" s="1"/>
      <c r="I80" s="8" t="s">
        <v>537</v>
      </c>
      <c r="J80" s="18"/>
      <c r="K80" s="18"/>
      <c r="L80" s="1"/>
      <c r="M80" s="1"/>
      <c r="N80" s="1"/>
      <c r="O80" s="1"/>
      <c r="P80" s="1"/>
      <c r="Q80" s="1"/>
      <c r="R80" s="1"/>
      <c r="S80" s="1"/>
      <c r="T80" s="1"/>
      <c r="U80" s="8" t="s">
        <v>7</v>
      </c>
      <c r="V80" s="18"/>
      <c r="W80" s="18"/>
      <c r="X80" s="1"/>
      <c r="Y80" s="1"/>
      <c r="Z80" s="5" t="s">
        <v>239</v>
      </c>
      <c r="AA80" s="1"/>
      <c r="AB80" s="1"/>
    </row>
    <row r="81" spans="1:28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1.25" customHeight="1">
      <c r="A82" s="1"/>
      <c r="B82" s="1"/>
      <c r="C82" s="8" t="s">
        <v>821</v>
      </c>
      <c r="D82" s="18"/>
      <c r="E82" s="1"/>
      <c r="F82" s="1"/>
      <c r="G82" s="1"/>
      <c r="H82" s="1"/>
      <c r="I82" s="8" t="s">
        <v>822</v>
      </c>
      <c r="J82" s="18"/>
      <c r="K82" s="18"/>
      <c r="L82" s="18"/>
      <c r="M82" s="18"/>
      <c r="N82" s="1"/>
      <c r="O82" s="1"/>
      <c r="P82" s="1"/>
      <c r="Q82" s="1"/>
      <c r="R82" s="1"/>
      <c r="S82" s="1"/>
      <c r="T82" s="1"/>
      <c r="U82" s="8" t="s">
        <v>7</v>
      </c>
      <c r="V82" s="18"/>
      <c r="W82" s="18"/>
      <c r="X82" s="1"/>
      <c r="Y82" s="1"/>
      <c r="Z82" s="5" t="s">
        <v>823</v>
      </c>
      <c r="AA82" s="1"/>
      <c r="AB82" s="1"/>
    </row>
    <row r="83" spans="1:28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1.25" customHeight="1">
      <c r="A84" s="1"/>
      <c r="B84" s="1"/>
      <c r="C84" s="8" t="s">
        <v>824</v>
      </c>
      <c r="D84" s="18"/>
      <c r="E84" s="18"/>
      <c r="F84" s="18"/>
      <c r="G84" s="1"/>
      <c r="H84" s="1"/>
      <c r="I84" s="8" t="s">
        <v>825</v>
      </c>
      <c r="J84" s="18"/>
      <c r="K84" s="18"/>
      <c r="L84" s="18"/>
      <c r="M84" s="18"/>
      <c r="N84" s="18"/>
      <c r="O84" s="18"/>
      <c r="P84" s="18"/>
      <c r="Q84" s="18"/>
      <c r="R84" s="18"/>
      <c r="S84" s="1"/>
      <c r="T84" s="1"/>
      <c r="U84" s="8" t="s">
        <v>7</v>
      </c>
      <c r="V84" s="18"/>
      <c r="W84" s="18"/>
      <c r="X84" s="1"/>
      <c r="Y84" s="1"/>
      <c r="Z84" s="5" t="s">
        <v>453</v>
      </c>
      <c r="AA84" s="1"/>
      <c r="AB84" s="1"/>
    </row>
    <row r="85" spans="1:28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1.25" customHeight="1">
      <c r="A86" s="1"/>
      <c r="B86" s="1"/>
      <c r="C86" s="8" t="s">
        <v>826</v>
      </c>
      <c r="D86" s="18"/>
      <c r="E86" s="1"/>
      <c r="F86" s="1"/>
      <c r="G86" s="1"/>
      <c r="H86" s="1"/>
      <c r="I86" s="8" t="s">
        <v>827</v>
      </c>
      <c r="J86" s="18"/>
      <c r="K86" s="18"/>
      <c r="L86" s="18"/>
      <c r="M86" s="18"/>
      <c r="N86" s="1"/>
      <c r="O86" s="1"/>
      <c r="P86" s="1"/>
      <c r="Q86" s="1"/>
      <c r="R86" s="1"/>
      <c r="S86" s="1"/>
      <c r="T86" s="1"/>
      <c r="U86" s="8" t="s">
        <v>7</v>
      </c>
      <c r="V86" s="18"/>
      <c r="W86" s="18"/>
      <c r="X86" s="1"/>
      <c r="Y86" s="1"/>
      <c r="Z86" s="5" t="s">
        <v>823</v>
      </c>
      <c r="AA86" s="1"/>
      <c r="AB86" s="1"/>
    </row>
    <row r="87" spans="1:28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1.25" customHeight="1">
      <c r="A88" s="1"/>
      <c r="B88" s="1"/>
      <c r="C88" s="8" t="s">
        <v>828</v>
      </c>
      <c r="D88" s="18"/>
      <c r="E88" s="18"/>
      <c r="F88" s="18"/>
      <c r="G88" s="1"/>
      <c r="H88" s="1"/>
      <c r="I88" s="8" t="s">
        <v>829</v>
      </c>
      <c r="J88" s="18"/>
      <c r="K88" s="18"/>
      <c r="L88" s="18"/>
      <c r="M88" s="18"/>
      <c r="N88" s="18"/>
      <c r="O88" s="18"/>
      <c r="P88" s="18"/>
      <c r="Q88" s="18"/>
      <c r="R88" s="18"/>
      <c r="S88" s="1"/>
      <c r="T88" s="1"/>
      <c r="U88" s="8" t="s">
        <v>7</v>
      </c>
      <c r="V88" s="18"/>
      <c r="W88" s="18"/>
      <c r="X88" s="1"/>
      <c r="Y88" s="1"/>
      <c r="Z88" s="5" t="s">
        <v>453</v>
      </c>
      <c r="AA88" s="1"/>
      <c r="AB88" s="1"/>
    </row>
    <row r="89" spans="1:28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1.25" customHeight="1">
      <c r="A90" s="1"/>
      <c r="B90" s="1"/>
      <c r="C90" s="8" t="s">
        <v>830</v>
      </c>
      <c r="D90" s="18"/>
      <c r="E90" s="1"/>
      <c r="F90" s="1"/>
      <c r="G90" s="1"/>
      <c r="H90" s="1"/>
      <c r="I90" s="8" t="s">
        <v>831</v>
      </c>
      <c r="J90" s="18"/>
      <c r="K90" s="18"/>
      <c r="L90" s="18"/>
      <c r="M90" s="18"/>
      <c r="N90" s="18"/>
      <c r="O90" s="1"/>
      <c r="P90" s="1"/>
      <c r="Q90" s="1"/>
      <c r="R90" s="1"/>
      <c r="S90" s="1"/>
      <c r="T90" s="1"/>
      <c r="U90" s="8" t="s">
        <v>7</v>
      </c>
      <c r="V90" s="18"/>
      <c r="W90" s="18"/>
      <c r="X90" s="1"/>
      <c r="Y90" s="1"/>
      <c r="Z90" s="5" t="s">
        <v>775</v>
      </c>
      <c r="AA90" s="1"/>
      <c r="AB90" s="1"/>
    </row>
    <row r="91" spans="1:28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1.25" customHeight="1">
      <c r="A92" s="1"/>
      <c r="B92" s="1"/>
      <c r="C92" s="8" t="s">
        <v>832</v>
      </c>
      <c r="D92" s="18"/>
      <c r="E92" s="18"/>
      <c r="F92" s="1"/>
      <c r="G92" s="1"/>
      <c r="H92" s="1"/>
      <c r="I92" s="8" t="s">
        <v>833</v>
      </c>
      <c r="J92" s="18"/>
      <c r="K92" s="18"/>
      <c r="L92" s="1"/>
      <c r="M92" s="1"/>
      <c r="N92" s="1"/>
      <c r="O92" s="1"/>
      <c r="P92" s="1"/>
      <c r="Q92" s="1"/>
      <c r="R92" s="1"/>
      <c r="S92" s="1"/>
      <c r="T92" s="1"/>
      <c r="U92" s="8" t="s">
        <v>7</v>
      </c>
      <c r="V92" s="18"/>
      <c r="W92" s="18"/>
      <c r="X92" s="1"/>
      <c r="Y92" s="1"/>
      <c r="Z92" s="5" t="s">
        <v>435</v>
      </c>
      <c r="AA92" s="1"/>
      <c r="AB92" s="1"/>
    </row>
    <row r="93" spans="1:28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1.25" customHeight="1">
      <c r="A94" s="1"/>
      <c r="B94" s="1"/>
      <c r="C94" s="8" t="s">
        <v>834</v>
      </c>
      <c r="D94" s="18"/>
      <c r="E94" s="1"/>
      <c r="F94" s="1"/>
      <c r="G94" s="1"/>
      <c r="H94" s="1"/>
      <c r="I94" s="8" t="s">
        <v>835</v>
      </c>
      <c r="J94" s="18"/>
      <c r="K94" s="18"/>
      <c r="L94" s="1"/>
      <c r="M94" s="1"/>
      <c r="N94" s="1"/>
      <c r="O94" s="1"/>
      <c r="P94" s="1"/>
      <c r="Q94" s="1"/>
      <c r="R94" s="1"/>
      <c r="S94" s="1"/>
      <c r="T94" s="1"/>
      <c r="U94" s="8" t="s">
        <v>7</v>
      </c>
      <c r="V94" s="18"/>
      <c r="W94" s="18"/>
      <c r="X94" s="1"/>
      <c r="Y94" s="1"/>
      <c r="Z94" s="5" t="s">
        <v>836</v>
      </c>
      <c r="AA94" s="1"/>
      <c r="AB94" s="1"/>
    </row>
    <row r="95" spans="1:28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1.25" customHeight="1">
      <c r="A96" s="1"/>
      <c r="B96" s="1"/>
      <c r="C96" s="8" t="s">
        <v>837</v>
      </c>
      <c r="D96" s="18"/>
      <c r="E96" s="1"/>
      <c r="F96" s="1"/>
      <c r="G96" s="1"/>
      <c r="H96" s="1"/>
      <c r="I96" s="8" t="s">
        <v>480</v>
      </c>
      <c r="J96" s="18"/>
      <c r="K96" s="18"/>
      <c r="L96" s="18"/>
      <c r="M96" s="18"/>
      <c r="N96" s="1"/>
      <c r="O96" s="1"/>
      <c r="P96" s="1"/>
      <c r="Q96" s="1"/>
      <c r="R96" s="1"/>
      <c r="S96" s="1"/>
      <c r="T96" s="1"/>
      <c r="U96" s="8" t="s">
        <v>7</v>
      </c>
      <c r="V96" s="18"/>
      <c r="W96" s="18"/>
      <c r="X96" s="1"/>
      <c r="Y96" s="1"/>
      <c r="Z96" s="5" t="s">
        <v>801</v>
      </c>
      <c r="AA96" s="1"/>
      <c r="AB96" s="1"/>
    </row>
    <row r="97" spans="1:28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1.25" customHeight="1">
      <c r="A98" s="1"/>
      <c r="B98" s="1"/>
      <c r="C98" s="8" t="s">
        <v>838</v>
      </c>
      <c r="D98" s="18"/>
      <c r="E98" s="1"/>
      <c r="F98" s="1"/>
      <c r="G98" s="1"/>
      <c r="H98" s="1"/>
      <c r="I98" s="8" t="s">
        <v>839</v>
      </c>
      <c r="J98" s="18"/>
      <c r="K98" s="18"/>
      <c r="L98" s="18"/>
      <c r="M98" s="1"/>
      <c r="N98" s="1"/>
      <c r="O98" s="1"/>
      <c r="P98" s="1"/>
      <c r="Q98" s="1"/>
      <c r="R98" s="1"/>
      <c r="S98" s="1"/>
      <c r="T98" s="1"/>
      <c r="U98" s="8" t="s">
        <v>7</v>
      </c>
      <c r="V98" s="18"/>
      <c r="W98" s="18"/>
      <c r="X98" s="1"/>
      <c r="Y98" s="1"/>
      <c r="Z98" s="5" t="s">
        <v>411</v>
      </c>
      <c r="AA98" s="1"/>
      <c r="AB98" s="1"/>
    </row>
    <row r="99" spans="1:28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1.25" customHeight="1">
      <c r="A100" s="1"/>
      <c r="B100" s="1"/>
      <c r="C100" s="8" t="s">
        <v>840</v>
      </c>
      <c r="D100" s="18"/>
      <c r="E100" s="1"/>
      <c r="F100" s="1"/>
      <c r="G100" s="1"/>
      <c r="H100" s="1"/>
      <c r="I100" s="8" t="s">
        <v>841</v>
      </c>
      <c r="J100" s="18"/>
      <c r="K100" s="18"/>
      <c r="L100" s="18"/>
      <c r="M100" s="18"/>
      <c r="N100" s="18"/>
      <c r="O100" s="18"/>
      <c r="P100" s="18"/>
      <c r="Q100" s="1"/>
      <c r="R100" s="1"/>
      <c r="S100" s="1"/>
      <c r="T100" s="1"/>
      <c r="U100" s="8" t="s">
        <v>7</v>
      </c>
      <c r="V100" s="18"/>
      <c r="W100" s="18"/>
      <c r="X100" s="1"/>
      <c r="Y100" s="1"/>
      <c r="Z100" s="5" t="s">
        <v>842</v>
      </c>
      <c r="AA100" s="1"/>
      <c r="AB100" s="1"/>
    </row>
    <row r="101" spans="1:28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0.15" customHeight="1">
      <c r="A102" s="1"/>
      <c r="B102" s="1"/>
      <c r="C102" s="1"/>
      <c r="D102" s="1"/>
      <c r="E102" s="1"/>
      <c r="F102" s="1"/>
      <c r="G102" s="1"/>
      <c r="H102" s="1"/>
      <c r="I102" s="1"/>
      <c r="J102" s="8" t="s">
        <v>133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1"/>
      <c r="K104" s="8" t="s">
        <v>135</v>
      </c>
      <c r="L104" s="18"/>
      <c r="M104" s="18"/>
      <c r="N104" s="18"/>
      <c r="O104" s="18"/>
      <c r="P104" s="18"/>
      <c r="Q104" s="18"/>
      <c r="R104" s="18"/>
      <c r="S104" s="1"/>
      <c r="T104" s="1"/>
      <c r="U104" s="1"/>
      <c r="V104" s="1"/>
      <c r="W104" s="1"/>
      <c r="X104" s="1"/>
      <c r="Y104" s="8" t="s">
        <v>843</v>
      </c>
      <c r="Z104" s="18"/>
      <c r="AA104" s="18"/>
      <c r="AB104" s="1"/>
    </row>
    <row r="105" spans="1:28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</sheetData>
  <mergeCells count="150">
    <mergeCell ref="B2:G4"/>
    <mergeCell ref="H2:U4"/>
    <mergeCell ref="V2:V4"/>
    <mergeCell ref="Y3:AA3"/>
    <mergeCell ref="C8:D8"/>
    <mergeCell ref="I8:S8"/>
    <mergeCell ref="U8:W8"/>
    <mergeCell ref="C10:E10"/>
    <mergeCell ref="I10:R10"/>
    <mergeCell ref="U10:W10"/>
    <mergeCell ref="V6:X6"/>
    <mergeCell ref="C12:D12"/>
    <mergeCell ref="I12:N12"/>
    <mergeCell ref="U12:W12"/>
    <mergeCell ref="C14:D14"/>
    <mergeCell ref="I14:O14"/>
    <mergeCell ref="U14:W14"/>
    <mergeCell ref="C16:D16"/>
    <mergeCell ref="I16:S16"/>
    <mergeCell ref="U16:W16"/>
    <mergeCell ref="C18:D18"/>
    <mergeCell ref="I18:P18"/>
    <mergeCell ref="U18:W18"/>
    <mergeCell ref="C20:D20"/>
    <mergeCell ref="I20:N20"/>
    <mergeCell ref="U20:W20"/>
    <mergeCell ref="Y20:Z20"/>
    <mergeCell ref="C22:D22"/>
    <mergeCell ref="I22:K22"/>
    <mergeCell ref="U22:W22"/>
    <mergeCell ref="C24:D24"/>
    <mergeCell ref="I24:K24"/>
    <mergeCell ref="U24:W24"/>
    <mergeCell ref="C26:D26"/>
    <mergeCell ref="I26:O26"/>
    <mergeCell ref="U26:W26"/>
    <mergeCell ref="C28:D28"/>
    <mergeCell ref="I28:L28"/>
    <mergeCell ref="U28:W28"/>
    <mergeCell ref="C30:D30"/>
    <mergeCell ref="I30:M30"/>
    <mergeCell ref="U30:W30"/>
    <mergeCell ref="C32:D32"/>
    <mergeCell ref="I32:M32"/>
    <mergeCell ref="U32:W32"/>
    <mergeCell ref="C34:D34"/>
    <mergeCell ref="I34:L34"/>
    <mergeCell ref="U34:W34"/>
    <mergeCell ref="C36:D36"/>
    <mergeCell ref="I36:P36"/>
    <mergeCell ref="U36:W36"/>
    <mergeCell ref="C38:D38"/>
    <mergeCell ref="I38:M38"/>
    <mergeCell ref="U38:W38"/>
    <mergeCell ref="C40:D40"/>
    <mergeCell ref="I40:R40"/>
    <mergeCell ref="U40:W40"/>
    <mergeCell ref="C42:D42"/>
    <mergeCell ref="I42:P42"/>
    <mergeCell ref="U42:W42"/>
    <mergeCell ref="C44:D44"/>
    <mergeCell ref="I44:L44"/>
    <mergeCell ref="U44:W44"/>
    <mergeCell ref="C46:D46"/>
    <mergeCell ref="I46:M46"/>
    <mergeCell ref="U46:W46"/>
    <mergeCell ref="C48:D48"/>
    <mergeCell ref="I48:Q48"/>
    <mergeCell ref="U48:W48"/>
    <mergeCell ref="C50:D50"/>
    <mergeCell ref="I50:N50"/>
    <mergeCell ref="U50:W50"/>
    <mergeCell ref="C52:D52"/>
    <mergeCell ref="I52:P52"/>
    <mergeCell ref="U52:W52"/>
    <mergeCell ref="C54:D54"/>
    <mergeCell ref="I54:N54"/>
    <mergeCell ref="U54:W54"/>
    <mergeCell ref="C56:D56"/>
    <mergeCell ref="I56:O56"/>
    <mergeCell ref="U56:W56"/>
    <mergeCell ref="C58:D58"/>
    <mergeCell ref="I58:O58"/>
    <mergeCell ref="U58:W58"/>
    <mergeCell ref="C60:D60"/>
    <mergeCell ref="I60:O60"/>
    <mergeCell ref="U60:W60"/>
    <mergeCell ref="C62:D62"/>
    <mergeCell ref="I62:M62"/>
    <mergeCell ref="U62:W62"/>
    <mergeCell ref="C64:D64"/>
    <mergeCell ref="I64:K64"/>
    <mergeCell ref="U64:W64"/>
    <mergeCell ref="C66:D66"/>
    <mergeCell ref="I66:P66"/>
    <mergeCell ref="U66:W66"/>
    <mergeCell ref="C68:D68"/>
    <mergeCell ref="I68:Q68"/>
    <mergeCell ref="U68:W68"/>
    <mergeCell ref="C70:D70"/>
    <mergeCell ref="I70:Q70"/>
    <mergeCell ref="U70:W70"/>
    <mergeCell ref="C72:D72"/>
    <mergeCell ref="I72:Q72"/>
    <mergeCell ref="U72:W72"/>
    <mergeCell ref="C74:D74"/>
    <mergeCell ref="I74:M74"/>
    <mergeCell ref="U74:W74"/>
    <mergeCell ref="C76:D76"/>
    <mergeCell ref="I76:N76"/>
    <mergeCell ref="U76:W76"/>
    <mergeCell ref="C78:D78"/>
    <mergeCell ref="I78:L78"/>
    <mergeCell ref="U78:W78"/>
    <mergeCell ref="C80:D80"/>
    <mergeCell ref="I80:K80"/>
    <mergeCell ref="U80:W80"/>
    <mergeCell ref="C82:D82"/>
    <mergeCell ref="I82:M82"/>
    <mergeCell ref="U82:W82"/>
    <mergeCell ref="C84:F84"/>
    <mergeCell ref="I84:R84"/>
    <mergeCell ref="U84:W84"/>
    <mergeCell ref="C86:D86"/>
    <mergeCell ref="I86:M86"/>
    <mergeCell ref="U86:W86"/>
    <mergeCell ref="C88:F88"/>
    <mergeCell ref="I88:R88"/>
    <mergeCell ref="U88:W88"/>
    <mergeCell ref="C90:D90"/>
    <mergeCell ref="I90:N90"/>
    <mergeCell ref="U90:W90"/>
    <mergeCell ref="C92:E92"/>
    <mergeCell ref="I92:K92"/>
    <mergeCell ref="U92:W92"/>
    <mergeCell ref="C94:D94"/>
    <mergeCell ref="I94:K94"/>
    <mergeCell ref="U94:W94"/>
    <mergeCell ref="J102:S102"/>
    <mergeCell ref="K104:R104"/>
    <mergeCell ref="Y104:AA104"/>
    <mergeCell ref="C96:D96"/>
    <mergeCell ref="I96:M96"/>
    <mergeCell ref="U96:W96"/>
    <mergeCell ref="C98:D98"/>
    <mergeCell ref="I98:L98"/>
    <mergeCell ref="U98:W98"/>
    <mergeCell ref="C100:D100"/>
    <mergeCell ref="I100:P100"/>
    <mergeCell ref="U100:W10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42578125" customWidth="1"/>
    <col min="6" max="6" width="17.7109375" customWidth="1"/>
    <col min="7" max="7" width="0.140625" customWidth="1"/>
    <col min="8" max="8" width="3.7109375" customWidth="1"/>
    <col min="9" max="9" width="6.140625" customWidth="1"/>
    <col min="10" max="10" width="9.7109375" customWidth="1"/>
    <col min="11" max="11" width="5.28515625" customWidth="1"/>
    <col min="12" max="12" width="4.28515625" customWidth="1"/>
    <col min="13" max="13" width="3.5703125" customWidth="1"/>
    <col min="14" max="14" width="7.28515625" customWidth="1"/>
    <col min="15" max="15" width="3.140625" customWidth="1"/>
    <col min="16" max="16" width="5.85546875" customWidth="1"/>
    <col min="17" max="17" width="5.7109375" customWidth="1"/>
    <col min="18" max="18" width="6.140625" customWidth="1"/>
    <col min="19" max="19" width="13" customWidth="1"/>
    <col min="20" max="20" width="0.28515625" customWidth="1"/>
    <col min="21" max="21" width="3.140625" customWidth="1"/>
    <col min="22" max="22" width="2.85546875" customWidth="1"/>
    <col min="23" max="23" width="0.42578125" customWidth="1"/>
    <col min="24" max="24" width="3.28515625" customWidth="1"/>
    <col min="25" max="25" width="1.42578125" customWidth="1"/>
    <col min="26" max="26" width="2.7109375" customWidth="1"/>
    <col min="27" max="27" width="7.28515625" customWidth="1"/>
    <col min="28" max="28" width="1" customWidth="1"/>
    <col min="29" max="29" width="3.85546875" customWidth="1"/>
  </cols>
  <sheetData>
    <row r="1" spans="1:29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</row>
    <row r="2" spans="1:29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9" t="s">
        <v>2</v>
      </c>
      <c r="V2" s="11"/>
      <c r="W2" s="4"/>
      <c r="X2" s="1"/>
      <c r="Y2" s="1"/>
      <c r="Z2" s="1"/>
      <c r="AA2" s="1"/>
      <c r="AB2" s="1"/>
      <c r="AC2" s="1"/>
    </row>
    <row r="3" spans="1:29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2"/>
      <c r="V3" s="14"/>
      <c r="W3" s="4"/>
      <c r="X3" s="1"/>
      <c r="Y3" s="8" t="s">
        <v>3</v>
      </c>
      <c r="Z3" s="18"/>
      <c r="AA3" s="18"/>
      <c r="AB3" s="18"/>
      <c r="AC3" s="1"/>
    </row>
    <row r="4" spans="1:29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7"/>
      <c r="U4" s="15"/>
      <c r="V4" s="17"/>
      <c r="W4" s="4"/>
      <c r="X4" s="1"/>
      <c r="Y4" s="1"/>
      <c r="Z4" s="1"/>
      <c r="AA4" s="1"/>
      <c r="AB4" s="1"/>
      <c r="AC4" s="1"/>
    </row>
    <row r="5" spans="1:29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"/>
      <c r="X5" s="1"/>
      <c r="Y5" s="1"/>
      <c r="Z5" s="1"/>
      <c r="AA5" s="1"/>
      <c r="AB5" s="1"/>
      <c r="AC5" s="1"/>
    </row>
    <row r="6" spans="1:29" ht="11.25" customHeight="1">
      <c r="A6" s="1"/>
      <c r="B6" s="1"/>
      <c r="C6" s="1" t="s">
        <v>2171</v>
      </c>
      <c r="D6" s="1"/>
      <c r="E6" s="1"/>
      <c r="F6" s="1"/>
      <c r="G6" s="1"/>
      <c r="H6" s="1" t="s">
        <v>2172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 t="s">
        <v>7</v>
      </c>
      <c r="V6" s="18"/>
      <c r="W6" s="18"/>
      <c r="X6" s="18"/>
      <c r="Y6" s="1"/>
      <c r="Z6" s="1"/>
      <c r="AA6" s="5" t="s">
        <v>762</v>
      </c>
      <c r="AB6" s="1"/>
      <c r="AC6" s="1"/>
    </row>
    <row r="7" spans="1:29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1.25" customHeight="1">
      <c r="A8" s="1"/>
      <c r="B8" s="1"/>
      <c r="C8" s="8" t="s">
        <v>844</v>
      </c>
      <c r="D8" s="18"/>
      <c r="E8" s="18"/>
      <c r="F8" s="1"/>
      <c r="G8" s="1"/>
      <c r="H8" s="8" t="s">
        <v>845</v>
      </c>
      <c r="I8" s="18"/>
      <c r="J8" s="18"/>
      <c r="K8" s="18"/>
      <c r="L8" s="1"/>
      <c r="M8" s="1"/>
      <c r="N8" s="1"/>
      <c r="O8" s="1"/>
      <c r="P8" s="1"/>
      <c r="Q8" s="1"/>
      <c r="R8" s="1"/>
      <c r="S8" s="1"/>
      <c r="T8" s="8" t="s">
        <v>7</v>
      </c>
      <c r="U8" s="18"/>
      <c r="V8" s="18"/>
      <c r="W8" s="18"/>
      <c r="X8" s="1"/>
      <c r="Y8" s="1"/>
      <c r="Z8" s="1"/>
      <c r="AA8" s="5" t="s">
        <v>392</v>
      </c>
      <c r="AB8" s="1"/>
      <c r="AC8" s="1"/>
    </row>
    <row r="9" spans="1:29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1.25" customHeight="1">
      <c r="A10" s="1"/>
      <c r="B10" s="1"/>
      <c r="C10" s="8" t="s">
        <v>846</v>
      </c>
      <c r="D10" s="18"/>
      <c r="E10" s="18"/>
      <c r="F10" s="1"/>
      <c r="G10" s="1"/>
      <c r="H10" s="8" t="s">
        <v>847</v>
      </c>
      <c r="I10" s="18"/>
      <c r="J10" s="18"/>
      <c r="K10" s="18"/>
      <c r="L10" s="18"/>
      <c r="M10" s="18"/>
      <c r="N10" s="18"/>
      <c r="O10" s="18"/>
      <c r="P10" s="18"/>
      <c r="Q10" s="1"/>
      <c r="R10" s="1"/>
      <c r="S10" s="1"/>
      <c r="T10" s="8" t="s">
        <v>7</v>
      </c>
      <c r="U10" s="18"/>
      <c r="V10" s="18"/>
      <c r="W10" s="18"/>
      <c r="X10" s="1"/>
      <c r="Y10" s="1"/>
      <c r="Z10" s="1"/>
      <c r="AA10" s="5" t="s">
        <v>775</v>
      </c>
      <c r="AB10" s="1"/>
      <c r="AC10" s="1"/>
    </row>
    <row r="11" spans="1:29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1.25" customHeight="1">
      <c r="A12" s="1"/>
      <c r="B12" s="1"/>
      <c r="C12" s="8" t="s">
        <v>848</v>
      </c>
      <c r="D12" s="18"/>
      <c r="E12" s="1"/>
      <c r="F12" s="1"/>
      <c r="G12" s="1"/>
      <c r="H12" s="8" t="s">
        <v>849</v>
      </c>
      <c r="I12" s="18"/>
      <c r="J12" s="18"/>
      <c r="K12" s="18"/>
      <c r="L12" s="18"/>
      <c r="M12" s="1"/>
      <c r="N12" s="1"/>
      <c r="O12" s="1"/>
      <c r="P12" s="1"/>
      <c r="Q12" s="1"/>
      <c r="R12" s="1"/>
      <c r="S12" s="1"/>
      <c r="T12" s="8" t="s">
        <v>7</v>
      </c>
      <c r="U12" s="18"/>
      <c r="V12" s="18"/>
      <c r="W12" s="18"/>
      <c r="X12" s="1"/>
      <c r="Y12" s="1"/>
      <c r="Z12" s="1"/>
      <c r="AA12" s="5" t="s">
        <v>257</v>
      </c>
      <c r="AB12" s="1"/>
      <c r="AC12" s="1"/>
    </row>
    <row r="13" spans="1:29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1.25" customHeight="1">
      <c r="A14" s="1"/>
      <c r="B14" s="1"/>
      <c r="C14" s="8" t="s">
        <v>850</v>
      </c>
      <c r="D14" s="18"/>
      <c r="E14" s="1"/>
      <c r="F14" s="1"/>
      <c r="G14" s="1"/>
      <c r="H14" s="8" t="s">
        <v>851</v>
      </c>
      <c r="I14" s="18"/>
      <c r="J14" s="18"/>
      <c r="K14" s="18"/>
      <c r="L14" s="18"/>
      <c r="M14" s="18"/>
      <c r="N14" s="18"/>
      <c r="O14" s="1"/>
      <c r="P14" s="1"/>
      <c r="Q14" s="1"/>
      <c r="R14" s="1"/>
      <c r="S14" s="1"/>
      <c r="T14" s="8" t="s">
        <v>7</v>
      </c>
      <c r="U14" s="18"/>
      <c r="V14" s="18"/>
      <c r="W14" s="18"/>
      <c r="X14" s="1"/>
      <c r="Y14" s="1"/>
      <c r="Z14" s="1"/>
      <c r="AA14" s="5" t="s">
        <v>389</v>
      </c>
      <c r="AB14" s="1"/>
      <c r="AC14" s="1"/>
    </row>
    <row r="15" spans="1:29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1.25" customHeight="1">
      <c r="A16" s="1"/>
      <c r="B16" s="1"/>
      <c r="C16" s="8" t="s">
        <v>852</v>
      </c>
      <c r="D16" s="18"/>
      <c r="E16" s="18"/>
      <c r="F16" s="1"/>
      <c r="G16" s="1"/>
      <c r="H16" s="8" t="s">
        <v>853</v>
      </c>
      <c r="I16" s="18"/>
      <c r="J16" s="18"/>
      <c r="K16" s="1"/>
      <c r="L16" s="1"/>
      <c r="M16" s="1"/>
      <c r="N16" s="1"/>
      <c r="O16" s="1"/>
      <c r="P16" s="1"/>
      <c r="Q16" s="1"/>
      <c r="R16" s="1"/>
      <c r="S16" s="1"/>
      <c r="T16" s="8" t="s">
        <v>7</v>
      </c>
      <c r="U16" s="18"/>
      <c r="V16" s="18"/>
      <c r="W16" s="18"/>
      <c r="X16" s="1"/>
      <c r="Y16" s="1"/>
      <c r="Z16" s="1"/>
      <c r="AA16" s="5" t="s">
        <v>93</v>
      </c>
      <c r="AB16" s="1"/>
      <c r="AC16" s="1"/>
    </row>
    <row r="17" spans="1:29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1.25" customHeight="1">
      <c r="A18" s="1"/>
      <c r="B18" s="1"/>
      <c r="C18" s="8" t="s">
        <v>854</v>
      </c>
      <c r="D18" s="18"/>
      <c r="E18" s="18"/>
      <c r="F18" s="1"/>
      <c r="G18" s="1"/>
      <c r="H18" s="8" t="s">
        <v>853</v>
      </c>
      <c r="I18" s="18"/>
      <c r="J18" s="18"/>
      <c r="K18" s="1"/>
      <c r="L18" s="1"/>
      <c r="M18" s="1"/>
      <c r="N18" s="1"/>
      <c r="O18" s="1"/>
      <c r="P18" s="1"/>
      <c r="Q18" s="1"/>
      <c r="R18" s="1"/>
      <c r="S18" s="1"/>
      <c r="T18" s="8" t="s">
        <v>7</v>
      </c>
      <c r="U18" s="18"/>
      <c r="V18" s="18"/>
      <c r="W18" s="18"/>
      <c r="X18" s="1"/>
      <c r="Y18" s="1"/>
      <c r="Z18" s="1"/>
      <c r="AA18" s="5" t="s">
        <v>93</v>
      </c>
      <c r="AB18" s="1"/>
      <c r="AC18" s="1"/>
    </row>
    <row r="19" spans="1:29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1.25" customHeight="1">
      <c r="A20" s="1"/>
      <c r="B20" s="1"/>
      <c r="C20" s="8" t="s">
        <v>855</v>
      </c>
      <c r="D20" s="18"/>
      <c r="E20" s="1"/>
      <c r="F20" s="1"/>
      <c r="G20" s="1"/>
      <c r="H20" s="8" t="s">
        <v>856</v>
      </c>
      <c r="I20" s="18"/>
      <c r="J20" s="18"/>
      <c r="K20" s="18"/>
      <c r="L20" s="18"/>
      <c r="M20" s="1"/>
      <c r="N20" s="1"/>
      <c r="O20" s="1"/>
      <c r="P20" s="1"/>
      <c r="Q20" s="1"/>
      <c r="R20" s="1"/>
      <c r="S20" s="1"/>
      <c r="T20" s="8" t="s">
        <v>7</v>
      </c>
      <c r="U20" s="18"/>
      <c r="V20" s="18"/>
      <c r="W20" s="18"/>
      <c r="X20" s="1"/>
      <c r="Y20" s="1"/>
      <c r="Z20" s="1"/>
      <c r="AA20" s="5" t="s">
        <v>126</v>
      </c>
      <c r="AB20" s="1"/>
      <c r="AC20" s="1"/>
    </row>
    <row r="21" spans="1:29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1.25" customHeight="1">
      <c r="A22" s="1"/>
      <c r="B22" s="1"/>
      <c r="C22" s="8" t="s">
        <v>857</v>
      </c>
      <c r="D22" s="18"/>
      <c r="E22" s="1"/>
      <c r="F22" s="1"/>
      <c r="G22" s="1"/>
      <c r="H22" s="8" t="s">
        <v>858</v>
      </c>
      <c r="I22" s="18"/>
      <c r="J22" s="18"/>
      <c r="K22" s="18"/>
      <c r="L22" s="1"/>
      <c r="M22" s="1"/>
      <c r="N22" s="1"/>
      <c r="O22" s="1"/>
      <c r="P22" s="1"/>
      <c r="Q22" s="1"/>
      <c r="R22" s="1"/>
      <c r="S22" s="1"/>
      <c r="T22" s="8" t="s">
        <v>7</v>
      </c>
      <c r="U22" s="18"/>
      <c r="V22" s="18"/>
      <c r="W22" s="18"/>
      <c r="X22" s="1"/>
      <c r="Y22" s="1"/>
      <c r="Z22" s="1"/>
      <c r="AA22" s="5" t="s">
        <v>453</v>
      </c>
      <c r="AB22" s="1"/>
      <c r="AC22" s="1"/>
    </row>
    <row r="23" spans="1:29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1.25" customHeight="1">
      <c r="A24" s="1"/>
      <c r="B24" s="1"/>
      <c r="C24" s="8" t="s">
        <v>859</v>
      </c>
      <c r="D24" s="18"/>
      <c r="E24" s="18"/>
      <c r="F24" s="1"/>
      <c r="G24" s="1"/>
      <c r="H24" s="8" t="s">
        <v>860</v>
      </c>
      <c r="I24" s="18"/>
      <c r="J24" s="18"/>
      <c r="K24" s="18"/>
      <c r="L24" s="1"/>
      <c r="M24" s="1"/>
      <c r="N24" s="1"/>
      <c r="O24" s="1"/>
      <c r="P24" s="1"/>
      <c r="Q24" s="1"/>
      <c r="R24" s="1"/>
      <c r="S24" s="1"/>
      <c r="T24" s="8" t="s">
        <v>7</v>
      </c>
      <c r="U24" s="18"/>
      <c r="V24" s="18"/>
      <c r="W24" s="18"/>
      <c r="X24" s="1"/>
      <c r="Y24" s="1"/>
      <c r="Z24" s="1"/>
      <c r="AA24" s="5" t="s">
        <v>861</v>
      </c>
      <c r="AB24" s="1"/>
      <c r="AC24" s="1"/>
    </row>
    <row r="25" spans="1:29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1.25" customHeight="1">
      <c r="A26" s="1"/>
      <c r="B26" s="1"/>
      <c r="C26" s="8" t="s">
        <v>862</v>
      </c>
      <c r="D26" s="18"/>
      <c r="E26" s="18"/>
      <c r="F26" s="1"/>
      <c r="G26" s="1"/>
      <c r="H26" s="8" t="s">
        <v>863</v>
      </c>
      <c r="I26" s="18"/>
      <c r="J26" s="18"/>
      <c r="K26" s="18"/>
      <c r="L26" s="18"/>
      <c r="M26" s="1"/>
      <c r="N26" s="1"/>
      <c r="O26" s="1"/>
      <c r="P26" s="1"/>
      <c r="Q26" s="1"/>
      <c r="R26" s="1"/>
      <c r="S26" s="1"/>
      <c r="T26" s="8" t="s">
        <v>7</v>
      </c>
      <c r="U26" s="18"/>
      <c r="V26" s="18"/>
      <c r="W26" s="18"/>
      <c r="X26" s="1"/>
      <c r="Y26" s="1"/>
      <c r="Z26" s="1"/>
      <c r="AA26" s="5" t="s">
        <v>230</v>
      </c>
      <c r="AB26" s="1"/>
      <c r="AC26" s="1"/>
    </row>
    <row r="27" spans="1:29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1.25" customHeight="1">
      <c r="A28" s="1"/>
      <c r="B28" s="1"/>
      <c r="C28" s="8" t="s">
        <v>864</v>
      </c>
      <c r="D28" s="18"/>
      <c r="E28" s="1"/>
      <c r="F28" s="1"/>
      <c r="G28" s="1"/>
      <c r="H28" s="8" t="s">
        <v>865</v>
      </c>
      <c r="I28" s="18"/>
      <c r="J28" s="18"/>
      <c r="K28" s="18"/>
      <c r="L28" s="1"/>
      <c r="M28" s="1"/>
      <c r="N28" s="1"/>
      <c r="O28" s="1"/>
      <c r="P28" s="1"/>
      <c r="Q28" s="1"/>
      <c r="R28" s="1"/>
      <c r="S28" s="1"/>
      <c r="T28" s="8" t="s">
        <v>7</v>
      </c>
      <c r="U28" s="18"/>
      <c r="V28" s="18"/>
      <c r="W28" s="18"/>
      <c r="X28" s="1"/>
      <c r="Y28" s="1"/>
      <c r="Z28" s="1"/>
      <c r="AA28" s="5" t="s">
        <v>689</v>
      </c>
      <c r="AB28" s="1"/>
      <c r="AC28" s="1"/>
    </row>
    <row r="29" spans="1:29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1.25" customHeight="1">
      <c r="A30" s="1"/>
      <c r="B30" s="1"/>
      <c r="C30" s="8" t="s">
        <v>866</v>
      </c>
      <c r="D30" s="18"/>
      <c r="E30" s="1"/>
      <c r="F30" s="1"/>
      <c r="G30" s="1"/>
      <c r="H30" s="8" t="s">
        <v>867</v>
      </c>
      <c r="I30" s="18"/>
      <c r="J30" s="18"/>
      <c r="K30" s="1"/>
      <c r="L30" s="1"/>
      <c r="M30" s="1"/>
      <c r="N30" s="1"/>
      <c r="O30" s="1"/>
      <c r="P30" s="1"/>
      <c r="Q30" s="1"/>
      <c r="R30" s="1"/>
      <c r="S30" s="1"/>
      <c r="T30" s="8" t="s">
        <v>7</v>
      </c>
      <c r="U30" s="18"/>
      <c r="V30" s="18"/>
      <c r="W30" s="18"/>
      <c r="X30" s="1"/>
      <c r="Y30" s="1"/>
      <c r="Z30" s="1"/>
      <c r="AA30" s="5" t="s">
        <v>868</v>
      </c>
      <c r="AB30" s="1"/>
      <c r="AC30" s="1"/>
    </row>
    <row r="31" spans="1:29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1.25" customHeight="1">
      <c r="A32" s="1"/>
      <c r="B32" s="1"/>
      <c r="C32" s="8" t="s">
        <v>869</v>
      </c>
      <c r="D32" s="18"/>
      <c r="E32" s="1"/>
      <c r="F32" s="1"/>
      <c r="G32" s="1"/>
      <c r="H32" s="8" t="s">
        <v>870</v>
      </c>
      <c r="I32" s="18"/>
      <c r="J32" s="18"/>
      <c r="K32" s="18"/>
      <c r="L32" s="18"/>
      <c r="M32" s="18"/>
      <c r="N32" s="18"/>
      <c r="O32" s="18"/>
      <c r="P32" s="1"/>
      <c r="Q32" s="1"/>
      <c r="R32" s="1"/>
      <c r="S32" s="1"/>
      <c r="T32" s="8" t="s">
        <v>7</v>
      </c>
      <c r="U32" s="18"/>
      <c r="V32" s="18"/>
      <c r="W32" s="18"/>
      <c r="X32" s="1"/>
      <c r="Y32" s="1"/>
      <c r="Z32" s="1"/>
      <c r="AA32" s="5" t="s">
        <v>126</v>
      </c>
      <c r="AB32" s="1"/>
      <c r="AC32" s="1"/>
    </row>
    <row r="33" spans="1:29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1.25" customHeight="1">
      <c r="A34" s="1"/>
      <c r="B34" s="1"/>
      <c r="C34" s="8" t="s">
        <v>871</v>
      </c>
      <c r="D34" s="18"/>
      <c r="E34" s="1"/>
      <c r="F34" s="1"/>
      <c r="G34" s="1"/>
      <c r="H34" s="8" t="s">
        <v>872</v>
      </c>
      <c r="I34" s="18"/>
      <c r="J34" s="18"/>
      <c r="K34" s="18"/>
      <c r="L34" s="18"/>
      <c r="M34" s="1"/>
      <c r="N34" s="1"/>
      <c r="O34" s="1"/>
      <c r="P34" s="1"/>
      <c r="Q34" s="1"/>
      <c r="R34" s="1"/>
      <c r="S34" s="1"/>
      <c r="T34" s="8" t="s">
        <v>7</v>
      </c>
      <c r="U34" s="18"/>
      <c r="V34" s="18"/>
      <c r="W34" s="18"/>
      <c r="X34" s="1"/>
      <c r="Y34" s="1"/>
      <c r="Z34" s="1"/>
      <c r="AA34" s="5" t="s">
        <v>528</v>
      </c>
      <c r="AB34" s="1"/>
      <c r="AC34" s="1"/>
    </row>
    <row r="35" spans="1:29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1.25" customHeight="1">
      <c r="A36" s="1"/>
      <c r="B36" s="1"/>
      <c r="C36" s="8" t="s">
        <v>873</v>
      </c>
      <c r="D36" s="18"/>
      <c r="E36" s="1"/>
      <c r="F36" s="1"/>
      <c r="G36" s="1"/>
      <c r="H36" s="8" t="s">
        <v>874</v>
      </c>
      <c r="I36" s="18"/>
      <c r="J36" s="18"/>
      <c r="K36" s="18"/>
      <c r="L36" s="18"/>
      <c r="M36" s="18"/>
      <c r="N36" s="1"/>
      <c r="O36" s="1"/>
      <c r="P36" s="1"/>
      <c r="Q36" s="1"/>
      <c r="R36" s="1"/>
      <c r="S36" s="1"/>
      <c r="T36" s="8" t="s">
        <v>7</v>
      </c>
      <c r="U36" s="18"/>
      <c r="V36" s="18"/>
      <c r="W36" s="18"/>
      <c r="X36" s="1"/>
      <c r="Y36" s="1"/>
      <c r="Z36" s="1"/>
      <c r="AA36" s="5" t="s">
        <v>440</v>
      </c>
      <c r="AB36" s="1"/>
      <c r="AC36" s="1"/>
    </row>
    <row r="37" spans="1:29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1.25" customHeight="1">
      <c r="A38" s="1"/>
      <c r="B38" s="1"/>
      <c r="C38" s="8" t="s">
        <v>875</v>
      </c>
      <c r="D38" s="18"/>
      <c r="E38" s="1"/>
      <c r="F38" s="1"/>
      <c r="G38" s="1"/>
      <c r="H38" s="8" t="s">
        <v>876</v>
      </c>
      <c r="I38" s="18"/>
      <c r="J38" s="18"/>
      <c r="K38" s="18"/>
      <c r="L38" s="18"/>
      <c r="M38" s="1"/>
      <c r="N38" s="1"/>
      <c r="O38" s="1"/>
      <c r="P38" s="1"/>
      <c r="Q38" s="1"/>
      <c r="R38" s="1"/>
      <c r="S38" s="1"/>
      <c r="T38" s="8" t="s">
        <v>7</v>
      </c>
      <c r="U38" s="18"/>
      <c r="V38" s="18"/>
      <c r="W38" s="18"/>
      <c r="X38" s="1"/>
      <c r="Y38" s="1"/>
      <c r="Z38" s="1"/>
      <c r="AA38" s="5" t="s">
        <v>87</v>
      </c>
      <c r="AB38" s="1"/>
      <c r="AC38" s="1"/>
    </row>
    <row r="39" spans="1:29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1.25" customHeight="1">
      <c r="A40" s="1"/>
      <c r="B40" s="1"/>
      <c r="C40" s="8" t="s">
        <v>877</v>
      </c>
      <c r="D40" s="18"/>
      <c r="E40" s="1"/>
      <c r="F40" s="1"/>
      <c r="G40" s="1"/>
      <c r="H40" s="8" t="s">
        <v>878</v>
      </c>
      <c r="I40" s="18"/>
      <c r="J40" s="18"/>
      <c r="K40" s="18"/>
      <c r="L40" s="1"/>
      <c r="M40" s="1"/>
      <c r="N40" s="1"/>
      <c r="O40" s="1"/>
      <c r="P40" s="1"/>
      <c r="Q40" s="1"/>
      <c r="R40" s="1"/>
      <c r="S40" s="1"/>
      <c r="T40" s="8" t="s">
        <v>7</v>
      </c>
      <c r="U40" s="18"/>
      <c r="V40" s="18"/>
      <c r="W40" s="18"/>
      <c r="X40" s="1"/>
      <c r="Y40" s="1"/>
      <c r="Z40" s="1"/>
      <c r="AA40" s="5" t="s">
        <v>518</v>
      </c>
      <c r="AB40" s="1"/>
      <c r="AC40" s="1"/>
    </row>
    <row r="41" spans="1:29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1.25" customHeight="1">
      <c r="A42" s="1"/>
      <c r="B42" s="1"/>
      <c r="C42" s="8" t="s">
        <v>879</v>
      </c>
      <c r="D42" s="18"/>
      <c r="E42" s="1"/>
      <c r="F42" s="1"/>
      <c r="G42" s="1"/>
      <c r="H42" s="8" t="s">
        <v>880</v>
      </c>
      <c r="I42" s="18"/>
      <c r="J42" s="18"/>
      <c r="K42" s="18"/>
      <c r="L42" s="18"/>
      <c r="M42" s="18"/>
      <c r="N42" s="1"/>
      <c r="O42" s="1"/>
      <c r="P42" s="1"/>
      <c r="Q42" s="1"/>
      <c r="R42" s="1"/>
      <c r="S42" s="1"/>
      <c r="T42" s="8" t="s">
        <v>7</v>
      </c>
      <c r="U42" s="18"/>
      <c r="V42" s="18"/>
      <c r="W42" s="18"/>
      <c r="X42" s="1"/>
      <c r="Y42" s="1"/>
      <c r="Z42" s="1"/>
      <c r="AA42" s="5" t="s">
        <v>836</v>
      </c>
      <c r="AB42" s="1"/>
      <c r="AC42" s="1"/>
    </row>
    <row r="43" spans="1:29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1.25" customHeight="1">
      <c r="A44" s="1"/>
      <c r="B44" s="1"/>
      <c r="C44" s="8" t="s">
        <v>881</v>
      </c>
      <c r="D44" s="18"/>
      <c r="E44" s="1"/>
      <c r="F44" s="1"/>
      <c r="G44" s="1"/>
      <c r="H44" s="8" t="s">
        <v>882</v>
      </c>
      <c r="I44" s="18"/>
      <c r="J44" s="18"/>
      <c r="K44" s="18"/>
      <c r="L44" s="18"/>
      <c r="M44" s="18"/>
      <c r="N44" s="1"/>
      <c r="O44" s="1"/>
      <c r="P44" s="1"/>
      <c r="Q44" s="1"/>
      <c r="R44" s="1"/>
      <c r="S44" s="1"/>
      <c r="T44" s="8" t="s">
        <v>7</v>
      </c>
      <c r="U44" s="18"/>
      <c r="V44" s="18"/>
      <c r="W44" s="18"/>
      <c r="X44" s="1"/>
      <c r="Y44" s="1"/>
      <c r="Z44" s="1"/>
      <c r="AA44" s="5" t="s">
        <v>518</v>
      </c>
      <c r="AB44" s="1"/>
      <c r="AC44" s="1"/>
    </row>
    <row r="45" spans="1:29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1.25" customHeight="1">
      <c r="A46" s="1"/>
      <c r="B46" s="1"/>
      <c r="C46" s="8" t="s">
        <v>883</v>
      </c>
      <c r="D46" s="18"/>
      <c r="E46" s="1"/>
      <c r="F46" s="1"/>
      <c r="G46" s="1"/>
      <c r="H46" s="8" t="s">
        <v>884</v>
      </c>
      <c r="I46" s="18"/>
      <c r="J46" s="18"/>
      <c r="K46" s="18"/>
      <c r="L46" s="18"/>
      <c r="M46" s="18"/>
      <c r="N46" s="1"/>
      <c r="O46" s="1"/>
      <c r="P46" s="1"/>
      <c r="Q46" s="1"/>
      <c r="R46" s="1"/>
      <c r="S46" s="1"/>
      <c r="T46" s="8" t="s">
        <v>7</v>
      </c>
      <c r="U46" s="18"/>
      <c r="V46" s="18"/>
      <c r="W46" s="18"/>
      <c r="X46" s="1"/>
      <c r="Y46" s="1"/>
      <c r="Z46" s="1"/>
      <c r="AA46" s="5" t="s">
        <v>885</v>
      </c>
      <c r="AB46" s="1"/>
      <c r="AC46" s="1"/>
    </row>
    <row r="47" spans="1:29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1.25" customHeight="1">
      <c r="A48" s="1"/>
      <c r="B48" s="1"/>
      <c r="C48" s="8" t="s">
        <v>886</v>
      </c>
      <c r="D48" s="18"/>
      <c r="E48" s="1"/>
      <c r="F48" s="1"/>
      <c r="G48" s="1"/>
      <c r="H48" s="8" t="s">
        <v>887</v>
      </c>
      <c r="I48" s="18"/>
      <c r="J48" s="18"/>
      <c r="K48" s="1"/>
      <c r="L48" s="1"/>
      <c r="M48" s="1"/>
      <c r="N48" s="1"/>
      <c r="O48" s="1"/>
      <c r="P48" s="1"/>
      <c r="Q48" s="1"/>
      <c r="R48" s="1"/>
      <c r="S48" s="1"/>
      <c r="T48" s="8" t="s">
        <v>7</v>
      </c>
      <c r="U48" s="18"/>
      <c r="V48" s="18"/>
      <c r="W48" s="18"/>
      <c r="X48" s="1"/>
      <c r="Y48" s="1"/>
      <c r="Z48" s="1"/>
      <c r="AA48" s="5" t="s">
        <v>132</v>
      </c>
      <c r="AB48" s="1"/>
      <c r="AC48" s="1"/>
    </row>
    <row r="49" spans="1:29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1.25" customHeight="1">
      <c r="A50" s="1"/>
      <c r="B50" s="1"/>
      <c r="C50" s="8" t="s">
        <v>888</v>
      </c>
      <c r="D50" s="18"/>
      <c r="E50" s="1"/>
      <c r="F50" s="1"/>
      <c r="G50" s="1"/>
      <c r="H50" s="8" t="s">
        <v>889</v>
      </c>
      <c r="I50" s="18"/>
      <c r="J50" s="18"/>
      <c r="K50" s="1"/>
      <c r="L50" s="1"/>
      <c r="M50" s="1"/>
      <c r="N50" s="1"/>
      <c r="O50" s="1"/>
      <c r="P50" s="1"/>
      <c r="Q50" s="1"/>
      <c r="R50" s="1"/>
      <c r="S50" s="1"/>
      <c r="T50" s="8" t="s">
        <v>7</v>
      </c>
      <c r="U50" s="18"/>
      <c r="V50" s="18"/>
      <c r="W50" s="18"/>
      <c r="X50" s="1"/>
      <c r="Y50" s="1"/>
      <c r="Z50" s="1"/>
      <c r="AA50" s="5" t="s">
        <v>239</v>
      </c>
      <c r="AB50" s="1"/>
      <c r="AC50" s="1"/>
    </row>
    <row r="51" spans="1:29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1.25" customHeight="1">
      <c r="A52" s="1"/>
      <c r="B52" s="1"/>
      <c r="C52" s="8" t="s">
        <v>890</v>
      </c>
      <c r="D52" s="18"/>
      <c r="E52" s="1"/>
      <c r="F52" s="1"/>
      <c r="G52" s="1"/>
      <c r="H52" s="8" t="s">
        <v>891</v>
      </c>
      <c r="I52" s="18"/>
      <c r="J52" s="18"/>
      <c r="K52" s="18"/>
      <c r="L52" s="18"/>
      <c r="M52" s="18"/>
      <c r="N52" s="18"/>
      <c r="O52" s="18"/>
      <c r="P52" s="18"/>
      <c r="Q52" s="1"/>
      <c r="R52" s="1"/>
      <c r="S52" s="1"/>
      <c r="T52" s="8" t="s">
        <v>7</v>
      </c>
      <c r="U52" s="18"/>
      <c r="V52" s="18"/>
      <c r="W52" s="18"/>
      <c r="X52" s="1"/>
      <c r="Y52" s="1"/>
      <c r="Z52" s="1"/>
      <c r="AA52" s="5" t="s">
        <v>554</v>
      </c>
      <c r="AB52" s="1"/>
      <c r="AC52" s="1"/>
    </row>
    <row r="53" spans="1:29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1.25" customHeight="1">
      <c r="A54" s="1"/>
      <c r="B54" s="1"/>
      <c r="C54" s="8" t="s">
        <v>892</v>
      </c>
      <c r="D54" s="18"/>
      <c r="E54" s="1"/>
      <c r="F54" s="1"/>
      <c r="G54" s="1"/>
      <c r="H54" s="8" t="s">
        <v>893</v>
      </c>
      <c r="I54" s="18"/>
      <c r="J54" s="18"/>
      <c r="K54" s="18"/>
      <c r="L54" s="18"/>
      <c r="M54" s="1"/>
      <c r="N54" s="1"/>
      <c r="O54" s="1"/>
      <c r="P54" s="1"/>
      <c r="Q54" s="1"/>
      <c r="R54" s="1"/>
      <c r="S54" s="1"/>
      <c r="T54" s="8" t="s">
        <v>7</v>
      </c>
      <c r="U54" s="18"/>
      <c r="V54" s="18"/>
      <c r="W54" s="18"/>
      <c r="X54" s="1"/>
      <c r="Y54" s="1"/>
      <c r="Z54" s="1"/>
      <c r="AA54" s="5" t="s">
        <v>180</v>
      </c>
      <c r="AB54" s="1"/>
      <c r="AC54" s="1"/>
    </row>
    <row r="55" spans="1:29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1.25" customHeight="1">
      <c r="A56" s="1"/>
      <c r="B56" s="1"/>
      <c r="C56" s="8" t="s">
        <v>894</v>
      </c>
      <c r="D56" s="18"/>
      <c r="E56" s="1"/>
      <c r="F56" s="1"/>
      <c r="G56" s="1"/>
      <c r="H56" s="8" t="s">
        <v>895</v>
      </c>
      <c r="I56" s="18"/>
      <c r="J56" s="18"/>
      <c r="K56" s="18"/>
      <c r="L56" s="18"/>
      <c r="M56" s="18"/>
      <c r="N56" s="1"/>
      <c r="O56" s="1"/>
      <c r="P56" s="1"/>
      <c r="Q56" s="1"/>
      <c r="R56" s="1"/>
      <c r="S56" s="1"/>
      <c r="T56" s="8" t="s">
        <v>7</v>
      </c>
      <c r="U56" s="18"/>
      <c r="V56" s="18"/>
      <c r="W56" s="18"/>
      <c r="X56" s="1"/>
      <c r="Y56" s="1"/>
      <c r="Z56" s="1"/>
      <c r="AA56" s="5" t="s">
        <v>896</v>
      </c>
      <c r="AB56" s="1"/>
      <c r="AC56" s="1"/>
    </row>
    <row r="57" spans="1:29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1.25" customHeight="1">
      <c r="A58" s="1"/>
      <c r="B58" s="1"/>
      <c r="C58" s="8" t="s">
        <v>897</v>
      </c>
      <c r="D58" s="18"/>
      <c r="E58" s="1"/>
      <c r="F58" s="1"/>
      <c r="G58" s="1"/>
      <c r="H58" s="8" t="s">
        <v>466</v>
      </c>
      <c r="I58" s="18"/>
      <c r="J58" s="18"/>
      <c r="K58" s="18"/>
      <c r="L58" s="18"/>
      <c r="M58" s="18"/>
      <c r="N58" s="18"/>
      <c r="O58" s="1"/>
      <c r="P58" s="1"/>
      <c r="Q58" s="1"/>
      <c r="R58" s="1"/>
      <c r="S58" s="1"/>
      <c r="T58" s="8" t="s">
        <v>7</v>
      </c>
      <c r="U58" s="18"/>
      <c r="V58" s="18"/>
      <c r="W58" s="18"/>
      <c r="X58" s="1"/>
      <c r="Y58" s="1"/>
      <c r="Z58" s="1"/>
      <c r="AA58" s="5" t="s">
        <v>467</v>
      </c>
      <c r="AB58" s="1"/>
      <c r="AC58" s="1"/>
    </row>
    <row r="59" spans="1:29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1.25" customHeight="1">
      <c r="A60" s="1"/>
      <c r="B60" s="1"/>
      <c r="C60" s="8" t="s">
        <v>898</v>
      </c>
      <c r="D60" s="18"/>
      <c r="E60" s="1"/>
      <c r="F60" s="1"/>
      <c r="G60" s="1"/>
      <c r="H60" s="8" t="s">
        <v>469</v>
      </c>
      <c r="I60" s="18"/>
      <c r="J60" s="18"/>
      <c r="K60" s="18"/>
      <c r="L60" s="18"/>
      <c r="M60" s="18"/>
      <c r="N60" s="18"/>
      <c r="O60" s="1"/>
      <c r="P60" s="1"/>
      <c r="Q60" s="1"/>
      <c r="R60" s="1"/>
      <c r="S60" s="1"/>
      <c r="T60" s="8" t="s">
        <v>7</v>
      </c>
      <c r="U60" s="18"/>
      <c r="V60" s="18"/>
      <c r="W60" s="18"/>
      <c r="X60" s="1"/>
      <c r="Y60" s="1"/>
      <c r="Z60" s="1"/>
      <c r="AA60" s="5" t="s">
        <v>467</v>
      </c>
      <c r="AB60" s="1"/>
      <c r="AC60" s="1"/>
    </row>
    <row r="61" spans="1:29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1.25" customHeight="1">
      <c r="A62" s="1"/>
      <c r="B62" s="1"/>
      <c r="C62" s="8" t="s">
        <v>899</v>
      </c>
      <c r="D62" s="18"/>
      <c r="E62" s="1"/>
      <c r="F62" s="1"/>
      <c r="G62" s="1"/>
      <c r="H62" s="8" t="s">
        <v>686</v>
      </c>
      <c r="I62" s="18"/>
      <c r="J62" s="18"/>
      <c r="K62" s="1"/>
      <c r="L62" s="1"/>
      <c r="M62" s="1"/>
      <c r="N62" s="1"/>
      <c r="O62" s="1"/>
      <c r="P62" s="1"/>
      <c r="Q62" s="1"/>
      <c r="R62" s="1"/>
      <c r="S62" s="1"/>
      <c r="T62" s="8" t="s">
        <v>7</v>
      </c>
      <c r="U62" s="18"/>
      <c r="V62" s="18"/>
      <c r="W62" s="18"/>
      <c r="X62" s="1"/>
      <c r="Y62" s="1"/>
      <c r="Z62" s="1"/>
      <c r="AA62" s="5" t="s">
        <v>8</v>
      </c>
      <c r="AB62" s="1"/>
      <c r="AC62" s="1"/>
    </row>
    <row r="63" spans="1:29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1.25" customHeight="1">
      <c r="A64" s="1"/>
      <c r="B64" s="1"/>
      <c r="C64" s="8" t="s">
        <v>900</v>
      </c>
      <c r="D64" s="18"/>
      <c r="E64" s="1"/>
      <c r="F64" s="1"/>
      <c r="G64" s="1"/>
      <c r="H64" s="8" t="s">
        <v>901</v>
      </c>
      <c r="I64" s="18"/>
      <c r="J64" s="18"/>
      <c r="K64" s="18"/>
      <c r="L64" s="18"/>
      <c r="M64" s="18"/>
      <c r="N64" s="1"/>
      <c r="O64" s="1"/>
      <c r="P64" s="1"/>
      <c r="Q64" s="1"/>
      <c r="R64" s="1"/>
      <c r="S64" s="1"/>
      <c r="T64" s="8" t="s">
        <v>7</v>
      </c>
      <c r="U64" s="18"/>
      <c r="V64" s="18"/>
      <c r="W64" s="18"/>
      <c r="X64" s="1"/>
      <c r="Y64" s="1"/>
      <c r="Z64" s="1"/>
      <c r="AA64" s="5" t="s">
        <v>836</v>
      </c>
      <c r="AB64" s="1"/>
      <c r="AC64" s="1"/>
    </row>
    <row r="65" spans="1:29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1.25" customHeight="1">
      <c r="A66" s="1"/>
      <c r="B66" s="1"/>
      <c r="C66" s="8" t="s">
        <v>902</v>
      </c>
      <c r="D66" s="18"/>
      <c r="E66" s="1"/>
      <c r="F66" s="1"/>
      <c r="G66" s="1"/>
      <c r="H66" s="8" t="s">
        <v>903</v>
      </c>
      <c r="I66" s="18"/>
      <c r="J66" s="18"/>
      <c r="K66" s="18"/>
      <c r="L66" s="18"/>
      <c r="M66" s="18"/>
      <c r="N66" s="18"/>
      <c r="O66" s="18"/>
      <c r="P66" s="1"/>
      <c r="Q66" s="1"/>
      <c r="R66" s="1"/>
      <c r="S66" s="1"/>
      <c r="T66" s="8" t="s">
        <v>7</v>
      </c>
      <c r="U66" s="18"/>
      <c r="V66" s="18"/>
      <c r="W66" s="18"/>
      <c r="X66" s="1"/>
      <c r="Y66" s="1"/>
      <c r="Z66" s="1"/>
      <c r="AA66" s="5" t="s">
        <v>513</v>
      </c>
      <c r="AB66" s="1"/>
      <c r="AC66" s="1"/>
    </row>
    <row r="67" spans="1:29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1.25" customHeight="1">
      <c r="A68" s="1"/>
      <c r="B68" s="1"/>
      <c r="C68" s="8" t="s">
        <v>904</v>
      </c>
      <c r="D68" s="18"/>
      <c r="E68" s="1"/>
      <c r="F68" s="1"/>
      <c r="G68" s="1"/>
      <c r="H68" s="8" t="s">
        <v>905</v>
      </c>
      <c r="I68" s="18"/>
      <c r="J68" s="18"/>
      <c r="K68" s="18"/>
      <c r="L68" s="18"/>
      <c r="M68" s="18"/>
      <c r="N68" s="18"/>
      <c r="O68" s="18"/>
      <c r="P68" s="1"/>
      <c r="Q68" s="1"/>
      <c r="R68" s="1"/>
      <c r="S68" s="1"/>
      <c r="T68" s="8" t="s">
        <v>7</v>
      </c>
      <c r="U68" s="18"/>
      <c r="V68" s="18"/>
      <c r="W68" s="18"/>
      <c r="X68" s="1"/>
      <c r="Y68" s="1"/>
      <c r="Z68" s="1"/>
      <c r="AA68" s="5" t="s">
        <v>513</v>
      </c>
      <c r="AB68" s="1"/>
      <c r="AC68" s="1"/>
    </row>
    <row r="69" spans="1:29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1.25" customHeight="1">
      <c r="A70" s="1"/>
      <c r="B70" s="1"/>
      <c r="C70" s="8" t="s">
        <v>906</v>
      </c>
      <c r="D70" s="18"/>
      <c r="E70" s="1"/>
      <c r="F70" s="1"/>
      <c r="G70" s="1"/>
      <c r="H70" s="8" t="s">
        <v>907</v>
      </c>
      <c r="I70" s="18"/>
      <c r="J70" s="18"/>
      <c r="K70" s="18"/>
      <c r="L70" s="18"/>
      <c r="M70" s="18"/>
      <c r="N70" s="18"/>
      <c r="O70" s="1"/>
      <c r="P70" s="1"/>
      <c r="Q70" s="1"/>
      <c r="R70" s="1"/>
      <c r="S70" s="1"/>
      <c r="T70" s="8" t="s">
        <v>7</v>
      </c>
      <c r="U70" s="18"/>
      <c r="V70" s="18"/>
      <c r="W70" s="18"/>
      <c r="X70" s="1"/>
      <c r="Y70" s="1"/>
      <c r="Z70" s="1"/>
      <c r="AA70" s="5" t="s">
        <v>557</v>
      </c>
      <c r="AB70" s="1"/>
      <c r="AC70" s="1"/>
    </row>
    <row r="71" spans="1:29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1.25" customHeight="1">
      <c r="A72" s="1"/>
      <c r="B72" s="1"/>
      <c r="C72" s="8" t="s">
        <v>908</v>
      </c>
      <c r="D72" s="18"/>
      <c r="E72" s="18"/>
      <c r="F72" s="1"/>
      <c r="G72" s="1"/>
      <c r="H72" s="8" t="s">
        <v>909</v>
      </c>
      <c r="I72" s="18"/>
      <c r="J72" s="18"/>
      <c r="K72" s="18"/>
      <c r="L72" s="18"/>
      <c r="M72" s="1"/>
      <c r="N72" s="1"/>
      <c r="O72" s="1"/>
      <c r="P72" s="1"/>
      <c r="Q72" s="1"/>
      <c r="R72" s="1"/>
      <c r="S72" s="1"/>
      <c r="T72" s="8" t="s">
        <v>7</v>
      </c>
      <c r="U72" s="18"/>
      <c r="V72" s="18"/>
      <c r="W72" s="18"/>
      <c r="X72" s="1"/>
      <c r="Y72" s="1"/>
      <c r="Z72" s="1"/>
      <c r="AA72" s="5" t="s">
        <v>118</v>
      </c>
      <c r="AB72" s="1"/>
      <c r="AC72" s="1"/>
    </row>
    <row r="73" spans="1:29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1.25" customHeight="1">
      <c r="A74" s="1"/>
      <c r="B74" s="1"/>
      <c r="C74" s="8" t="s">
        <v>910</v>
      </c>
      <c r="D74" s="18"/>
      <c r="E74" s="18"/>
      <c r="F74" s="1"/>
      <c r="G74" s="1"/>
      <c r="H74" s="8" t="s">
        <v>911</v>
      </c>
      <c r="I74" s="18"/>
      <c r="J74" s="18"/>
      <c r="K74" s="18"/>
      <c r="L74" s="18"/>
      <c r="M74" s="1"/>
      <c r="N74" s="1"/>
      <c r="O74" s="1"/>
      <c r="P74" s="1"/>
      <c r="Q74" s="1"/>
      <c r="R74" s="1"/>
      <c r="S74" s="1"/>
      <c r="T74" s="8" t="s">
        <v>7</v>
      </c>
      <c r="U74" s="18"/>
      <c r="V74" s="18"/>
      <c r="W74" s="18"/>
      <c r="X74" s="1"/>
      <c r="Y74" s="1"/>
      <c r="Z74" s="1"/>
      <c r="AA74" s="5" t="s">
        <v>118</v>
      </c>
      <c r="AB74" s="1"/>
      <c r="AC74" s="1"/>
    </row>
    <row r="75" spans="1:29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1.25" customHeight="1">
      <c r="A76" s="1"/>
      <c r="B76" s="1"/>
      <c r="C76" s="8" t="s">
        <v>912</v>
      </c>
      <c r="D76" s="18"/>
      <c r="E76" s="18"/>
      <c r="F76" s="1"/>
      <c r="G76" s="1"/>
      <c r="H76" s="8" t="s">
        <v>913</v>
      </c>
      <c r="I76" s="18"/>
      <c r="J76" s="18"/>
      <c r="K76" s="18"/>
      <c r="L76" s="18"/>
      <c r="M76" s="18"/>
      <c r="N76" s="1"/>
      <c r="O76" s="1"/>
      <c r="P76" s="1"/>
      <c r="Q76" s="1"/>
      <c r="R76" s="1"/>
      <c r="S76" s="1"/>
      <c r="T76" s="8" t="s">
        <v>7</v>
      </c>
      <c r="U76" s="18"/>
      <c r="V76" s="18"/>
      <c r="W76" s="18"/>
      <c r="X76" s="1"/>
      <c r="Y76" s="1"/>
      <c r="Z76" s="1"/>
      <c r="AA76" s="5" t="s">
        <v>868</v>
      </c>
      <c r="AB76" s="1"/>
      <c r="AC76" s="1"/>
    </row>
    <row r="77" spans="1:29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1.25" customHeight="1">
      <c r="A78" s="1"/>
      <c r="B78" s="1"/>
      <c r="C78" s="8" t="s">
        <v>914</v>
      </c>
      <c r="D78" s="18"/>
      <c r="E78" s="18"/>
      <c r="F78" s="1"/>
      <c r="G78" s="1"/>
      <c r="H78" s="8" t="s">
        <v>915</v>
      </c>
      <c r="I78" s="18"/>
      <c r="J78" s="18"/>
      <c r="K78" s="18"/>
      <c r="L78" s="18"/>
      <c r="M78" s="18"/>
      <c r="N78" s="1"/>
      <c r="O78" s="1"/>
      <c r="P78" s="1"/>
      <c r="Q78" s="1"/>
      <c r="R78" s="1"/>
      <c r="S78" s="1"/>
      <c r="T78" s="8" t="s">
        <v>7</v>
      </c>
      <c r="U78" s="18"/>
      <c r="V78" s="18"/>
      <c r="W78" s="18"/>
      <c r="X78" s="1"/>
      <c r="Y78" s="1"/>
      <c r="Z78" s="1"/>
      <c r="AA78" s="5" t="s">
        <v>868</v>
      </c>
      <c r="AB78" s="1"/>
      <c r="AC78" s="1"/>
    </row>
    <row r="79" spans="1:29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1.25" customHeight="1">
      <c r="A80" s="1"/>
      <c r="B80" s="1"/>
      <c r="C80" s="8" t="s">
        <v>916</v>
      </c>
      <c r="D80" s="18"/>
      <c r="E80" s="18"/>
      <c r="F80" s="1"/>
      <c r="G80" s="1"/>
      <c r="H80" s="8" t="s">
        <v>917</v>
      </c>
      <c r="I80" s="18"/>
      <c r="J80" s="18"/>
      <c r="K80" s="18"/>
      <c r="L80" s="18"/>
      <c r="M80" s="1"/>
      <c r="N80" s="1"/>
      <c r="O80" s="1"/>
      <c r="P80" s="1"/>
      <c r="Q80" s="1"/>
      <c r="R80" s="1"/>
      <c r="S80" s="1"/>
      <c r="T80" s="8" t="s">
        <v>7</v>
      </c>
      <c r="U80" s="18"/>
      <c r="V80" s="18"/>
      <c r="W80" s="18"/>
      <c r="X80" s="1"/>
      <c r="Y80" s="1"/>
      <c r="Z80" s="1"/>
      <c r="AA80" s="5" t="s">
        <v>762</v>
      </c>
      <c r="AB80" s="1"/>
      <c r="AC80" s="1"/>
    </row>
    <row r="81" spans="1:29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1.25" customHeight="1">
      <c r="A82" s="1"/>
      <c r="B82" s="1"/>
      <c r="C82" s="8" t="s">
        <v>918</v>
      </c>
      <c r="D82" s="18"/>
      <c r="E82" s="18"/>
      <c r="F82" s="1"/>
      <c r="G82" s="1"/>
      <c r="H82" s="8" t="s">
        <v>919</v>
      </c>
      <c r="I82" s="18"/>
      <c r="J82" s="18"/>
      <c r="K82" s="18"/>
      <c r="L82" s="18"/>
      <c r="M82" s="1"/>
      <c r="N82" s="1"/>
      <c r="O82" s="1"/>
      <c r="P82" s="1"/>
      <c r="Q82" s="1"/>
      <c r="R82" s="1"/>
      <c r="S82" s="1"/>
      <c r="T82" s="8" t="s">
        <v>7</v>
      </c>
      <c r="U82" s="18"/>
      <c r="V82" s="18"/>
      <c r="W82" s="18"/>
      <c r="X82" s="1"/>
      <c r="Y82" s="1"/>
      <c r="Z82" s="1"/>
      <c r="AA82" s="5" t="s">
        <v>762</v>
      </c>
      <c r="AB82" s="1"/>
      <c r="AC82" s="1"/>
    </row>
    <row r="83" spans="1:29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1.25" customHeight="1">
      <c r="A84" s="1"/>
      <c r="B84" s="1"/>
      <c r="C84" s="8" t="s">
        <v>920</v>
      </c>
      <c r="D84" s="18"/>
      <c r="E84" s="18"/>
      <c r="F84" s="1"/>
      <c r="G84" s="1"/>
      <c r="H84" s="8" t="s">
        <v>921</v>
      </c>
      <c r="I84" s="18"/>
      <c r="J84" s="18"/>
      <c r="K84" s="18"/>
      <c r="L84" s="18"/>
      <c r="M84" s="1"/>
      <c r="N84" s="1"/>
      <c r="O84" s="1"/>
      <c r="P84" s="1"/>
      <c r="Q84" s="1"/>
      <c r="R84" s="1"/>
      <c r="S84" s="1"/>
      <c r="T84" s="8" t="s">
        <v>7</v>
      </c>
      <c r="U84" s="18"/>
      <c r="V84" s="18"/>
      <c r="W84" s="18"/>
      <c r="X84" s="1"/>
      <c r="Y84" s="1"/>
      <c r="Z84" s="1"/>
      <c r="AA84" s="5" t="s">
        <v>513</v>
      </c>
      <c r="AB84" s="1"/>
      <c r="AC84" s="1"/>
    </row>
    <row r="85" spans="1:29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1.25" customHeight="1">
      <c r="A86" s="1"/>
      <c r="B86" s="1"/>
      <c r="C86" s="8" t="s">
        <v>922</v>
      </c>
      <c r="D86" s="18"/>
      <c r="E86" s="18"/>
      <c r="F86" s="1"/>
      <c r="G86" s="1"/>
      <c r="H86" s="8" t="s">
        <v>923</v>
      </c>
      <c r="I86" s="18"/>
      <c r="J86" s="18"/>
      <c r="K86" s="18"/>
      <c r="L86" s="18"/>
      <c r="M86" s="1"/>
      <c r="N86" s="1"/>
      <c r="O86" s="1"/>
      <c r="P86" s="1"/>
      <c r="Q86" s="1"/>
      <c r="R86" s="1"/>
      <c r="S86" s="1"/>
      <c r="T86" s="8" t="s">
        <v>7</v>
      </c>
      <c r="U86" s="18"/>
      <c r="V86" s="18"/>
      <c r="W86" s="18"/>
      <c r="X86" s="1"/>
      <c r="Y86" s="1"/>
      <c r="Z86" s="1"/>
      <c r="AA86" s="5" t="s">
        <v>604</v>
      </c>
      <c r="AB86" s="1"/>
      <c r="AC86" s="1"/>
    </row>
    <row r="87" spans="1:29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1.25" customHeight="1">
      <c r="A88" s="1"/>
      <c r="B88" s="1"/>
      <c r="C88" s="8" t="s">
        <v>924</v>
      </c>
      <c r="D88" s="18"/>
      <c r="E88" s="18"/>
      <c r="F88" s="1"/>
      <c r="G88" s="1"/>
      <c r="H88" s="8" t="s">
        <v>925</v>
      </c>
      <c r="I88" s="18"/>
      <c r="J88" s="18"/>
      <c r="K88" s="18"/>
      <c r="L88" s="18"/>
      <c r="M88" s="18"/>
      <c r="N88" s="1"/>
      <c r="O88" s="1"/>
      <c r="P88" s="1"/>
      <c r="Q88" s="1"/>
      <c r="R88" s="1"/>
      <c r="S88" s="1"/>
      <c r="T88" s="8" t="s">
        <v>7</v>
      </c>
      <c r="U88" s="18"/>
      <c r="V88" s="18"/>
      <c r="W88" s="18"/>
      <c r="X88" s="1"/>
      <c r="Y88" s="1"/>
      <c r="Z88" s="1"/>
      <c r="AA88" s="5" t="s">
        <v>926</v>
      </c>
      <c r="AB88" s="1"/>
      <c r="AC88" s="1"/>
    </row>
    <row r="89" spans="1:29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1.25" customHeight="1">
      <c r="A90" s="1"/>
      <c r="B90" s="1"/>
      <c r="C90" s="8" t="s">
        <v>927</v>
      </c>
      <c r="D90" s="18"/>
      <c r="E90" s="18"/>
      <c r="F90" s="1"/>
      <c r="G90" s="1"/>
      <c r="H90" s="8" t="s">
        <v>928</v>
      </c>
      <c r="I90" s="18"/>
      <c r="J90" s="18"/>
      <c r="K90" s="18"/>
      <c r="L90" s="18"/>
      <c r="M90" s="18"/>
      <c r="N90" s="1"/>
      <c r="O90" s="1"/>
      <c r="P90" s="1"/>
      <c r="Q90" s="1"/>
      <c r="R90" s="1"/>
      <c r="S90" s="1"/>
      <c r="T90" s="8" t="s">
        <v>7</v>
      </c>
      <c r="U90" s="18"/>
      <c r="V90" s="18"/>
      <c r="W90" s="18"/>
      <c r="X90" s="1"/>
      <c r="Y90" s="1"/>
      <c r="Z90" s="1"/>
      <c r="AA90" s="5" t="s">
        <v>926</v>
      </c>
      <c r="AB90" s="1"/>
      <c r="AC90" s="1"/>
    </row>
    <row r="91" spans="1:29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1.25" customHeight="1">
      <c r="A92" s="1"/>
      <c r="B92" s="1"/>
      <c r="C92" s="8" t="s">
        <v>929</v>
      </c>
      <c r="D92" s="18"/>
      <c r="E92" s="18"/>
      <c r="F92" s="1"/>
      <c r="G92" s="1"/>
      <c r="H92" s="8" t="s">
        <v>930</v>
      </c>
      <c r="I92" s="18"/>
      <c r="J92" s="18"/>
      <c r="K92" s="18"/>
      <c r="L92" s="18"/>
      <c r="M92" s="1"/>
      <c r="N92" s="1"/>
      <c r="O92" s="1"/>
      <c r="P92" s="1"/>
      <c r="Q92" s="1"/>
      <c r="R92" s="1"/>
      <c r="S92" s="1"/>
      <c r="T92" s="8" t="s">
        <v>7</v>
      </c>
      <c r="U92" s="18"/>
      <c r="V92" s="18"/>
      <c r="W92" s="18"/>
      <c r="X92" s="1"/>
      <c r="Y92" s="1"/>
      <c r="Z92" s="1"/>
      <c r="AA92" s="5" t="s">
        <v>169</v>
      </c>
      <c r="AB92" s="1"/>
      <c r="AC92" s="1"/>
    </row>
    <row r="93" spans="1:29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1.25" customHeight="1">
      <c r="A94" s="1"/>
      <c r="B94" s="1"/>
      <c r="C94" s="8" t="s">
        <v>931</v>
      </c>
      <c r="D94" s="18"/>
      <c r="E94" s="18"/>
      <c r="F94" s="1"/>
      <c r="G94" s="1"/>
      <c r="H94" s="8" t="s">
        <v>932</v>
      </c>
      <c r="I94" s="18"/>
      <c r="J94" s="18"/>
      <c r="K94" s="18"/>
      <c r="L94" s="18"/>
      <c r="M94" s="1"/>
      <c r="N94" s="1"/>
      <c r="O94" s="1"/>
      <c r="P94" s="1"/>
      <c r="Q94" s="1"/>
      <c r="R94" s="1"/>
      <c r="S94" s="1"/>
      <c r="T94" s="8" t="s">
        <v>7</v>
      </c>
      <c r="U94" s="18"/>
      <c r="V94" s="18"/>
      <c r="W94" s="18"/>
      <c r="X94" s="1"/>
      <c r="Y94" s="1"/>
      <c r="Z94" s="1"/>
      <c r="AA94" s="5" t="s">
        <v>169</v>
      </c>
      <c r="AB94" s="1"/>
      <c r="AC94" s="1"/>
    </row>
    <row r="95" spans="1:29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1.25" customHeight="1">
      <c r="A96" s="1"/>
      <c r="B96" s="1"/>
      <c r="C96" s="8" t="s">
        <v>933</v>
      </c>
      <c r="D96" s="18"/>
      <c r="E96" s="18"/>
      <c r="F96" s="1"/>
      <c r="G96" s="1"/>
      <c r="H96" s="8" t="s">
        <v>934</v>
      </c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8" t="s">
        <v>26</v>
      </c>
      <c r="W96" s="18"/>
      <c r="X96" s="1"/>
      <c r="Y96" s="1"/>
      <c r="Z96" s="1"/>
      <c r="AA96" s="5" t="s">
        <v>411</v>
      </c>
      <c r="AB96" s="1"/>
      <c r="AC96" s="1"/>
    </row>
    <row r="97" spans="1:29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1.25" customHeight="1">
      <c r="A98" s="1"/>
      <c r="B98" s="1"/>
      <c r="C98" s="8" t="s">
        <v>935</v>
      </c>
      <c r="D98" s="18"/>
      <c r="E98" s="18"/>
      <c r="F98" s="1"/>
      <c r="G98" s="1"/>
      <c r="H98" s="8" t="s">
        <v>936</v>
      </c>
      <c r="I98" s="18"/>
      <c r="J98" s="18"/>
      <c r="K98" s="18"/>
      <c r="L98" s="18"/>
      <c r="M98" s="18"/>
      <c r="N98" s="18"/>
      <c r="O98" s="18"/>
      <c r="P98" s="18"/>
      <c r="Q98" s="1"/>
      <c r="R98" s="1"/>
      <c r="S98" s="1"/>
      <c r="T98" s="1"/>
      <c r="U98" s="1"/>
      <c r="V98" s="8" t="s">
        <v>26</v>
      </c>
      <c r="W98" s="18"/>
      <c r="X98" s="1"/>
      <c r="Y98" s="1"/>
      <c r="Z98" s="1"/>
      <c r="AA98" s="5" t="s">
        <v>414</v>
      </c>
      <c r="AB98" s="1"/>
      <c r="AC98" s="1"/>
    </row>
    <row r="99" spans="1:29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1.25" customHeight="1">
      <c r="A100" s="1"/>
      <c r="B100" s="1"/>
      <c r="C100" s="8" t="s">
        <v>937</v>
      </c>
      <c r="D100" s="18"/>
      <c r="E100" s="1"/>
      <c r="F100" s="1"/>
      <c r="G100" s="1"/>
      <c r="H100" s="8" t="s">
        <v>938</v>
      </c>
      <c r="I100" s="18"/>
      <c r="J100" s="18"/>
      <c r="K100" s="18"/>
      <c r="L100" s="18"/>
      <c r="M100" s="18"/>
      <c r="N100" s="18"/>
      <c r="O100" s="18"/>
      <c r="P100" s="1"/>
      <c r="Q100" s="1"/>
      <c r="R100" s="1"/>
      <c r="S100" s="1"/>
      <c r="T100" s="8" t="s">
        <v>7</v>
      </c>
      <c r="U100" s="18"/>
      <c r="V100" s="18"/>
      <c r="W100" s="18"/>
      <c r="X100" s="1"/>
      <c r="Y100" s="1"/>
      <c r="Z100" s="1"/>
      <c r="AA100" s="5" t="s">
        <v>660</v>
      </c>
      <c r="AB100" s="1"/>
      <c r="AC100" s="1"/>
    </row>
    <row r="101" spans="1:29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"/>
      <c r="S104" s="1"/>
      <c r="T104" s="1"/>
      <c r="U104" s="1"/>
      <c r="V104" s="1"/>
      <c r="W104" s="1"/>
      <c r="X104" s="1"/>
      <c r="Y104" s="1"/>
      <c r="Z104" s="8" t="s">
        <v>939</v>
      </c>
      <c r="AA104" s="18"/>
      <c r="AB104" s="18"/>
      <c r="AC104" s="1"/>
    </row>
    <row r="105" spans="1:29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</sheetData>
  <mergeCells count="149">
    <mergeCell ref="B2:F4"/>
    <mergeCell ref="G2:T4"/>
    <mergeCell ref="U2:V4"/>
    <mergeCell ref="Y3:AB3"/>
    <mergeCell ref="C8:E8"/>
    <mergeCell ref="H8:K8"/>
    <mergeCell ref="T8:W8"/>
    <mergeCell ref="C10:E10"/>
    <mergeCell ref="H10:P10"/>
    <mergeCell ref="T10:W10"/>
    <mergeCell ref="U6:X6"/>
    <mergeCell ref="C12:D12"/>
    <mergeCell ref="H12:L12"/>
    <mergeCell ref="T12:W12"/>
    <mergeCell ref="C14:D14"/>
    <mergeCell ref="H14:N14"/>
    <mergeCell ref="T14:W14"/>
    <mergeCell ref="C16:E16"/>
    <mergeCell ref="H16:J16"/>
    <mergeCell ref="T16:W16"/>
    <mergeCell ref="C18:E18"/>
    <mergeCell ref="H18:J18"/>
    <mergeCell ref="T18:W18"/>
    <mergeCell ref="C20:D20"/>
    <mergeCell ref="H20:L20"/>
    <mergeCell ref="T20:W20"/>
    <mergeCell ref="C22:D22"/>
    <mergeCell ref="H22:K22"/>
    <mergeCell ref="T22:W22"/>
    <mergeCell ref="C24:E24"/>
    <mergeCell ref="H24:K24"/>
    <mergeCell ref="T24:W24"/>
    <mergeCell ref="C26:E26"/>
    <mergeCell ref="H26:L26"/>
    <mergeCell ref="T26:W26"/>
    <mergeCell ref="C28:D28"/>
    <mergeCell ref="H28:K28"/>
    <mergeCell ref="T28:W28"/>
    <mergeCell ref="C30:D30"/>
    <mergeCell ref="H30:J30"/>
    <mergeCell ref="T30:W30"/>
    <mergeCell ref="C32:D32"/>
    <mergeCell ref="H32:O32"/>
    <mergeCell ref="T32:W32"/>
    <mergeCell ref="C34:D34"/>
    <mergeCell ref="H34:L34"/>
    <mergeCell ref="T34:W34"/>
    <mergeCell ref="C36:D36"/>
    <mergeCell ref="H36:M36"/>
    <mergeCell ref="T36:W36"/>
    <mergeCell ref="C38:D38"/>
    <mergeCell ref="H38:L38"/>
    <mergeCell ref="T38:W38"/>
    <mergeCell ref="C40:D40"/>
    <mergeCell ref="H40:K40"/>
    <mergeCell ref="T40:W40"/>
    <mergeCell ref="C42:D42"/>
    <mergeCell ref="H42:M42"/>
    <mergeCell ref="T42:W42"/>
    <mergeCell ref="C44:D44"/>
    <mergeCell ref="H44:M44"/>
    <mergeCell ref="T44:W44"/>
    <mergeCell ref="C46:D46"/>
    <mergeCell ref="H46:M46"/>
    <mergeCell ref="T46:W46"/>
    <mergeCell ref="C48:D48"/>
    <mergeCell ref="H48:J48"/>
    <mergeCell ref="T48:W48"/>
    <mergeCell ref="C50:D50"/>
    <mergeCell ref="H50:J50"/>
    <mergeCell ref="T50:W50"/>
    <mergeCell ref="C52:D52"/>
    <mergeCell ref="H52:P52"/>
    <mergeCell ref="T52:W52"/>
    <mergeCell ref="C54:D54"/>
    <mergeCell ref="H54:L54"/>
    <mergeCell ref="T54:W54"/>
    <mergeCell ref="C56:D56"/>
    <mergeCell ref="H56:M56"/>
    <mergeCell ref="T56:W56"/>
    <mergeCell ref="C58:D58"/>
    <mergeCell ref="H58:N58"/>
    <mergeCell ref="T58:W58"/>
    <mergeCell ref="C60:D60"/>
    <mergeCell ref="H60:N60"/>
    <mergeCell ref="T60:W60"/>
    <mergeCell ref="C62:D62"/>
    <mergeCell ref="H62:J62"/>
    <mergeCell ref="T62:W62"/>
    <mergeCell ref="C64:D64"/>
    <mergeCell ref="H64:M64"/>
    <mergeCell ref="T64:W64"/>
    <mergeCell ref="C66:D66"/>
    <mergeCell ref="H66:O66"/>
    <mergeCell ref="T66:W66"/>
    <mergeCell ref="C68:D68"/>
    <mergeCell ref="H68:O68"/>
    <mergeCell ref="T68:W68"/>
    <mergeCell ref="C70:D70"/>
    <mergeCell ref="H70:N70"/>
    <mergeCell ref="T70:W70"/>
    <mergeCell ref="C72:E72"/>
    <mergeCell ref="H72:L72"/>
    <mergeCell ref="T72:W72"/>
    <mergeCell ref="C74:E74"/>
    <mergeCell ref="H74:L74"/>
    <mergeCell ref="T74:W74"/>
    <mergeCell ref="C76:E76"/>
    <mergeCell ref="H76:M76"/>
    <mergeCell ref="T76:W76"/>
    <mergeCell ref="C78:E78"/>
    <mergeCell ref="H78:M78"/>
    <mergeCell ref="T78:W78"/>
    <mergeCell ref="C80:E80"/>
    <mergeCell ref="H80:L80"/>
    <mergeCell ref="T80:W80"/>
    <mergeCell ref="C82:E82"/>
    <mergeCell ref="H82:L82"/>
    <mergeCell ref="T82:W82"/>
    <mergeCell ref="C84:E84"/>
    <mergeCell ref="H84:L84"/>
    <mergeCell ref="T84:W84"/>
    <mergeCell ref="C86:E86"/>
    <mergeCell ref="H86:L86"/>
    <mergeCell ref="T86:W86"/>
    <mergeCell ref="C88:E88"/>
    <mergeCell ref="H88:M88"/>
    <mergeCell ref="T88:W88"/>
    <mergeCell ref="C90:E90"/>
    <mergeCell ref="H90:M90"/>
    <mergeCell ref="T90:W90"/>
    <mergeCell ref="C92:E92"/>
    <mergeCell ref="H92:L92"/>
    <mergeCell ref="T92:W92"/>
    <mergeCell ref="C94:E94"/>
    <mergeCell ref="H94:L94"/>
    <mergeCell ref="T94:W94"/>
    <mergeCell ref="I102:R102"/>
    <mergeCell ref="J104:Q104"/>
    <mergeCell ref="Z104:AB104"/>
    <mergeCell ref="C96:E96"/>
    <mergeCell ref="H96:N96"/>
    <mergeCell ref="V96:W96"/>
    <mergeCell ref="C98:E98"/>
    <mergeCell ref="H98:P98"/>
    <mergeCell ref="V98:W98"/>
    <mergeCell ref="C100:D100"/>
    <mergeCell ref="H100:O100"/>
    <mergeCell ref="T100:W10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42578125" customWidth="1"/>
    <col min="6" max="6" width="17.7109375" customWidth="1"/>
    <col min="7" max="7" width="0.140625" customWidth="1"/>
    <col min="8" max="8" width="3.7109375" customWidth="1"/>
    <col min="9" max="9" width="6.140625" customWidth="1"/>
    <col min="10" max="10" width="9.5703125" customWidth="1"/>
    <col min="11" max="11" width="4.28515625" customWidth="1"/>
    <col min="12" max="12" width="5.85546875" customWidth="1"/>
    <col min="13" max="13" width="2.85546875" customWidth="1"/>
    <col min="14" max="14" width="1.42578125" customWidth="1"/>
    <col min="15" max="15" width="0.42578125" customWidth="1"/>
    <col min="16" max="17" width="0.5703125" customWidth="1"/>
    <col min="18" max="18" width="2" customWidth="1"/>
    <col min="19" max="19" width="1.85546875" customWidth="1"/>
    <col min="20" max="20" width="0.85546875" customWidth="1"/>
    <col min="21" max="21" width="0.42578125" customWidth="1"/>
    <col min="22" max="22" width="2" customWidth="1"/>
    <col min="23" max="23" width="3.85546875" customWidth="1"/>
    <col min="24" max="24" width="1" customWidth="1"/>
    <col min="25" max="25" width="1.28515625" customWidth="1"/>
    <col min="26" max="26" width="0.42578125" customWidth="1"/>
    <col min="27" max="27" width="0.85546875" customWidth="1"/>
    <col min="28" max="28" width="0.28515625" customWidth="1"/>
    <col min="29" max="29" width="1.28515625" customWidth="1"/>
    <col min="30" max="30" width="0.7109375" customWidth="1"/>
    <col min="31" max="31" width="0.28515625" customWidth="1"/>
    <col min="32" max="32" width="1.85546875" customWidth="1"/>
    <col min="33" max="33" width="0.28515625" customWidth="1"/>
    <col min="34" max="34" width="0.5703125" customWidth="1"/>
    <col min="35" max="35" width="1" customWidth="1"/>
    <col min="36" max="37" width="0.42578125" customWidth="1"/>
    <col min="38" max="38" width="3.140625" customWidth="1"/>
    <col min="39" max="39" width="2.5703125" customWidth="1"/>
    <col min="40" max="40" width="1.140625" customWidth="1"/>
    <col min="41" max="41" width="9.28515625" customWidth="1"/>
    <col min="42" max="42" width="0.28515625" customWidth="1"/>
    <col min="43" max="43" width="6" customWidth="1"/>
    <col min="44" max="44" width="0.42578125" customWidth="1"/>
    <col min="45" max="45" width="3.28515625" customWidth="1"/>
    <col min="46" max="46" width="1.140625" customWidth="1"/>
    <col min="47" max="47" width="1.85546875" customWidth="1"/>
    <col min="48" max="48" width="1.28515625" customWidth="1"/>
    <col min="49" max="49" width="7.42578125" customWidth="1"/>
    <col min="50" max="50" width="1" customWidth="1"/>
    <col min="51" max="51" width="3.85546875" customWidth="1"/>
  </cols>
  <sheetData>
    <row r="1" spans="1:51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1"/>
      <c r="AT1" s="1"/>
      <c r="AU1" s="1"/>
      <c r="AV1" s="1"/>
      <c r="AW1" s="1"/>
      <c r="AX1" s="1"/>
      <c r="AY1" s="1"/>
    </row>
    <row r="2" spans="1:51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1"/>
      <c r="AQ2" s="19" t="s">
        <v>2</v>
      </c>
      <c r="AR2" s="4"/>
      <c r="AS2" s="1"/>
      <c r="AT2" s="1"/>
      <c r="AU2" s="1"/>
      <c r="AV2" s="1"/>
      <c r="AW2" s="1"/>
      <c r="AX2" s="1"/>
      <c r="AY2" s="1"/>
    </row>
    <row r="3" spans="1:51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/>
      <c r="AQ3" s="21"/>
      <c r="AR3" s="4"/>
      <c r="AS3" s="1"/>
      <c r="AT3" s="8" t="s">
        <v>3</v>
      </c>
      <c r="AU3" s="18"/>
      <c r="AV3" s="18"/>
      <c r="AW3" s="18"/>
      <c r="AX3" s="18"/>
      <c r="AY3" s="1"/>
    </row>
    <row r="4" spans="1:51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7"/>
      <c r="AQ4" s="22"/>
      <c r="AR4" s="4"/>
      <c r="AS4" s="1"/>
      <c r="AT4" s="1"/>
      <c r="AU4" s="1"/>
      <c r="AV4" s="1"/>
      <c r="AW4" s="1"/>
      <c r="AX4" s="1"/>
      <c r="AY4" s="1"/>
    </row>
    <row r="5" spans="1:51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1"/>
      <c r="AS5" s="1"/>
      <c r="AT5" s="1"/>
      <c r="AU5" s="1"/>
      <c r="AV5" s="1"/>
      <c r="AW5" s="1"/>
      <c r="AX5" s="1"/>
      <c r="AY5" s="1"/>
    </row>
    <row r="6" spans="1:51" ht="11.25" customHeight="1">
      <c r="A6" s="1"/>
      <c r="B6" s="1"/>
      <c r="C6" s="1" t="s">
        <v>2222</v>
      </c>
      <c r="D6" s="1"/>
      <c r="E6" s="1"/>
      <c r="F6" s="1"/>
      <c r="G6" s="1"/>
      <c r="H6" s="1" t="s">
        <v>2223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8" t="s">
        <v>7</v>
      </c>
      <c r="AR6" s="18"/>
      <c r="AS6" s="18"/>
      <c r="AT6" s="1"/>
      <c r="AU6" s="1"/>
      <c r="AV6" s="8" t="s">
        <v>660</v>
      </c>
      <c r="AW6" s="18"/>
      <c r="AX6" s="1"/>
      <c r="AY6" s="1"/>
    </row>
    <row r="7" spans="1:51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1.25" customHeight="1">
      <c r="A8" s="1"/>
      <c r="B8" s="1"/>
      <c r="C8" s="8" t="s">
        <v>940</v>
      </c>
      <c r="D8" s="18"/>
      <c r="E8" s="1"/>
      <c r="F8" s="1"/>
      <c r="G8" s="1"/>
      <c r="H8" s="8" t="s">
        <v>941</v>
      </c>
      <c r="I8" s="18"/>
      <c r="J8" s="18"/>
      <c r="K8" s="18"/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8" t="s">
        <v>7</v>
      </c>
      <c r="AQ8" s="18"/>
      <c r="AR8" s="18"/>
      <c r="AS8" s="1"/>
      <c r="AT8" s="1"/>
      <c r="AU8" s="1"/>
      <c r="AV8" s="8" t="s">
        <v>660</v>
      </c>
      <c r="AW8" s="18"/>
      <c r="AX8" s="1"/>
      <c r="AY8" s="1"/>
    </row>
    <row r="9" spans="1:51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1.25" customHeight="1">
      <c r="A10" s="1"/>
      <c r="B10" s="1"/>
      <c r="C10" s="8" t="s">
        <v>942</v>
      </c>
      <c r="D10" s="18"/>
      <c r="E10" s="1"/>
      <c r="F10" s="1"/>
      <c r="G10" s="1"/>
      <c r="H10" s="8" t="s">
        <v>943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8" t="s">
        <v>7</v>
      </c>
      <c r="AQ10" s="18"/>
      <c r="AR10" s="18"/>
      <c r="AS10" s="1"/>
      <c r="AT10" s="1"/>
      <c r="AU10" s="1"/>
      <c r="AV10" s="8" t="s">
        <v>944</v>
      </c>
      <c r="AW10" s="18"/>
      <c r="AX10" s="1"/>
      <c r="AY10" s="1"/>
    </row>
    <row r="11" spans="1:51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1.25" customHeight="1">
      <c r="A12" s="1"/>
      <c r="B12" s="1"/>
      <c r="C12" s="8" t="s">
        <v>945</v>
      </c>
      <c r="D12" s="18"/>
      <c r="E12" s="1"/>
      <c r="F12" s="1"/>
      <c r="G12" s="1"/>
      <c r="H12" s="8" t="s">
        <v>946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8" t="s">
        <v>7</v>
      </c>
      <c r="AQ12" s="18"/>
      <c r="AR12" s="18"/>
      <c r="AS12" s="1"/>
      <c r="AT12" s="1"/>
      <c r="AU12" s="1"/>
      <c r="AV12" s="8" t="s">
        <v>944</v>
      </c>
      <c r="AW12" s="18"/>
      <c r="AX12" s="1"/>
      <c r="AY12" s="1"/>
    </row>
    <row r="13" spans="1:51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1.25" customHeight="1">
      <c r="A14" s="1"/>
      <c r="B14" s="1"/>
      <c r="C14" s="8" t="s">
        <v>947</v>
      </c>
      <c r="D14" s="18"/>
      <c r="E14" s="18"/>
      <c r="F14" s="1"/>
      <c r="G14" s="1"/>
      <c r="H14" s="8" t="s">
        <v>948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"/>
      <c r="AK14" s="1"/>
      <c r="AL14" s="1"/>
      <c r="AM14" s="1"/>
      <c r="AN14" s="1"/>
      <c r="AO14" s="1"/>
      <c r="AP14" s="8" t="s">
        <v>7</v>
      </c>
      <c r="AQ14" s="18"/>
      <c r="AR14" s="18"/>
      <c r="AS14" s="1"/>
      <c r="AT14" s="1"/>
      <c r="AU14" s="1"/>
      <c r="AV14" s="8" t="s">
        <v>949</v>
      </c>
      <c r="AW14" s="18"/>
      <c r="AX14" s="1"/>
      <c r="AY14" s="1"/>
    </row>
    <row r="15" spans="1:51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1.25" customHeight="1">
      <c r="A16" s="1"/>
      <c r="B16" s="1"/>
      <c r="C16" s="8" t="s">
        <v>950</v>
      </c>
      <c r="D16" s="18"/>
      <c r="E16" s="18"/>
      <c r="F16" s="1"/>
      <c r="G16" s="1"/>
      <c r="H16" s="8" t="s">
        <v>948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"/>
      <c r="AK16" s="1"/>
      <c r="AL16" s="1"/>
      <c r="AM16" s="1"/>
      <c r="AN16" s="1"/>
      <c r="AO16" s="1"/>
      <c r="AP16" s="8" t="s">
        <v>7</v>
      </c>
      <c r="AQ16" s="18"/>
      <c r="AR16" s="18"/>
      <c r="AS16" s="1"/>
      <c r="AT16" s="1"/>
      <c r="AU16" s="1"/>
      <c r="AV16" s="8" t="s">
        <v>951</v>
      </c>
      <c r="AW16" s="18"/>
      <c r="AX16" s="1"/>
      <c r="AY16" s="1"/>
    </row>
    <row r="17" spans="1:51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1.25" customHeight="1">
      <c r="A18" s="1"/>
      <c r="B18" s="1"/>
      <c r="C18" s="8" t="s">
        <v>952</v>
      </c>
      <c r="D18" s="18"/>
      <c r="E18" s="1"/>
      <c r="F18" s="1"/>
      <c r="G18" s="1"/>
      <c r="H18" s="8" t="s">
        <v>953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8" t="s">
        <v>7</v>
      </c>
      <c r="AQ18" s="18"/>
      <c r="AR18" s="18"/>
      <c r="AS18" s="1"/>
      <c r="AT18" s="1"/>
      <c r="AU18" s="1"/>
      <c r="AV18" s="8" t="s">
        <v>954</v>
      </c>
      <c r="AW18" s="18"/>
      <c r="AX18" s="1"/>
      <c r="AY18" s="1"/>
    </row>
    <row r="19" spans="1:51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1.25" customHeight="1">
      <c r="A20" s="1"/>
      <c r="B20" s="1"/>
      <c r="C20" s="8" t="s">
        <v>955</v>
      </c>
      <c r="D20" s="18"/>
      <c r="E20" s="1"/>
      <c r="F20" s="1"/>
      <c r="G20" s="1"/>
      <c r="H20" s="8" t="s">
        <v>956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8" t="s">
        <v>7</v>
      </c>
      <c r="AQ20" s="18"/>
      <c r="AR20" s="18"/>
      <c r="AS20" s="1"/>
      <c r="AT20" s="1"/>
      <c r="AU20" s="1"/>
      <c r="AV20" s="8" t="s">
        <v>954</v>
      </c>
      <c r="AW20" s="18"/>
      <c r="AX20" s="1"/>
      <c r="AY20" s="1"/>
    </row>
    <row r="21" spans="1:51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1.25" customHeight="1">
      <c r="A22" s="1"/>
      <c r="B22" s="1"/>
      <c r="C22" s="8" t="s">
        <v>957</v>
      </c>
      <c r="D22" s="18"/>
      <c r="E22" s="1"/>
      <c r="F22" s="1"/>
      <c r="G22" s="1"/>
      <c r="H22" s="8" t="s">
        <v>958</v>
      </c>
      <c r="I22" s="18"/>
      <c r="J22" s="18"/>
      <c r="K22" s="18"/>
      <c r="L22" s="18"/>
      <c r="M22" s="18"/>
      <c r="N22" s="18"/>
      <c r="O22" s="18"/>
      <c r="P22" s="18"/>
      <c r="Q22" s="18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8" t="s">
        <v>7</v>
      </c>
      <c r="AQ22" s="18"/>
      <c r="AR22" s="18"/>
      <c r="AS22" s="1"/>
      <c r="AT22" s="1"/>
      <c r="AU22" s="1"/>
      <c r="AV22" s="8" t="s">
        <v>959</v>
      </c>
      <c r="AW22" s="18"/>
      <c r="AX22" s="1"/>
      <c r="AY22" s="1"/>
    </row>
    <row r="23" spans="1:51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1.25" customHeight="1">
      <c r="A24" s="1"/>
      <c r="B24" s="1"/>
      <c r="C24" s="8" t="s">
        <v>960</v>
      </c>
      <c r="D24" s="18"/>
      <c r="E24" s="1"/>
      <c r="F24" s="1"/>
      <c r="G24" s="1"/>
      <c r="H24" s="8" t="s">
        <v>961</v>
      </c>
      <c r="I24" s="18"/>
      <c r="J24" s="18"/>
      <c r="K24" s="18"/>
      <c r="L24" s="18"/>
      <c r="M24" s="18"/>
      <c r="N24" s="18"/>
      <c r="O24" s="18"/>
      <c r="P24" s="18"/>
      <c r="Q24" s="18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8" t="s">
        <v>7</v>
      </c>
      <c r="AQ24" s="18"/>
      <c r="AR24" s="18"/>
      <c r="AS24" s="1"/>
      <c r="AT24" s="1"/>
      <c r="AU24" s="1"/>
      <c r="AV24" s="1"/>
      <c r="AW24" s="5" t="s">
        <v>604</v>
      </c>
      <c r="AX24" s="1"/>
      <c r="AY24" s="1"/>
    </row>
    <row r="25" spans="1:51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1.25" customHeight="1">
      <c r="A26" s="1"/>
      <c r="B26" s="1"/>
      <c r="C26" s="8" t="s">
        <v>962</v>
      </c>
      <c r="D26" s="18"/>
      <c r="E26" s="1"/>
      <c r="F26" s="1"/>
      <c r="G26" s="1"/>
      <c r="H26" s="8" t="s">
        <v>963</v>
      </c>
      <c r="I26" s="18"/>
      <c r="J26" s="18"/>
      <c r="K26" s="18"/>
      <c r="L26" s="1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8" t="s">
        <v>7</v>
      </c>
      <c r="AQ26" s="18"/>
      <c r="AR26" s="18"/>
      <c r="AS26" s="1"/>
      <c r="AT26" s="1"/>
      <c r="AU26" s="1"/>
      <c r="AV26" s="1"/>
      <c r="AW26" s="5" t="s">
        <v>964</v>
      </c>
      <c r="AX26" s="1"/>
      <c r="AY26" s="1"/>
    </row>
    <row r="27" spans="1:51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1.25" customHeight="1">
      <c r="A28" s="1"/>
      <c r="B28" s="1"/>
      <c r="C28" s="8" t="s">
        <v>965</v>
      </c>
      <c r="D28" s="18"/>
      <c r="E28" s="1"/>
      <c r="F28" s="1"/>
      <c r="G28" s="1"/>
      <c r="H28" s="8" t="s">
        <v>966</v>
      </c>
      <c r="I28" s="18"/>
      <c r="J28" s="18"/>
      <c r="K28" s="18"/>
      <c r="L28" s="1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8" t="s">
        <v>7</v>
      </c>
      <c r="AQ28" s="18"/>
      <c r="AR28" s="18"/>
      <c r="AS28" s="1"/>
      <c r="AT28" s="1"/>
      <c r="AU28" s="1"/>
      <c r="AV28" s="1"/>
      <c r="AW28" s="5" t="s">
        <v>964</v>
      </c>
      <c r="AX28" s="1"/>
      <c r="AY28" s="1"/>
    </row>
    <row r="29" spans="1:51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1.25" customHeight="1">
      <c r="A30" s="1"/>
      <c r="B30" s="1"/>
      <c r="C30" s="8" t="s">
        <v>967</v>
      </c>
      <c r="D30" s="18"/>
      <c r="E30" s="1"/>
      <c r="F30" s="1"/>
      <c r="G30" s="1"/>
      <c r="H30" s="8" t="s">
        <v>968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"/>
      <c r="AP30" s="8" t="s">
        <v>7</v>
      </c>
      <c r="AQ30" s="18"/>
      <c r="AR30" s="18"/>
      <c r="AS30" s="1"/>
      <c r="AT30" s="1"/>
      <c r="AU30" s="1"/>
      <c r="AV30" s="1"/>
      <c r="AW30" s="5" t="s">
        <v>513</v>
      </c>
      <c r="AX30" s="1"/>
      <c r="AY30" s="1"/>
    </row>
    <row r="31" spans="1:51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1.25" customHeight="1">
      <c r="A32" s="1"/>
      <c r="B32" s="1"/>
      <c r="C32" s="8" t="s">
        <v>969</v>
      </c>
      <c r="D32" s="18"/>
      <c r="E32" s="1"/>
      <c r="F32" s="1"/>
      <c r="G32" s="1"/>
      <c r="H32" s="8" t="s">
        <v>970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8" t="s">
        <v>7</v>
      </c>
      <c r="AQ32" s="18"/>
      <c r="AR32" s="18"/>
      <c r="AS32" s="1"/>
      <c r="AT32" s="1"/>
      <c r="AU32" s="1"/>
      <c r="AV32" s="1"/>
      <c r="AW32" s="5" t="s">
        <v>528</v>
      </c>
      <c r="AX32" s="1"/>
      <c r="AY32" s="1"/>
    </row>
    <row r="33" spans="1:51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1.25" customHeight="1">
      <c r="A34" s="1"/>
      <c r="B34" s="1"/>
      <c r="C34" s="8" t="s">
        <v>971</v>
      </c>
      <c r="D34" s="18"/>
      <c r="E34" s="1"/>
      <c r="F34" s="1"/>
      <c r="G34" s="1"/>
      <c r="H34" s="8" t="s">
        <v>972</v>
      </c>
      <c r="I34" s="18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8" t="s">
        <v>7</v>
      </c>
      <c r="AQ34" s="18"/>
      <c r="AR34" s="18"/>
      <c r="AS34" s="1"/>
      <c r="AT34" s="1"/>
      <c r="AU34" s="1"/>
      <c r="AV34" s="1"/>
      <c r="AW34" s="5" t="s">
        <v>169</v>
      </c>
      <c r="AX34" s="1"/>
      <c r="AY34" s="1"/>
    </row>
    <row r="35" spans="1:51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1.25" customHeight="1">
      <c r="A36" s="1"/>
      <c r="B36" s="1"/>
      <c r="C36" s="8" t="s">
        <v>973</v>
      </c>
      <c r="D36" s="18"/>
      <c r="E36" s="1"/>
      <c r="F36" s="1"/>
      <c r="G36" s="1"/>
      <c r="H36" s="8" t="s">
        <v>974</v>
      </c>
      <c r="I36" s="18"/>
      <c r="J36" s="1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8" t="s">
        <v>7</v>
      </c>
      <c r="AQ36" s="18"/>
      <c r="AR36" s="18"/>
      <c r="AS36" s="1"/>
      <c r="AT36" s="1"/>
      <c r="AU36" s="1"/>
      <c r="AV36" s="1"/>
      <c r="AW36" s="5" t="s">
        <v>208</v>
      </c>
      <c r="AX36" s="1"/>
      <c r="AY36" s="1"/>
    </row>
    <row r="37" spans="1:51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1.25" customHeight="1">
      <c r="A38" s="1"/>
      <c r="B38" s="1"/>
      <c r="C38" s="8" t="s">
        <v>975</v>
      </c>
      <c r="D38" s="18"/>
      <c r="E38" s="1"/>
      <c r="F38" s="1"/>
      <c r="G38" s="1"/>
      <c r="H38" s="8" t="s">
        <v>976</v>
      </c>
      <c r="I38" s="18"/>
      <c r="J38" s="18"/>
      <c r="K38" s="18"/>
      <c r="L38" s="18"/>
      <c r="M38" s="18"/>
      <c r="N38" s="18"/>
      <c r="O38" s="18"/>
      <c r="P38" s="18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8" t="s">
        <v>7</v>
      </c>
      <c r="AQ38" s="18"/>
      <c r="AR38" s="18"/>
      <c r="AS38" s="1"/>
      <c r="AT38" s="1"/>
      <c r="AU38" s="1"/>
      <c r="AV38" s="8" t="s">
        <v>51</v>
      </c>
      <c r="AW38" s="18"/>
      <c r="AX38" s="1"/>
      <c r="AY38" s="1"/>
    </row>
    <row r="39" spans="1:51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1.25" customHeight="1">
      <c r="A40" s="1"/>
      <c r="B40" s="1"/>
      <c r="C40" s="8" t="s">
        <v>977</v>
      </c>
      <c r="D40" s="18"/>
      <c r="E40" s="1"/>
      <c r="F40" s="1"/>
      <c r="G40" s="1"/>
      <c r="H40" s="8" t="s">
        <v>978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8" t="s">
        <v>7</v>
      </c>
      <c r="AQ40" s="18"/>
      <c r="AR40" s="18"/>
      <c r="AS40" s="1"/>
      <c r="AT40" s="1"/>
      <c r="AU40" s="1"/>
      <c r="AV40" s="1"/>
      <c r="AW40" s="5" t="s">
        <v>481</v>
      </c>
      <c r="AX40" s="1"/>
      <c r="AY40" s="1"/>
    </row>
    <row r="41" spans="1:51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1.25" customHeight="1">
      <c r="A42" s="1"/>
      <c r="B42" s="1"/>
      <c r="C42" s="8" t="s">
        <v>979</v>
      </c>
      <c r="D42" s="18"/>
      <c r="E42" s="1"/>
      <c r="F42" s="1"/>
      <c r="G42" s="1"/>
      <c r="H42" s="8" t="s">
        <v>980</v>
      </c>
      <c r="I42" s="18"/>
      <c r="J42" s="18"/>
      <c r="K42" s="18"/>
      <c r="L42" s="1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8" t="s">
        <v>7</v>
      </c>
      <c r="AQ42" s="18"/>
      <c r="AR42" s="18"/>
      <c r="AS42" s="1"/>
      <c r="AT42" s="1"/>
      <c r="AU42" s="1"/>
      <c r="AV42" s="1"/>
      <c r="AW42" s="5" t="s">
        <v>842</v>
      </c>
      <c r="AX42" s="1"/>
      <c r="AY42" s="1"/>
    </row>
    <row r="43" spans="1:51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1.25" customHeight="1">
      <c r="A44" s="1"/>
      <c r="B44" s="1"/>
      <c r="C44" s="8" t="s">
        <v>981</v>
      </c>
      <c r="D44" s="18"/>
      <c r="E44" s="1"/>
      <c r="F44" s="1"/>
      <c r="G44" s="1"/>
      <c r="H44" s="8" t="s">
        <v>982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8" t="s">
        <v>7</v>
      </c>
      <c r="AQ44" s="18"/>
      <c r="AR44" s="18"/>
      <c r="AS44" s="1"/>
      <c r="AT44" s="1"/>
      <c r="AU44" s="1"/>
      <c r="AV44" s="1"/>
      <c r="AW44" s="5" t="s">
        <v>604</v>
      </c>
      <c r="AX44" s="1"/>
      <c r="AY44" s="1"/>
    </row>
    <row r="45" spans="1:51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1.25" customHeight="1">
      <c r="A46" s="1"/>
      <c r="B46" s="1"/>
      <c r="C46" s="8" t="s">
        <v>983</v>
      </c>
      <c r="D46" s="18"/>
      <c r="E46" s="1"/>
      <c r="F46" s="1"/>
      <c r="G46" s="1"/>
      <c r="H46" s="8" t="s">
        <v>984</v>
      </c>
      <c r="I46" s="18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8" t="s">
        <v>7</v>
      </c>
      <c r="AQ46" s="18"/>
      <c r="AR46" s="18"/>
      <c r="AS46" s="1"/>
      <c r="AT46" s="1"/>
      <c r="AU46" s="1"/>
      <c r="AV46" s="1"/>
      <c r="AW46" s="5" t="s">
        <v>443</v>
      </c>
      <c r="AX46" s="1"/>
      <c r="AY46" s="1"/>
    </row>
    <row r="47" spans="1:51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1.25" customHeight="1">
      <c r="A48" s="1"/>
      <c r="B48" s="1"/>
      <c r="C48" s="8" t="s">
        <v>985</v>
      </c>
      <c r="D48" s="18"/>
      <c r="E48" s="1"/>
      <c r="F48" s="1"/>
      <c r="G48" s="1"/>
      <c r="H48" s="8" t="s">
        <v>986</v>
      </c>
      <c r="I48" s="18"/>
      <c r="J48" s="18"/>
      <c r="K48" s="18"/>
      <c r="L48" s="1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8" t="s">
        <v>7</v>
      </c>
      <c r="AQ48" s="18"/>
      <c r="AR48" s="18"/>
      <c r="AS48" s="1"/>
      <c r="AT48" s="1"/>
      <c r="AU48" s="1"/>
      <c r="AV48" s="8" t="s">
        <v>959</v>
      </c>
      <c r="AW48" s="18"/>
      <c r="AX48" s="1"/>
      <c r="AY48" s="1"/>
    </row>
    <row r="49" spans="1:51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1.25" customHeight="1">
      <c r="A50" s="1"/>
      <c r="B50" s="1"/>
      <c r="C50" s="8" t="s">
        <v>987</v>
      </c>
      <c r="D50" s="18"/>
      <c r="E50" s="1"/>
      <c r="F50" s="1"/>
      <c r="G50" s="1"/>
      <c r="H50" s="8" t="s">
        <v>988</v>
      </c>
      <c r="I50" s="18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8" t="s">
        <v>7</v>
      </c>
      <c r="AQ50" s="18"/>
      <c r="AR50" s="18"/>
      <c r="AS50" s="1"/>
      <c r="AT50" s="1"/>
      <c r="AU50" s="1"/>
      <c r="AV50" s="1"/>
      <c r="AW50" s="5" t="s">
        <v>166</v>
      </c>
      <c r="AX50" s="1"/>
      <c r="AY50" s="1"/>
    </row>
    <row r="51" spans="1:51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1.25" customHeight="1">
      <c r="A52" s="1"/>
      <c r="B52" s="1"/>
      <c r="C52" s="8" t="s">
        <v>989</v>
      </c>
      <c r="D52" s="18"/>
      <c r="E52" s="1"/>
      <c r="F52" s="1"/>
      <c r="G52" s="1"/>
      <c r="H52" s="8" t="s">
        <v>990</v>
      </c>
      <c r="I52" s="18"/>
      <c r="J52" s="18"/>
      <c r="K52" s="18"/>
      <c r="L52" s="18"/>
      <c r="M52" s="18"/>
      <c r="N52" s="1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8" t="s">
        <v>7</v>
      </c>
      <c r="AQ52" s="18"/>
      <c r="AR52" s="18"/>
      <c r="AS52" s="1"/>
      <c r="AT52" s="1"/>
      <c r="AU52" s="1"/>
      <c r="AV52" s="1"/>
      <c r="AW52" s="5" t="s">
        <v>991</v>
      </c>
      <c r="AX52" s="1"/>
      <c r="AY52" s="1"/>
    </row>
    <row r="53" spans="1:51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1.25" customHeight="1">
      <c r="A54" s="1"/>
      <c r="B54" s="1"/>
      <c r="C54" s="8" t="s">
        <v>992</v>
      </c>
      <c r="D54" s="18"/>
      <c r="E54" s="18"/>
      <c r="F54" s="1"/>
      <c r="G54" s="1"/>
      <c r="H54" s="8" t="s">
        <v>993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"/>
      <c r="AI54" s="1"/>
      <c r="AJ54" s="1"/>
      <c r="AK54" s="1"/>
      <c r="AL54" s="1"/>
      <c r="AM54" s="1"/>
      <c r="AN54" s="1"/>
      <c r="AO54" s="1"/>
      <c r="AP54" s="8" t="s">
        <v>7</v>
      </c>
      <c r="AQ54" s="18"/>
      <c r="AR54" s="18"/>
      <c r="AS54" s="1"/>
      <c r="AT54" s="1"/>
      <c r="AU54" s="8" t="s">
        <v>994</v>
      </c>
      <c r="AV54" s="18"/>
      <c r="AW54" s="18"/>
      <c r="AX54" s="1"/>
      <c r="AY54" s="1"/>
    </row>
    <row r="55" spans="1:51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1.25" customHeight="1">
      <c r="A56" s="1"/>
      <c r="B56" s="1"/>
      <c r="C56" s="8" t="s">
        <v>995</v>
      </c>
      <c r="D56" s="18"/>
      <c r="E56" s="18"/>
      <c r="F56" s="1"/>
      <c r="G56" s="1"/>
      <c r="H56" s="8" t="s">
        <v>996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"/>
      <c r="AL56" s="1"/>
      <c r="AM56" s="1"/>
      <c r="AN56" s="1"/>
      <c r="AO56" s="1"/>
      <c r="AP56" s="8" t="s">
        <v>7</v>
      </c>
      <c r="AQ56" s="18"/>
      <c r="AR56" s="18"/>
      <c r="AS56" s="1"/>
      <c r="AT56" s="1"/>
      <c r="AU56" s="8" t="s">
        <v>997</v>
      </c>
      <c r="AV56" s="18"/>
      <c r="AW56" s="18"/>
      <c r="AX56" s="1"/>
      <c r="AY56" s="1"/>
    </row>
    <row r="57" spans="1:51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1.25" customHeight="1">
      <c r="A58" s="1"/>
      <c r="B58" s="1"/>
      <c r="C58" s="8" t="s">
        <v>998</v>
      </c>
      <c r="D58" s="18"/>
      <c r="E58" s="18"/>
      <c r="F58" s="1"/>
      <c r="G58" s="1"/>
      <c r="H58" s="8" t="s">
        <v>999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"/>
      <c r="AK58" s="1"/>
      <c r="AL58" s="1"/>
      <c r="AM58" s="1"/>
      <c r="AN58" s="1"/>
      <c r="AO58" s="1"/>
      <c r="AP58" s="8" t="s">
        <v>7</v>
      </c>
      <c r="AQ58" s="18"/>
      <c r="AR58" s="18"/>
      <c r="AS58" s="1"/>
      <c r="AT58" s="1"/>
      <c r="AU58" s="8" t="s">
        <v>1000</v>
      </c>
      <c r="AV58" s="18"/>
      <c r="AW58" s="18"/>
      <c r="AX58" s="1"/>
      <c r="AY58" s="1"/>
    </row>
    <row r="59" spans="1:51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1.25" customHeight="1">
      <c r="A60" s="1"/>
      <c r="B60" s="1"/>
      <c r="C60" s="8" t="s">
        <v>1001</v>
      </c>
      <c r="D60" s="18"/>
      <c r="E60" s="18"/>
      <c r="F60" s="1"/>
      <c r="G60" s="1"/>
      <c r="H60" s="8" t="s">
        <v>1002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"/>
      <c r="AJ60" s="1"/>
      <c r="AK60" s="1"/>
      <c r="AL60" s="1"/>
      <c r="AM60" s="1"/>
      <c r="AN60" s="1"/>
      <c r="AO60" s="1"/>
      <c r="AP60" s="8" t="s">
        <v>7</v>
      </c>
      <c r="AQ60" s="18"/>
      <c r="AR60" s="18"/>
      <c r="AS60" s="1"/>
      <c r="AT60" s="1"/>
      <c r="AU60" s="8" t="s">
        <v>1003</v>
      </c>
      <c r="AV60" s="18"/>
      <c r="AW60" s="18"/>
      <c r="AX60" s="1"/>
      <c r="AY60" s="1"/>
    </row>
    <row r="61" spans="1:51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1.25" customHeight="1">
      <c r="A62" s="1"/>
      <c r="B62" s="1"/>
      <c r="C62" s="8" t="s">
        <v>1004</v>
      </c>
      <c r="D62" s="18"/>
      <c r="E62" s="18"/>
      <c r="F62" s="1"/>
      <c r="G62" s="1"/>
      <c r="H62" s="8" t="s">
        <v>1005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"/>
      <c r="AJ62" s="1"/>
      <c r="AK62" s="1"/>
      <c r="AL62" s="1"/>
      <c r="AM62" s="1"/>
      <c r="AN62" s="1"/>
      <c r="AO62" s="1"/>
      <c r="AP62" s="8" t="s">
        <v>7</v>
      </c>
      <c r="AQ62" s="18"/>
      <c r="AR62" s="18"/>
      <c r="AS62" s="1"/>
      <c r="AT62" s="1"/>
      <c r="AU62" s="8" t="s">
        <v>1006</v>
      </c>
      <c r="AV62" s="18"/>
      <c r="AW62" s="18"/>
      <c r="AX62" s="1"/>
      <c r="AY62" s="1"/>
    </row>
    <row r="63" spans="1:51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1.25" customHeight="1">
      <c r="A64" s="1"/>
      <c r="B64" s="1"/>
      <c r="C64" s="8" t="s">
        <v>1007</v>
      </c>
      <c r="D64" s="18"/>
      <c r="E64" s="18"/>
      <c r="F64" s="1"/>
      <c r="G64" s="1"/>
      <c r="H64" s="8" t="s">
        <v>1008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"/>
      <c r="AM64" s="1"/>
      <c r="AN64" s="1"/>
      <c r="AO64" s="1"/>
      <c r="AP64" s="8" t="s">
        <v>7</v>
      </c>
      <c r="AQ64" s="18"/>
      <c r="AR64" s="18"/>
      <c r="AS64" s="1"/>
      <c r="AT64" s="1"/>
      <c r="AU64" s="8" t="s">
        <v>1009</v>
      </c>
      <c r="AV64" s="18"/>
      <c r="AW64" s="18"/>
      <c r="AX64" s="1"/>
      <c r="AY64" s="1"/>
    </row>
    <row r="65" spans="1:51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1.25" customHeight="1">
      <c r="A66" s="1"/>
      <c r="B66" s="1"/>
      <c r="C66" s="8" t="s">
        <v>1010</v>
      </c>
      <c r="D66" s="18"/>
      <c r="E66" s="1"/>
      <c r="F66" s="1"/>
      <c r="G66" s="1"/>
      <c r="H66" s="8" t="s">
        <v>1011</v>
      </c>
      <c r="I66" s="18"/>
      <c r="J66" s="18"/>
      <c r="K66" s="18"/>
      <c r="L66" s="1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8" t="s">
        <v>7</v>
      </c>
      <c r="AQ66" s="18"/>
      <c r="AR66" s="18"/>
      <c r="AS66" s="1"/>
      <c r="AT66" s="1"/>
      <c r="AU66" s="1"/>
      <c r="AV66" s="8" t="s">
        <v>1012</v>
      </c>
      <c r="AW66" s="18"/>
      <c r="AX66" s="1"/>
      <c r="AY66" s="1"/>
    </row>
    <row r="67" spans="1:51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1.25" customHeight="1">
      <c r="A68" s="1"/>
      <c r="B68" s="1"/>
      <c r="C68" s="8" t="s">
        <v>1013</v>
      </c>
      <c r="D68" s="18"/>
      <c r="E68" s="1"/>
      <c r="F68" s="1"/>
      <c r="G68" s="1"/>
      <c r="H68" s="8" t="s">
        <v>1014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"/>
      <c r="AL68" s="1"/>
      <c r="AM68" s="1"/>
      <c r="AN68" s="1"/>
      <c r="AO68" s="1"/>
      <c r="AP68" s="8" t="s">
        <v>7</v>
      </c>
      <c r="AQ68" s="18"/>
      <c r="AR68" s="18"/>
      <c r="AS68" s="1"/>
      <c r="AT68" s="1"/>
      <c r="AU68" s="1"/>
      <c r="AV68" s="8" t="s">
        <v>1015</v>
      </c>
      <c r="AW68" s="18"/>
      <c r="AX68" s="1"/>
      <c r="AY68" s="1"/>
    </row>
    <row r="69" spans="1:51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1.25" customHeight="1">
      <c r="A70" s="1"/>
      <c r="B70" s="1"/>
      <c r="C70" s="8" t="s">
        <v>1016</v>
      </c>
      <c r="D70" s="18"/>
      <c r="E70" s="1"/>
      <c r="F70" s="1"/>
      <c r="G70" s="1"/>
      <c r="H70" s="8" t="s">
        <v>1017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8" t="s">
        <v>7</v>
      </c>
      <c r="AQ70" s="18"/>
      <c r="AR70" s="18"/>
      <c r="AS70" s="1"/>
      <c r="AT70" s="1"/>
      <c r="AU70" s="1"/>
      <c r="AV70" s="8" t="s">
        <v>287</v>
      </c>
      <c r="AW70" s="18"/>
      <c r="AX70" s="1"/>
      <c r="AY70" s="1"/>
    </row>
    <row r="71" spans="1:51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1.25" customHeight="1">
      <c r="A72" s="1"/>
      <c r="B72" s="1"/>
      <c r="C72" s="8" t="s">
        <v>1018</v>
      </c>
      <c r="D72" s="18"/>
      <c r="E72" s="1"/>
      <c r="F72" s="1"/>
      <c r="G72" s="1"/>
      <c r="H72" s="8" t="s">
        <v>1019</v>
      </c>
      <c r="I72" s="18"/>
      <c r="J72" s="18"/>
      <c r="K72" s="18"/>
      <c r="L72" s="18"/>
      <c r="M72" s="18"/>
      <c r="N72" s="18"/>
      <c r="O72" s="1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8" t="s">
        <v>7</v>
      </c>
      <c r="AQ72" s="18"/>
      <c r="AR72" s="18"/>
      <c r="AS72" s="1"/>
      <c r="AT72" s="1"/>
      <c r="AU72" s="1"/>
      <c r="AV72" s="8" t="s">
        <v>287</v>
      </c>
      <c r="AW72" s="18"/>
      <c r="AX72" s="1"/>
      <c r="AY72" s="1"/>
    </row>
    <row r="73" spans="1:51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1.25" customHeight="1">
      <c r="A74" s="1"/>
      <c r="B74" s="1"/>
      <c r="C74" s="8" t="s">
        <v>1020</v>
      </c>
      <c r="D74" s="18"/>
      <c r="E74" s="1"/>
      <c r="F74" s="1"/>
      <c r="G74" s="1"/>
      <c r="H74" s="8" t="s">
        <v>1021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8" t="s">
        <v>7</v>
      </c>
      <c r="AQ74" s="18"/>
      <c r="AR74" s="18"/>
      <c r="AS74" s="1"/>
      <c r="AT74" s="1"/>
      <c r="AU74" s="1"/>
      <c r="AV74" s="8" t="s">
        <v>1022</v>
      </c>
      <c r="AW74" s="18"/>
      <c r="AX74" s="1"/>
      <c r="AY74" s="1"/>
    </row>
    <row r="75" spans="1:51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1.25" customHeight="1">
      <c r="A76" s="1"/>
      <c r="B76" s="1"/>
      <c r="C76" s="8" t="s">
        <v>1023</v>
      </c>
      <c r="D76" s="18"/>
      <c r="E76" s="1"/>
      <c r="F76" s="1"/>
      <c r="G76" s="1"/>
      <c r="H76" s="8" t="s">
        <v>1024</v>
      </c>
      <c r="I76" s="18"/>
      <c r="J76" s="18"/>
      <c r="K76" s="18"/>
      <c r="L76" s="1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8" t="s">
        <v>7</v>
      </c>
      <c r="AQ76" s="18"/>
      <c r="AR76" s="18"/>
      <c r="AS76" s="1"/>
      <c r="AT76" s="1"/>
      <c r="AU76" s="1"/>
      <c r="AV76" s="8" t="s">
        <v>1025</v>
      </c>
      <c r="AW76" s="18"/>
      <c r="AX76" s="1"/>
      <c r="AY76" s="1"/>
    </row>
    <row r="77" spans="1:51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1.25" customHeight="1">
      <c r="A78" s="1"/>
      <c r="B78" s="1"/>
      <c r="C78" s="8" t="s">
        <v>1026</v>
      </c>
      <c r="D78" s="18"/>
      <c r="E78" s="1"/>
      <c r="F78" s="1"/>
      <c r="G78" s="1"/>
      <c r="H78" s="8" t="s">
        <v>1027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8" t="s">
        <v>7</v>
      </c>
      <c r="AQ78" s="18"/>
      <c r="AR78" s="18"/>
      <c r="AS78" s="1"/>
      <c r="AT78" s="1"/>
      <c r="AU78" s="1"/>
      <c r="AV78" s="8" t="s">
        <v>1028</v>
      </c>
      <c r="AW78" s="18"/>
      <c r="AX78" s="1"/>
      <c r="AY78" s="1"/>
    </row>
    <row r="79" spans="1:51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1.25" customHeight="1">
      <c r="A80" s="1"/>
      <c r="B80" s="1"/>
      <c r="C80" s="8" t="s">
        <v>1029</v>
      </c>
      <c r="D80" s="18"/>
      <c r="E80" s="1"/>
      <c r="F80" s="1"/>
      <c r="G80" s="1"/>
      <c r="H80" s="8" t="s">
        <v>1030</v>
      </c>
      <c r="I80" s="18"/>
      <c r="J80" s="18"/>
      <c r="K80" s="18"/>
      <c r="L80" s="18"/>
      <c r="M80" s="1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8" t="s">
        <v>7</v>
      </c>
      <c r="AQ80" s="18"/>
      <c r="AR80" s="18"/>
      <c r="AS80" s="1"/>
      <c r="AT80" s="1"/>
      <c r="AU80" s="1"/>
      <c r="AV80" s="8" t="s">
        <v>954</v>
      </c>
      <c r="AW80" s="18"/>
      <c r="AX80" s="1"/>
      <c r="AY80" s="1"/>
    </row>
    <row r="81" spans="1:51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1.25" customHeight="1">
      <c r="A82" s="1"/>
      <c r="B82" s="1"/>
      <c r="C82" s="8" t="s">
        <v>1031</v>
      </c>
      <c r="D82" s="18"/>
      <c r="E82" s="1"/>
      <c r="F82" s="1"/>
      <c r="G82" s="1"/>
      <c r="H82" s="8" t="s">
        <v>839</v>
      </c>
      <c r="I82" s="18"/>
      <c r="J82" s="18"/>
      <c r="K82" s="1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8" t="s">
        <v>7</v>
      </c>
      <c r="AQ82" s="18"/>
      <c r="AR82" s="18"/>
      <c r="AS82" s="1"/>
      <c r="AT82" s="1"/>
      <c r="AU82" s="1"/>
      <c r="AV82" s="1"/>
      <c r="AW82" s="5" t="s">
        <v>770</v>
      </c>
      <c r="AX82" s="1"/>
      <c r="AY82" s="1"/>
    </row>
    <row r="83" spans="1:51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1.25" customHeight="1">
      <c r="A84" s="1"/>
      <c r="B84" s="1"/>
      <c r="C84" s="8" t="s">
        <v>1032</v>
      </c>
      <c r="D84" s="18"/>
      <c r="E84" s="18"/>
      <c r="F84" s="1"/>
      <c r="G84" s="1"/>
      <c r="H84" s="8" t="s">
        <v>1033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8" t="s">
        <v>7</v>
      </c>
      <c r="AQ84" s="18"/>
      <c r="AR84" s="18"/>
      <c r="AS84" s="1"/>
      <c r="AT84" s="1"/>
      <c r="AU84" s="8" t="s">
        <v>1034</v>
      </c>
      <c r="AV84" s="18"/>
      <c r="AW84" s="18"/>
      <c r="AX84" s="1"/>
      <c r="AY84" s="1"/>
    </row>
    <row r="85" spans="1:51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1.25" customHeight="1">
      <c r="A86" s="1"/>
      <c r="B86" s="1"/>
      <c r="C86" s="8" t="s">
        <v>1035</v>
      </c>
      <c r="D86" s="18"/>
      <c r="E86" s="18"/>
      <c r="F86" s="1"/>
      <c r="G86" s="1"/>
      <c r="H86" s="8" t="s">
        <v>1036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8" t="s">
        <v>7</v>
      </c>
      <c r="AQ86" s="18"/>
      <c r="AR86" s="18"/>
      <c r="AS86" s="1"/>
      <c r="AT86" s="1"/>
      <c r="AU86" s="1"/>
      <c r="AV86" s="8" t="s">
        <v>1037</v>
      </c>
      <c r="AW86" s="18"/>
      <c r="AX86" s="1"/>
      <c r="AY86" s="1"/>
    </row>
    <row r="87" spans="1:51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1.25" customHeight="1">
      <c r="A88" s="1"/>
      <c r="B88" s="1"/>
      <c r="C88" s="8" t="s">
        <v>1038</v>
      </c>
      <c r="D88" s="18"/>
      <c r="E88" s="18"/>
      <c r="F88" s="1"/>
      <c r="G88" s="1"/>
      <c r="H88" s="8" t="s">
        <v>1039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8" t="s">
        <v>7</v>
      </c>
      <c r="AQ88" s="18"/>
      <c r="AR88" s="18"/>
      <c r="AS88" s="1"/>
      <c r="AT88" s="1"/>
      <c r="AU88" s="1"/>
      <c r="AV88" s="8" t="s">
        <v>1040</v>
      </c>
      <c r="AW88" s="18"/>
      <c r="AX88" s="1"/>
      <c r="AY88" s="1"/>
    </row>
    <row r="89" spans="1:51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1.25" customHeight="1">
      <c r="A90" s="1"/>
      <c r="B90" s="1"/>
      <c r="C90" s="8" t="s">
        <v>1041</v>
      </c>
      <c r="D90" s="18"/>
      <c r="E90" s="18"/>
      <c r="F90" s="1"/>
      <c r="G90" s="1"/>
      <c r="H90" s="8" t="s">
        <v>1042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8" t="s">
        <v>7</v>
      </c>
      <c r="AQ90" s="18"/>
      <c r="AR90" s="18"/>
      <c r="AS90" s="1"/>
      <c r="AT90" s="1"/>
      <c r="AU90" s="8" t="s">
        <v>1043</v>
      </c>
      <c r="AV90" s="18"/>
      <c r="AW90" s="18"/>
      <c r="AX90" s="1"/>
      <c r="AY90" s="1"/>
    </row>
    <row r="91" spans="1:51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1.25" customHeight="1">
      <c r="A92" s="1"/>
      <c r="B92" s="1"/>
      <c r="C92" s="8" t="s">
        <v>1044</v>
      </c>
      <c r="D92" s="18"/>
      <c r="E92" s="18"/>
      <c r="F92" s="1"/>
      <c r="G92" s="1"/>
      <c r="H92" s="8" t="s">
        <v>1045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8" t="s">
        <v>7</v>
      </c>
      <c r="AQ92" s="18"/>
      <c r="AR92" s="18"/>
      <c r="AS92" s="1"/>
      <c r="AT92" s="1"/>
      <c r="AU92" s="8" t="s">
        <v>1046</v>
      </c>
      <c r="AV92" s="18"/>
      <c r="AW92" s="18"/>
      <c r="AX92" s="1"/>
      <c r="AY92" s="1"/>
    </row>
    <row r="93" spans="1:51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1.25" customHeight="1">
      <c r="A94" s="1"/>
      <c r="B94" s="1"/>
      <c r="C94" s="8" t="s">
        <v>1047</v>
      </c>
      <c r="D94" s="18"/>
      <c r="E94" s="18"/>
      <c r="F94" s="1"/>
      <c r="G94" s="1"/>
      <c r="H94" s="8" t="s">
        <v>1048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8" t="s">
        <v>7</v>
      </c>
      <c r="AQ94" s="18"/>
      <c r="AR94" s="18"/>
      <c r="AS94" s="1"/>
      <c r="AT94" s="1"/>
      <c r="AU94" s="8" t="s">
        <v>1049</v>
      </c>
      <c r="AV94" s="18"/>
      <c r="AW94" s="18"/>
      <c r="AX94" s="1"/>
      <c r="AY94" s="1"/>
    </row>
    <row r="95" spans="1:51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1.25" customHeight="1">
      <c r="A96" s="1"/>
      <c r="B96" s="1"/>
      <c r="C96" s="8" t="s">
        <v>1050</v>
      </c>
      <c r="D96" s="18"/>
      <c r="E96" s="1"/>
      <c r="F96" s="1"/>
      <c r="G96" s="1"/>
      <c r="H96" s="8" t="s">
        <v>1051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"/>
      <c r="AO96" s="1"/>
      <c r="AP96" s="8" t="s">
        <v>7</v>
      </c>
      <c r="AQ96" s="18"/>
      <c r="AR96" s="18"/>
      <c r="AS96" s="1"/>
      <c r="AT96" s="1"/>
      <c r="AU96" s="1"/>
      <c r="AV96" s="1"/>
      <c r="AW96" s="5" t="s">
        <v>323</v>
      </c>
      <c r="AX96" s="1"/>
      <c r="AY96" s="1"/>
    </row>
    <row r="97" spans="1:51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1.25" customHeight="1">
      <c r="A98" s="1"/>
      <c r="B98" s="1"/>
      <c r="C98" s="8" t="s">
        <v>1052</v>
      </c>
      <c r="D98" s="18"/>
      <c r="E98" s="1"/>
      <c r="F98" s="1"/>
      <c r="G98" s="1"/>
      <c r="H98" s="8" t="s">
        <v>1053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"/>
      <c r="AT98" s="1"/>
      <c r="AU98" s="1"/>
      <c r="AV98" s="1"/>
      <c r="AW98" s="5" t="s">
        <v>1054</v>
      </c>
      <c r="AX98" s="1"/>
      <c r="AY98" s="1"/>
    </row>
    <row r="99" spans="1:51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1.25" customHeight="1">
      <c r="A100" s="1"/>
      <c r="B100" s="1"/>
      <c r="C100" s="8" t="s">
        <v>1055</v>
      </c>
      <c r="D100" s="18"/>
      <c r="E100" s="1"/>
      <c r="F100" s="1"/>
      <c r="G100" s="1"/>
      <c r="H100" s="8" t="s">
        <v>1056</v>
      </c>
      <c r="I100" s="18"/>
      <c r="J100" s="18"/>
      <c r="K100" s="18"/>
      <c r="L100" s="1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8" t="s">
        <v>7</v>
      </c>
      <c r="AQ100" s="18"/>
      <c r="AR100" s="18"/>
      <c r="AS100" s="1"/>
      <c r="AT100" s="1"/>
      <c r="AU100" s="1"/>
      <c r="AV100" s="8" t="s">
        <v>1057</v>
      </c>
      <c r="AW100" s="18"/>
      <c r="AX100" s="1"/>
      <c r="AY100" s="1"/>
    </row>
    <row r="101" spans="1:51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8" t="s">
        <v>1058</v>
      </c>
      <c r="AV104" s="18"/>
      <c r="AW104" s="18"/>
      <c r="AX104" s="18"/>
      <c r="AY104" s="1"/>
    </row>
    <row r="105" spans="1:51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</sheetData>
  <mergeCells count="180">
    <mergeCell ref="B2:F4"/>
    <mergeCell ref="G2:AP4"/>
    <mergeCell ref="AQ2:AQ4"/>
    <mergeCell ref="AT3:AX3"/>
    <mergeCell ref="AV6:AW6"/>
    <mergeCell ref="C8:D8"/>
    <mergeCell ref="H8:L8"/>
    <mergeCell ref="AP8:AR8"/>
    <mergeCell ref="AV8:AW8"/>
    <mergeCell ref="AQ6:AS6"/>
    <mergeCell ref="C10:D10"/>
    <mergeCell ref="H10:AD10"/>
    <mergeCell ref="AP10:AR10"/>
    <mergeCell ref="AV10:AW10"/>
    <mergeCell ref="C12:D12"/>
    <mergeCell ref="H12:AE12"/>
    <mergeCell ref="AP12:AR12"/>
    <mergeCell ref="AV12:AW12"/>
    <mergeCell ref="C14:E14"/>
    <mergeCell ref="H14:AI14"/>
    <mergeCell ref="AP14:AR14"/>
    <mergeCell ref="AV14:AW14"/>
    <mergeCell ref="C16:E16"/>
    <mergeCell ref="H16:AI16"/>
    <mergeCell ref="AP16:AR16"/>
    <mergeCell ref="AV16:AW16"/>
    <mergeCell ref="C18:D18"/>
    <mergeCell ref="H18:T18"/>
    <mergeCell ref="AP18:AR18"/>
    <mergeCell ref="AV18:AW18"/>
    <mergeCell ref="C20:D20"/>
    <mergeCell ref="H20:U20"/>
    <mergeCell ref="AP20:AR20"/>
    <mergeCell ref="AV20:AW20"/>
    <mergeCell ref="C22:D22"/>
    <mergeCell ref="H22:Q22"/>
    <mergeCell ref="AP22:AR22"/>
    <mergeCell ref="AV22:AW22"/>
    <mergeCell ref="C24:D24"/>
    <mergeCell ref="H24:Q24"/>
    <mergeCell ref="AP24:AR24"/>
    <mergeCell ref="C26:D26"/>
    <mergeCell ref="H26:L26"/>
    <mergeCell ref="AP26:AR26"/>
    <mergeCell ref="C28:D28"/>
    <mergeCell ref="H28:L28"/>
    <mergeCell ref="AP28:AR28"/>
    <mergeCell ref="C30:D30"/>
    <mergeCell ref="H30:AN30"/>
    <mergeCell ref="AP30:AR30"/>
    <mergeCell ref="C32:D32"/>
    <mergeCell ref="H32:R32"/>
    <mergeCell ref="AP32:AR32"/>
    <mergeCell ref="C34:D34"/>
    <mergeCell ref="H34:J34"/>
    <mergeCell ref="AP34:AR34"/>
    <mergeCell ref="C36:D36"/>
    <mergeCell ref="H36:J36"/>
    <mergeCell ref="AP36:AR36"/>
    <mergeCell ref="C38:D38"/>
    <mergeCell ref="H38:P38"/>
    <mergeCell ref="AP38:AR38"/>
    <mergeCell ref="AV38:AW38"/>
    <mergeCell ref="C40:D40"/>
    <mergeCell ref="H40:W40"/>
    <mergeCell ref="AP40:AR40"/>
    <mergeCell ref="C42:D42"/>
    <mergeCell ref="H42:L42"/>
    <mergeCell ref="AP42:AR42"/>
    <mergeCell ref="C44:D44"/>
    <mergeCell ref="H44:S44"/>
    <mergeCell ref="AP44:AR44"/>
    <mergeCell ref="C46:D46"/>
    <mergeCell ref="H46:J46"/>
    <mergeCell ref="AP46:AR46"/>
    <mergeCell ref="C48:D48"/>
    <mergeCell ref="H48:L48"/>
    <mergeCell ref="AP48:AR48"/>
    <mergeCell ref="AV48:AW48"/>
    <mergeCell ref="C50:D50"/>
    <mergeCell ref="H50:J50"/>
    <mergeCell ref="AP50:AR50"/>
    <mergeCell ref="C52:D52"/>
    <mergeCell ref="H52:N52"/>
    <mergeCell ref="AP52:AR52"/>
    <mergeCell ref="C54:E54"/>
    <mergeCell ref="H54:AG54"/>
    <mergeCell ref="AP54:AR54"/>
    <mergeCell ref="AU54:AW54"/>
    <mergeCell ref="C56:E56"/>
    <mergeCell ref="H56:AJ56"/>
    <mergeCell ref="AP56:AR56"/>
    <mergeCell ref="AU56:AW56"/>
    <mergeCell ref="C58:E58"/>
    <mergeCell ref="H58:AI58"/>
    <mergeCell ref="AP58:AR58"/>
    <mergeCell ref="AU58:AW58"/>
    <mergeCell ref="C60:E60"/>
    <mergeCell ref="H60:AH60"/>
    <mergeCell ref="AP60:AR60"/>
    <mergeCell ref="AU60:AW60"/>
    <mergeCell ref="C62:E62"/>
    <mergeCell ref="H62:AH62"/>
    <mergeCell ref="AP62:AR62"/>
    <mergeCell ref="AU62:AW62"/>
    <mergeCell ref="C64:E64"/>
    <mergeCell ref="H64:AK64"/>
    <mergeCell ref="AP64:AR64"/>
    <mergeCell ref="AU64:AW64"/>
    <mergeCell ref="C66:D66"/>
    <mergeCell ref="H66:L66"/>
    <mergeCell ref="AP66:AR66"/>
    <mergeCell ref="AV66:AW66"/>
    <mergeCell ref="C68:D68"/>
    <mergeCell ref="H68:AJ68"/>
    <mergeCell ref="AP68:AR68"/>
    <mergeCell ref="AV68:AW68"/>
    <mergeCell ref="C70:D70"/>
    <mergeCell ref="H70:V70"/>
    <mergeCell ref="AP70:AR70"/>
    <mergeCell ref="AV70:AW70"/>
    <mergeCell ref="C72:D72"/>
    <mergeCell ref="H72:O72"/>
    <mergeCell ref="AP72:AR72"/>
    <mergeCell ref="AV72:AW72"/>
    <mergeCell ref="C74:D74"/>
    <mergeCell ref="H74:Y74"/>
    <mergeCell ref="AP74:AR74"/>
    <mergeCell ref="AV74:AW74"/>
    <mergeCell ref="C76:D76"/>
    <mergeCell ref="H76:L76"/>
    <mergeCell ref="AP76:AR76"/>
    <mergeCell ref="AV76:AW76"/>
    <mergeCell ref="C78:D78"/>
    <mergeCell ref="H78:AB78"/>
    <mergeCell ref="AP78:AR78"/>
    <mergeCell ref="AV78:AW78"/>
    <mergeCell ref="C80:D80"/>
    <mergeCell ref="H80:M80"/>
    <mergeCell ref="AP80:AR80"/>
    <mergeCell ref="AV80:AW80"/>
    <mergeCell ref="C82:D82"/>
    <mergeCell ref="H82:K82"/>
    <mergeCell ref="AP82:AR82"/>
    <mergeCell ref="C84:E84"/>
    <mergeCell ref="H84:Z84"/>
    <mergeCell ref="AP84:AR84"/>
    <mergeCell ref="AU84:AW84"/>
    <mergeCell ref="C86:E86"/>
    <mergeCell ref="H86:Y86"/>
    <mergeCell ref="AP86:AR86"/>
    <mergeCell ref="AV86:AW86"/>
    <mergeCell ref="C88:E88"/>
    <mergeCell ref="H88:AC88"/>
    <mergeCell ref="AP88:AR88"/>
    <mergeCell ref="AV88:AW88"/>
    <mergeCell ref="C90:E90"/>
    <mergeCell ref="H90:X90"/>
    <mergeCell ref="AP90:AR90"/>
    <mergeCell ref="AU90:AW90"/>
    <mergeCell ref="C92:E92"/>
    <mergeCell ref="H92:X92"/>
    <mergeCell ref="AP92:AR92"/>
    <mergeCell ref="AU92:AW92"/>
    <mergeCell ref="C100:D100"/>
    <mergeCell ref="H100:L100"/>
    <mergeCell ref="AP100:AR100"/>
    <mergeCell ref="AV100:AW100"/>
    <mergeCell ref="I102:AL102"/>
    <mergeCell ref="J104:AF104"/>
    <mergeCell ref="AU104:AX104"/>
    <mergeCell ref="C94:E94"/>
    <mergeCell ref="H94:AA94"/>
    <mergeCell ref="AP94:AR94"/>
    <mergeCell ref="AU94:AW94"/>
    <mergeCell ref="C96:D96"/>
    <mergeCell ref="H96:AM96"/>
    <mergeCell ref="AP96:AR96"/>
    <mergeCell ref="C98:D98"/>
    <mergeCell ref="H98:AR9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85546875" customWidth="1"/>
    <col min="6" max="6" width="3" customWidth="1"/>
    <col min="7" max="7" width="14.42578125" customWidth="1"/>
    <col min="8" max="8" width="0.140625" customWidth="1"/>
    <col min="9" max="9" width="3.7109375" customWidth="1"/>
    <col min="10" max="10" width="6.140625" customWidth="1"/>
    <col min="11" max="11" width="3.7109375" customWidth="1"/>
    <col min="12" max="12" width="7.28515625" customWidth="1"/>
    <col min="13" max="13" width="4" customWidth="1"/>
    <col min="14" max="14" width="3" customWidth="1"/>
    <col min="15" max="15" width="3.85546875" customWidth="1"/>
    <col min="16" max="16" width="1.42578125" customWidth="1"/>
    <col min="17" max="17" width="2.140625" customWidth="1"/>
    <col min="18" max="18" width="10.42578125" customWidth="1"/>
    <col min="19" max="19" width="1.5703125" customWidth="1"/>
    <col min="20" max="20" width="4.42578125" customWidth="1"/>
    <col min="21" max="21" width="3.7109375" customWidth="1"/>
    <col min="22" max="22" width="5.140625" customWidth="1"/>
    <col min="23" max="23" width="13.140625" customWidth="1"/>
    <col min="24" max="24" width="0.28515625" customWidth="1"/>
    <col min="25" max="25" width="3.140625" customWidth="1"/>
    <col min="26" max="26" width="2.85546875" customWidth="1"/>
    <col min="27" max="27" width="0.42578125" customWidth="1"/>
    <col min="28" max="28" width="4.42578125" customWidth="1"/>
    <col min="29" max="29" width="3" customWidth="1"/>
    <col min="30" max="30" width="7.42578125" customWidth="1"/>
    <col min="31" max="31" width="1" customWidth="1"/>
    <col min="32" max="32" width="3.85546875" customWidth="1"/>
  </cols>
  <sheetData>
    <row r="1" spans="1:32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  <c r="AB1" s="1"/>
      <c r="AC1" s="1"/>
      <c r="AD1" s="1"/>
      <c r="AE1" s="1"/>
      <c r="AF1" s="1"/>
    </row>
    <row r="2" spans="1:32" ht="1.7" customHeight="1">
      <c r="A2" s="3"/>
      <c r="B2" s="19" t="s">
        <v>0</v>
      </c>
      <c r="C2" s="10"/>
      <c r="D2" s="10"/>
      <c r="E2" s="10"/>
      <c r="F2" s="10"/>
      <c r="G2" s="11"/>
      <c r="H2" s="19" t="s">
        <v>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1"/>
      <c r="Y2" s="19" t="s">
        <v>2</v>
      </c>
      <c r="Z2" s="11"/>
      <c r="AA2" s="4"/>
      <c r="AB2" s="1"/>
      <c r="AC2" s="1"/>
      <c r="AD2" s="1"/>
      <c r="AE2" s="1"/>
      <c r="AF2" s="1"/>
    </row>
    <row r="3" spans="1:32" ht="11.25" customHeight="1">
      <c r="A3" s="3"/>
      <c r="B3" s="12"/>
      <c r="C3" s="13"/>
      <c r="D3" s="13"/>
      <c r="E3" s="13"/>
      <c r="F3" s="13"/>
      <c r="G3" s="14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12"/>
      <c r="Z3" s="14"/>
      <c r="AA3" s="4"/>
      <c r="AB3" s="1"/>
      <c r="AC3" s="8" t="s">
        <v>3</v>
      </c>
      <c r="AD3" s="18"/>
      <c r="AE3" s="18"/>
      <c r="AF3" s="1"/>
    </row>
    <row r="4" spans="1:32" ht="5.0999999999999996" customHeight="1">
      <c r="A4" s="3"/>
      <c r="B4" s="15"/>
      <c r="C4" s="16"/>
      <c r="D4" s="16"/>
      <c r="E4" s="16"/>
      <c r="F4" s="16"/>
      <c r="G4" s="17"/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15"/>
      <c r="Z4" s="17"/>
      <c r="AA4" s="4"/>
      <c r="AB4" s="1"/>
      <c r="AC4" s="1"/>
      <c r="AD4" s="1"/>
      <c r="AE4" s="1"/>
      <c r="AF4" s="1"/>
    </row>
    <row r="5" spans="1:32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  <c r="AB5" s="1"/>
      <c r="AC5" s="1"/>
      <c r="AD5" s="1"/>
      <c r="AE5" s="1"/>
      <c r="AF5" s="1"/>
    </row>
    <row r="6" spans="1:32" ht="11.25" customHeight="1">
      <c r="A6" s="1"/>
      <c r="B6" s="1"/>
      <c r="C6" s="1" t="s">
        <v>2224</v>
      </c>
      <c r="D6" s="1"/>
      <c r="E6" s="1"/>
      <c r="F6" s="1"/>
      <c r="G6" s="1"/>
      <c r="H6" s="1"/>
      <c r="I6" s="1" t="s">
        <v>2225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8" t="s">
        <v>7</v>
      </c>
      <c r="Z6" s="18"/>
      <c r="AA6" s="18"/>
      <c r="AB6" s="18"/>
      <c r="AC6" s="1"/>
      <c r="AD6" s="5" t="s">
        <v>1059</v>
      </c>
      <c r="AE6" s="1"/>
      <c r="AF6" s="1"/>
    </row>
    <row r="7" spans="1:32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1.25" customHeight="1">
      <c r="A8" s="1"/>
      <c r="B8" s="1"/>
      <c r="C8" s="8" t="s">
        <v>1060</v>
      </c>
      <c r="D8" s="18"/>
      <c r="E8" s="1"/>
      <c r="F8" s="1"/>
      <c r="G8" s="1"/>
      <c r="H8" s="1"/>
      <c r="I8" s="8" t="s">
        <v>1061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"/>
      <c r="U8" s="1"/>
      <c r="V8" s="1"/>
      <c r="W8" s="1"/>
      <c r="X8" s="8" t="s">
        <v>7</v>
      </c>
      <c r="Y8" s="18"/>
      <c r="Z8" s="18"/>
      <c r="AA8" s="18"/>
      <c r="AB8" s="1"/>
      <c r="AC8" s="1"/>
      <c r="AD8" s="5" t="s">
        <v>1059</v>
      </c>
      <c r="AE8" s="1"/>
      <c r="AF8" s="1"/>
    </row>
    <row r="9" spans="1:32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1.25" customHeight="1">
      <c r="A10" s="1"/>
      <c r="B10" s="1"/>
      <c r="C10" s="8" t="s">
        <v>1062</v>
      </c>
      <c r="D10" s="18"/>
      <c r="E10" s="1"/>
      <c r="F10" s="1"/>
      <c r="G10" s="1"/>
      <c r="H10" s="1"/>
      <c r="I10" s="8" t="s">
        <v>1063</v>
      </c>
      <c r="J10" s="18"/>
      <c r="K10" s="18"/>
      <c r="L10" s="18"/>
      <c r="M10" s="18"/>
      <c r="N10" s="18"/>
      <c r="O10" s="18"/>
      <c r="P10" s="18"/>
      <c r="Q10" s="1"/>
      <c r="R10" s="1"/>
      <c r="S10" s="1"/>
      <c r="T10" s="1"/>
      <c r="U10" s="1"/>
      <c r="V10" s="1"/>
      <c r="W10" s="1"/>
      <c r="X10" s="8" t="s">
        <v>7</v>
      </c>
      <c r="Y10" s="18"/>
      <c r="Z10" s="18"/>
      <c r="AA10" s="18"/>
      <c r="AB10" s="1"/>
      <c r="AC10" s="1"/>
      <c r="AD10" s="5" t="s">
        <v>1064</v>
      </c>
      <c r="AE10" s="1"/>
      <c r="AF10" s="1"/>
    </row>
    <row r="11" spans="1:32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1.25" customHeight="1">
      <c r="A12" s="1"/>
      <c r="B12" s="1"/>
      <c r="C12" s="8" t="s">
        <v>1065</v>
      </c>
      <c r="D12" s="18"/>
      <c r="E12" s="1"/>
      <c r="F12" s="1"/>
      <c r="G12" s="1"/>
      <c r="H12" s="1"/>
      <c r="I12" s="8" t="s">
        <v>1066</v>
      </c>
      <c r="J12" s="18"/>
      <c r="K12" s="18"/>
      <c r="L12" s="18"/>
      <c r="M12" s="18"/>
      <c r="N12" s="18"/>
      <c r="O12" s="18"/>
      <c r="P12" s="18"/>
      <c r="Q12" s="18"/>
      <c r="R12" s="1"/>
      <c r="S12" s="1"/>
      <c r="T12" s="1"/>
      <c r="U12" s="1"/>
      <c r="V12" s="1"/>
      <c r="W12" s="1"/>
      <c r="X12" s="8" t="s">
        <v>7</v>
      </c>
      <c r="Y12" s="18"/>
      <c r="Z12" s="18"/>
      <c r="AA12" s="18"/>
      <c r="AB12" s="1"/>
      <c r="AC12" s="8" t="s">
        <v>1067</v>
      </c>
      <c r="AD12" s="18"/>
      <c r="AE12" s="1"/>
      <c r="AF12" s="1"/>
    </row>
    <row r="13" spans="1:32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1.25" customHeight="1">
      <c r="A14" s="1"/>
      <c r="B14" s="1"/>
      <c r="C14" s="8" t="s">
        <v>1068</v>
      </c>
      <c r="D14" s="18"/>
      <c r="E14" s="1"/>
      <c r="F14" s="1"/>
      <c r="G14" s="1"/>
      <c r="H14" s="1"/>
      <c r="I14" s="8" t="s">
        <v>1069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"/>
      <c r="W14" s="1"/>
      <c r="X14" s="8" t="s">
        <v>7</v>
      </c>
      <c r="Y14" s="18"/>
      <c r="Z14" s="18"/>
      <c r="AA14" s="18"/>
      <c r="AB14" s="1"/>
      <c r="AC14" s="8" t="s">
        <v>1070</v>
      </c>
      <c r="AD14" s="18"/>
      <c r="AE14" s="1"/>
      <c r="AF14" s="1"/>
    </row>
    <row r="15" spans="1:32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1.25" customHeight="1">
      <c r="A16" s="1"/>
      <c r="B16" s="1"/>
      <c r="C16" s="8" t="s">
        <v>1071</v>
      </c>
      <c r="D16" s="18"/>
      <c r="E16" s="1"/>
      <c r="F16" s="1"/>
      <c r="G16" s="1"/>
      <c r="H16" s="1"/>
      <c r="I16" s="8" t="s">
        <v>1072</v>
      </c>
      <c r="J16" s="18"/>
      <c r="K16" s="18"/>
      <c r="L16" s="18"/>
      <c r="M16" s="18"/>
      <c r="N16" s="18"/>
      <c r="O16" s="18"/>
      <c r="P16" s="18"/>
      <c r="Q16" s="18"/>
      <c r="R16" s="1"/>
      <c r="S16" s="1"/>
      <c r="T16" s="1"/>
      <c r="U16" s="1"/>
      <c r="V16" s="1"/>
      <c r="W16" s="1"/>
      <c r="X16" s="8" t="s">
        <v>7</v>
      </c>
      <c r="Y16" s="18"/>
      <c r="Z16" s="18"/>
      <c r="AA16" s="18"/>
      <c r="AB16" s="1"/>
      <c r="AC16" s="1"/>
      <c r="AD16" s="5" t="s">
        <v>1073</v>
      </c>
      <c r="AE16" s="1"/>
      <c r="AF16" s="1"/>
    </row>
    <row r="17" spans="1:32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1.25" customHeight="1">
      <c r="A18" s="1"/>
      <c r="B18" s="1"/>
      <c r="C18" s="8" t="s">
        <v>1074</v>
      </c>
      <c r="D18" s="18"/>
      <c r="E18" s="1"/>
      <c r="F18" s="1"/>
      <c r="G18" s="1"/>
      <c r="H18" s="1"/>
      <c r="I18" s="8" t="s">
        <v>1075</v>
      </c>
      <c r="J18" s="18"/>
      <c r="K18" s="18"/>
      <c r="L18" s="18"/>
      <c r="M18" s="18"/>
      <c r="N18" s="18"/>
      <c r="O18" s="18"/>
      <c r="P18" s="18"/>
      <c r="Q18" s="18"/>
      <c r="R18" s="18"/>
      <c r="S18" s="1"/>
      <c r="T18" s="1"/>
      <c r="U18" s="1"/>
      <c r="V18" s="1"/>
      <c r="W18" s="1"/>
      <c r="X18" s="8" t="s">
        <v>7</v>
      </c>
      <c r="Y18" s="18"/>
      <c r="Z18" s="18"/>
      <c r="AA18" s="18"/>
      <c r="AB18" s="1"/>
      <c r="AC18" s="8" t="s">
        <v>1076</v>
      </c>
      <c r="AD18" s="18"/>
      <c r="AE18" s="1"/>
      <c r="AF18" s="1"/>
    </row>
    <row r="19" spans="1:32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1.25" customHeight="1">
      <c r="A20" s="1"/>
      <c r="B20" s="1"/>
      <c r="C20" s="8" t="s">
        <v>1077</v>
      </c>
      <c r="D20" s="18"/>
      <c r="E20" s="1"/>
      <c r="F20" s="1"/>
      <c r="G20" s="1"/>
      <c r="H20" s="1"/>
      <c r="I20" s="8" t="s">
        <v>1078</v>
      </c>
      <c r="J20" s="18"/>
      <c r="K20" s="18"/>
      <c r="L20" s="18"/>
      <c r="M20" s="18"/>
      <c r="N20" s="18"/>
      <c r="O20" s="18"/>
      <c r="P20" s="18"/>
      <c r="Q20" s="18"/>
      <c r="R20" s="18"/>
      <c r="S20" s="1"/>
      <c r="T20" s="1"/>
      <c r="U20" s="1"/>
      <c r="V20" s="1"/>
      <c r="W20" s="1"/>
      <c r="X20" s="8" t="s">
        <v>7</v>
      </c>
      <c r="Y20" s="18"/>
      <c r="Z20" s="18"/>
      <c r="AA20" s="18"/>
      <c r="AB20" s="1"/>
      <c r="AC20" s="1"/>
      <c r="AD20" s="5" t="s">
        <v>1079</v>
      </c>
      <c r="AE20" s="1"/>
      <c r="AF20" s="1"/>
    </row>
    <row r="21" spans="1:32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1.25" customHeight="1">
      <c r="A22" s="1"/>
      <c r="B22" s="1"/>
      <c r="C22" s="8" t="s">
        <v>1080</v>
      </c>
      <c r="D22" s="18"/>
      <c r="E22" s="1"/>
      <c r="F22" s="1"/>
      <c r="G22" s="1"/>
      <c r="H22" s="1"/>
      <c r="I22" s="8" t="s">
        <v>1081</v>
      </c>
      <c r="J22" s="18"/>
      <c r="K22" s="18"/>
      <c r="L22" s="18"/>
      <c r="M22" s="18"/>
      <c r="N22" s="18"/>
      <c r="O22" s="18"/>
      <c r="P22" s="1"/>
      <c r="Q22" s="1"/>
      <c r="R22" s="1"/>
      <c r="S22" s="1"/>
      <c r="T22" s="1"/>
      <c r="U22" s="1"/>
      <c r="V22" s="1"/>
      <c r="W22" s="1"/>
      <c r="X22" s="8" t="s">
        <v>7</v>
      </c>
      <c r="Y22" s="18"/>
      <c r="Z22" s="18"/>
      <c r="AA22" s="18"/>
      <c r="AB22" s="1"/>
      <c r="AC22" s="1"/>
      <c r="AD22" s="5" t="s">
        <v>1082</v>
      </c>
      <c r="AE22" s="1"/>
      <c r="AF22" s="1"/>
    </row>
    <row r="23" spans="1:32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1.25" customHeight="1">
      <c r="A24" s="1"/>
      <c r="B24" s="1"/>
      <c r="C24" s="8" t="s">
        <v>1083</v>
      </c>
      <c r="D24" s="18"/>
      <c r="E24" s="1"/>
      <c r="F24" s="1"/>
      <c r="G24" s="1"/>
      <c r="H24" s="1"/>
      <c r="I24" s="8" t="s">
        <v>586</v>
      </c>
      <c r="J24" s="18"/>
      <c r="K24" s="18"/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8" t="s">
        <v>7</v>
      </c>
      <c r="Y24" s="18"/>
      <c r="Z24" s="18"/>
      <c r="AA24" s="18"/>
      <c r="AB24" s="1"/>
      <c r="AC24" s="1"/>
      <c r="AD24" s="5" t="s">
        <v>166</v>
      </c>
      <c r="AE24" s="1"/>
      <c r="AF24" s="1"/>
    </row>
    <row r="25" spans="1:32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1.25" customHeight="1">
      <c r="A26" s="1"/>
      <c r="B26" s="1"/>
      <c r="C26" s="8" t="s">
        <v>1084</v>
      </c>
      <c r="D26" s="18"/>
      <c r="E26" s="1"/>
      <c r="F26" s="1"/>
      <c r="G26" s="1"/>
      <c r="H26" s="1"/>
      <c r="I26" s="8" t="s">
        <v>1085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"/>
      <c r="V26" s="1"/>
      <c r="W26" s="1"/>
      <c r="X26" s="8" t="s">
        <v>7</v>
      </c>
      <c r="Y26" s="18"/>
      <c r="Z26" s="18"/>
      <c r="AA26" s="18"/>
      <c r="AB26" s="1"/>
      <c r="AC26" s="1"/>
      <c r="AD26" s="5" t="s">
        <v>1086</v>
      </c>
      <c r="AE26" s="1"/>
      <c r="AF26" s="1"/>
    </row>
    <row r="27" spans="1:32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1.25" customHeight="1">
      <c r="A28" s="1"/>
      <c r="B28" s="1"/>
      <c r="C28" s="8" t="s">
        <v>1087</v>
      </c>
      <c r="D28" s="18"/>
      <c r="E28" s="1"/>
      <c r="F28" s="1"/>
      <c r="G28" s="1"/>
      <c r="H28" s="1"/>
      <c r="I28" s="8" t="s">
        <v>1088</v>
      </c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8" t="s">
        <v>7</v>
      </c>
      <c r="Y28" s="18"/>
      <c r="Z28" s="18"/>
      <c r="AA28" s="18"/>
      <c r="AB28" s="1"/>
      <c r="AC28" s="1"/>
      <c r="AD28" s="5" t="s">
        <v>1089</v>
      </c>
      <c r="AE28" s="1"/>
      <c r="AF28" s="1"/>
    </row>
    <row r="29" spans="1:32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1.25" customHeight="1">
      <c r="A30" s="1"/>
      <c r="B30" s="1"/>
      <c r="C30" s="8" t="s">
        <v>1090</v>
      </c>
      <c r="D30" s="18"/>
      <c r="E30" s="1"/>
      <c r="F30" s="1"/>
      <c r="G30" s="1"/>
      <c r="H30" s="1"/>
      <c r="I30" s="8" t="s">
        <v>1091</v>
      </c>
      <c r="J30" s="18"/>
      <c r="K30" s="18"/>
      <c r="L30" s="18"/>
      <c r="M30" s="18"/>
      <c r="N30" s="18"/>
      <c r="O30" s="18"/>
      <c r="P30" s="18"/>
      <c r="Q30" s="1"/>
      <c r="R30" s="1"/>
      <c r="S30" s="1"/>
      <c r="T30" s="1"/>
      <c r="U30" s="1"/>
      <c r="V30" s="1"/>
      <c r="W30" s="1"/>
      <c r="X30" s="8" t="s">
        <v>7</v>
      </c>
      <c r="Y30" s="18"/>
      <c r="Z30" s="18"/>
      <c r="AA30" s="18"/>
      <c r="AB30" s="1"/>
      <c r="AC30" s="1"/>
      <c r="AD30" s="5" t="s">
        <v>513</v>
      </c>
      <c r="AE30" s="1"/>
      <c r="AF30" s="1"/>
    </row>
    <row r="31" spans="1:32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1.25" customHeight="1">
      <c r="A32" s="1"/>
      <c r="B32" s="1"/>
      <c r="C32" s="8" t="s">
        <v>1092</v>
      </c>
      <c r="D32" s="18"/>
      <c r="E32" s="1"/>
      <c r="F32" s="1"/>
      <c r="G32" s="1"/>
      <c r="H32" s="1"/>
      <c r="I32" s="8" t="s">
        <v>1093</v>
      </c>
      <c r="J32" s="18"/>
      <c r="K32" s="18"/>
      <c r="L32" s="18"/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8" t="s">
        <v>7</v>
      </c>
      <c r="Y32" s="18"/>
      <c r="Z32" s="18"/>
      <c r="AA32" s="18"/>
      <c r="AB32" s="1"/>
      <c r="AC32" s="1"/>
      <c r="AD32" s="5" t="s">
        <v>1094</v>
      </c>
      <c r="AE32" s="1"/>
      <c r="AF32" s="1"/>
    </row>
    <row r="33" spans="1:32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1.25" customHeight="1">
      <c r="A34" s="1"/>
      <c r="B34" s="1"/>
      <c r="C34" s="8" t="s">
        <v>1095</v>
      </c>
      <c r="D34" s="18"/>
      <c r="E34" s="1"/>
      <c r="F34" s="1"/>
      <c r="G34" s="1"/>
      <c r="H34" s="1"/>
      <c r="I34" s="8" t="s">
        <v>1096</v>
      </c>
      <c r="J34" s="18"/>
      <c r="K34" s="18"/>
      <c r="L34" s="18"/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8" t="s">
        <v>7</v>
      </c>
      <c r="Y34" s="18"/>
      <c r="Z34" s="18"/>
      <c r="AA34" s="18"/>
      <c r="AB34" s="1"/>
      <c r="AC34" s="1"/>
      <c r="AD34" s="5" t="s">
        <v>597</v>
      </c>
      <c r="AE34" s="1"/>
      <c r="AF34" s="1"/>
    </row>
    <row r="35" spans="1:32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1.25" customHeight="1">
      <c r="A36" s="1"/>
      <c r="B36" s="1"/>
      <c r="C36" s="8" t="s">
        <v>1097</v>
      </c>
      <c r="D36" s="18"/>
      <c r="E36" s="1"/>
      <c r="F36" s="1"/>
      <c r="G36" s="1"/>
      <c r="H36" s="1"/>
      <c r="I36" s="8" t="s">
        <v>1098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"/>
      <c r="X36" s="8" t="s">
        <v>7</v>
      </c>
      <c r="Y36" s="18"/>
      <c r="Z36" s="18"/>
      <c r="AA36" s="18"/>
      <c r="AB36" s="1"/>
      <c r="AC36" s="1"/>
      <c r="AD36" s="5" t="s">
        <v>1099</v>
      </c>
      <c r="AE36" s="1"/>
      <c r="AF36" s="1"/>
    </row>
    <row r="37" spans="1:32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1.25" customHeight="1">
      <c r="A38" s="1"/>
      <c r="B38" s="1"/>
      <c r="C38" s="8" t="s">
        <v>1100</v>
      </c>
      <c r="D38" s="18"/>
      <c r="E38" s="1"/>
      <c r="F38" s="1"/>
      <c r="G38" s="1"/>
      <c r="H38" s="1"/>
      <c r="I38" s="8" t="s">
        <v>1101</v>
      </c>
      <c r="J38" s="18"/>
      <c r="K38" s="18"/>
      <c r="L38" s="18"/>
      <c r="M38" s="18"/>
      <c r="N38" s="1"/>
      <c r="O38" s="1"/>
      <c r="P38" s="1"/>
      <c r="Q38" s="1"/>
      <c r="R38" s="1"/>
      <c r="S38" s="1"/>
      <c r="T38" s="1"/>
      <c r="U38" s="1"/>
      <c r="V38" s="1"/>
      <c r="W38" s="1"/>
      <c r="X38" s="8" t="s">
        <v>7</v>
      </c>
      <c r="Y38" s="18"/>
      <c r="Z38" s="18"/>
      <c r="AA38" s="18"/>
      <c r="AB38" s="1"/>
      <c r="AC38" s="1"/>
      <c r="AD38" s="5" t="s">
        <v>842</v>
      </c>
      <c r="AE38" s="1"/>
      <c r="AF38" s="1"/>
    </row>
    <row r="39" spans="1:32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1.25" customHeight="1">
      <c r="A40" s="1"/>
      <c r="B40" s="1"/>
      <c r="C40" s="8" t="s">
        <v>1102</v>
      </c>
      <c r="D40" s="18"/>
      <c r="E40" s="1"/>
      <c r="F40" s="1"/>
      <c r="G40" s="1"/>
      <c r="H40" s="1"/>
      <c r="I40" s="8" t="s">
        <v>1103</v>
      </c>
      <c r="J40" s="18"/>
      <c r="K40" s="18"/>
      <c r="L40" s="18"/>
      <c r="M40" s="18"/>
      <c r="N40" s="1"/>
      <c r="O40" s="1"/>
      <c r="P40" s="1"/>
      <c r="Q40" s="1"/>
      <c r="R40" s="1"/>
      <c r="S40" s="1"/>
      <c r="T40" s="1"/>
      <c r="U40" s="1"/>
      <c r="V40" s="1"/>
      <c r="W40" s="1"/>
      <c r="X40" s="8" t="s">
        <v>7</v>
      </c>
      <c r="Y40" s="18"/>
      <c r="Z40" s="18"/>
      <c r="AA40" s="18"/>
      <c r="AB40" s="1"/>
      <c r="AC40" s="1"/>
      <c r="AD40" s="5" t="s">
        <v>440</v>
      </c>
      <c r="AE40" s="1"/>
      <c r="AF40" s="1"/>
    </row>
    <row r="41" spans="1:32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1.25" customHeight="1">
      <c r="A42" s="1"/>
      <c r="B42" s="1"/>
      <c r="C42" s="8" t="s">
        <v>1104</v>
      </c>
      <c r="D42" s="18"/>
      <c r="E42" s="18"/>
      <c r="F42" s="1"/>
      <c r="G42" s="1"/>
      <c r="H42" s="1"/>
      <c r="I42" s="8" t="s">
        <v>1105</v>
      </c>
      <c r="J42" s="18"/>
      <c r="K42" s="18"/>
      <c r="L42" s="18"/>
      <c r="M42" s="18"/>
      <c r="N42" s="18"/>
      <c r="O42" s="18"/>
      <c r="P42" s="18"/>
      <c r="Q42" s="18"/>
      <c r="R42" s="1"/>
      <c r="S42" s="1"/>
      <c r="T42" s="1"/>
      <c r="U42" s="1"/>
      <c r="V42" s="1"/>
      <c r="W42" s="1"/>
      <c r="X42" s="8" t="s">
        <v>7</v>
      </c>
      <c r="Y42" s="18"/>
      <c r="Z42" s="18"/>
      <c r="AA42" s="18"/>
      <c r="AB42" s="1"/>
      <c r="AC42" s="1"/>
      <c r="AD42" s="5" t="s">
        <v>554</v>
      </c>
      <c r="AE42" s="1"/>
      <c r="AF42" s="1"/>
    </row>
    <row r="43" spans="1:32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1.25" customHeight="1">
      <c r="A44" s="1"/>
      <c r="B44" s="1"/>
      <c r="C44" s="8" t="s">
        <v>1106</v>
      </c>
      <c r="D44" s="18"/>
      <c r="E44" s="18"/>
      <c r="F44" s="1"/>
      <c r="G44" s="1"/>
      <c r="H44" s="1"/>
      <c r="I44" s="8" t="s">
        <v>1105</v>
      </c>
      <c r="J44" s="18"/>
      <c r="K44" s="18"/>
      <c r="L44" s="18"/>
      <c r="M44" s="18"/>
      <c r="N44" s="18"/>
      <c r="O44" s="18"/>
      <c r="P44" s="18"/>
      <c r="Q44" s="18"/>
      <c r="R44" s="1"/>
      <c r="S44" s="1"/>
      <c r="T44" s="1"/>
      <c r="U44" s="1"/>
      <c r="V44" s="1"/>
      <c r="W44" s="1"/>
      <c r="X44" s="8" t="s">
        <v>7</v>
      </c>
      <c r="Y44" s="18"/>
      <c r="Z44" s="18"/>
      <c r="AA44" s="18"/>
      <c r="AB44" s="1"/>
      <c r="AC44" s="1"/>
      <c r="AD44" s="5" t="s">
        <v>180</v>
      </c>
      <c r="AE44" s="1"/>
      <c r="AF44" s="1"/>
    </row>
    <row r="45" spans="1:32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1.25" customHeight="1">
      <c r="A46" s="1"/>
      <c r="B46" s="1"/>
      <c r="C46" s="8" t="s">
        <v>1107</v>
      </c>
      <c r="D46" s="18"/>
      <c r="E46" s="18"/>
      <c r="F46" s="1"/>
      <c r="G46" s="1"/>
      <c r="H46" s="1"/>
      <c r="I46" s="8" t="s">
        <v>1108</v>
      </c>
      <c r="J46" s="18"/>
      <c r="K46" s="18"/>
      <c r="L46" s="18"/>
      <c r="M46" s="18"/>
      <c r="N46" s="18"/>
      <c r="O46" s="18"/>
      <c r="P46" s="18"/>
      <c r="Q46" s="18"/>
      <c r="R46" s="1"/>
      <c r="S46" s="1"/>
      <c r="T46" s="1"/>
      <c r="U46" s="1"/>
      <c r="V46" s="1"/>
      <c r="W46" s="1"/>
      <c r="X46" s="8" t="s">
        <v>7</v>
      </c>
      <c r="Y46" s="18"/>
      <c r="Z46" s="18"/>
      <c r="AA46" s="18"/>
      <c r="AB46" s="1"/>
      <c r="AC46" s="1"/>
      <c r="AD46" s="5" t="s">
        <v>554</v>
      </c>
      <c r="AE46" s="1"/>
      <c r="AF46" s="1"/>
    </row>
    <row r="47" spans="1:32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1.25" customHeight="1">
      <c r="A48" s="1"/>
      <c r="B48" s="1"/>
      <c r="C48" s="8" t="s">
        <v>1109</v>
      </c>
      <c r="D48" s="18"/>
      <c r="E48" s="18"/>
      <c r="F48" s="1"/>
      <c r="G48" s="1"/>
      <c r="H48" s="1"/>
      <c r="I48" s="8" t="s">
        <v>1108</v>
      </c>
      <c r="J48" s="18"/>
      <c r="K48" s="18"/>
      <c r="L48" s="18"/>
      <c r="M48" s="18"/>
      <c r="N48" s="18"/>
      <c r="O48" s="18"/>
      <c r="P48" s="18"/>
      <c r="Q48" s="18"/>
      <c r="R48" s="1"/>
      <c r="S48" s="1"/>
      <c r="T48" s="1"/>
      <c r="U48" s="1"/>
      <c r="V48" s="1"/>
      <c r="W48" s="1"/>
      <c r="X48" s="8" t="s">
        <v>7</v>
      </c>
      <c r="Y48" s="18"/>
      <c r="Z48" s="18"/>
      <c r="AA48" s="18"/>
      <c r="AB48" s="1"/>
      <c r="AC48" s="1"/>
      <c r="AD48" s="5" t="s">
        <v>180</v>
      </c>
      <c r="AE48" s="1"/>
      <c r="AF48" s="1"/>
    </row>
    <row r="49" spans="1:32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1.25" customHeight="1">
      <c r="A50" s="1"/>
      <c r="B50" s="1"/>
      <c r="C50" s="8" t="s">
        <v>1110</v>
      </c>
      <c r="D50" s="18"/>
      <c r="E50" s="18"/>
      <c r="F50" s="1"/>
      <c r="G50" s="1"/>
      <c r="H50" s="1"/>
      <c r="I50" s="8" t="s">
        <v>1111</v>
      </c>
      <c r="J50" s="18"/>
      <c r="K50" s="18"/>
      <c r="L50" s="18"/>
      <c r="M50" s="18"/>
      <c r="N50" s="18"/>
      <c r="O50" s="18"/>
      <c r="P50" s="18"/>
      <c r="Q50" s="18"/>
      <c r="R50" s="1"/>
      <c r="S50" s="1"/>
      <c r="T50" s="1"/>
      <c r="U50" s="1"/>
      <c r="V50" s="1"/>
      <c r="W50" s="1"/>
      <c r="X50" s="8" t="s">
        <v>7</v>
      </c>
      <c r="Y50" s="18"/>
      <c r="Z50" s="18"/>
      <c r="AA50" s="18"/>
      <c r="AB50" s="1"/>
      <c r="AC50" s="1"/>
      <c r="AD50" s="5" t="s">
        <v>1112</v>
      </c>
      <c r="AE50" s="1"/>
      <c r="AF50" s="1"/>
    </row>
    <row r="51" spans="1:32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1.25" customHeight="1">
      <c r="A52" s="1"/>
      <c r="B52" s="1"/>
      <c r="C52" s="8" t="s">
        <v>1113</v>
      </c>
      <c r="D52" s="18"/>
      <c r="E52" s="18"/>
      <c r="F52" s="1"/>
      <c r="G52" s="1"/>
      <c r="H52" s="1"/>
      <c r="I52" s="8" t="s">
        <v>1111</v>
      </c>
      <c r="J52" s="18"/>
      <c r="K52" s="18"/>
      <c r="L52" s="18"/>
      <c r="M52" s="18"/>
      <c r="N52" s="18"/>
      <c r="O52" s="18"/>
      <c r="P52" s="18"/>
      <c r="Q52" s="18"/>
      <c r="R52" s="1"/>
      <c r="S52" s="1"/>
      <c r="T52" s="1"/>
      <c r="U52" s="1"/>
      <c r="V52" s="1"/>
      <c r="W52" s="1"/>
      <c r="X52" s="8" t="s">
        <v>7</v>
      </c>
      <c r="Y52" s="18"/>
      <c r="Z52" s="18"/>
      <c r="AA52" s="18"/>
      <c r="AB52" s="1"/>
      <c r="AC52" s="1"/>
      <c r="AD52" s="5" t="s">
        <v>1114</v>
      </c>
      <c r="AE52" s="1"/>
      <c r="AF52" s="1"/>
    </row>
    <row r="53" spans="1:32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1.25" customHeight="1">
      <c r="A54" s="1"/>
      <c r="B54" s="1"/>
      <c r="C54" s="8" t="s">
        <v>1115</v>
      </c>
      <c r="D54" s="18"/>
      <c r="E54" s="1"/>
      <c r="F54" s="1"/>
      <c r="G54" s="1"/>
      <c r="H54" s="1"/>
      <c r="I54" s="8" t="s">
        <v>1116</v>
      </c>
      <c r="J54" s="18"/>
      <c r="K54" s="18"/>
      <c r="L54" s="18"/>
      <c r="M54" s="18"/>
      <c r="N54" s="1"/>
      <c r="O54" s="1"/>
      <c r="P54" s="1"/>
      <c r="Q54" s="1"/>
      <c r="R54" s="1"/>
      <c r="S54" s="1"/>
      <c r="T54" s="1"/>
      <c r="U54" s="1"/>
      <c r="V54" s="1"/>
      <c r="W54" s="1"/>
      <c r="X54" s="8" t="s">
        <v>7</v>
      </c>
      <c r="Y54" s="18"/>
      <c r="Z54" s="18"/>
      <c r="AA54" s="18"/>
      <c r="AB54" s="1"/>
      <c r="AC54" s="1"/>
      <c r="AD54" s="5" t="s">
        <v>1022</v>
      </c>
      <c r="AE54" s="1"/>
      <c r="AF54" s="1"/>
    </row>
    <row r="55" spans="1:32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1.25" customHeight="1">
      <c r="A56" s="1"/>
      <c r="B56" s="1"/>
      <c r="C56" s="8" t="s">
        <v>1117</v>
      </c>
      <c r="D56" s="18"/>
      <c r="E56" s="1"/>
      <c r="F56" s="1"/>
      <c r="G56" s="1"/>
      <c r="H56" s="1"/>
      <c r="I56" s="8" t="s">
        <v>1118</v>
      </c>
      <c r="J56" s="18"/>
      <c r="K56" s="18"/>
      <c r="L56" s="18"/>
      <c r="M56" s="18"/>
      <c r="N56" s="1"/>
      <c r="O56" s="1"/>
      <c r="P56" s="1"/>
      <c r="Q56" s="1"/>
      <c r="R56" s="1"/>
      <c r="S56" s="1"/>
      <c r="T56" s="1"/>
      <c r="U56" s="1"/>
      <c r="V56" s="1"/>
      <c r="W56" s="1"/>
      <c r="X56" s="8" t="s">
        <v>7</v>
      </c>
      <c r="Y56" s="18"/>
      <c r="Z56" s="18"/>
      <c r="AA56" s="18"/>
      <c r="AB56" s="1"/>
      <c r="AC56" s="1"/>
      <c r="AD56" s="5" t="s">
        <v>1119</v>
      </c>
      <c r="AE56" s="1"/>
      <c r="AF56" s="1"/>
    </row>
    <row r="57" spans="1:32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1.25" customHeight="1">
      <c r="A58" s="1"/>
      <c r="B58" s="1"/>
      <c r="C58" s="8" t="s">
        <v>1120</v>
      </c>
      <c r="D58" s="18"/>
      <c r="E58" s="1"/>
      <c r="F58" s="1"/>
      <c r="G58" s="1"/>
      <c r="H58" s="1"/>
      <c r="I58" s="8" t="s">
        <v>1121</v>
      </c>
      <c r="J58" s="18"/>
      <c r="K58" s="18"/>
      <c r="L58" s="18"/>
      <c r="M58" s="18"/>
      <c r="N58" s="18"/>
      <c r="O58" s="1"/>
      <c r="P58" s="1"/>
      <c r="Q58" s="1"/>
      <c r="R58" s="1"/>
      <c r="S58" s="1"/>
      <c r="T58" s="1"/>
      <c r="U58" s="1"/>
      <c r="V58" s="1"/>
      <c r="W58" s="1"/>
      <c r="X58" s="8" t="s">
        <v>7</v>
      </c>
      <c r="Y58" s="18"/>
      <c r="Z58" s="18"/>
      <c r="AA58" s="18"/>
      <c r="AB58" s="1"/>
      <c r="AC58" s="1"/>
      <c r="AD58" s="5" t="s">
        <v>192</v>
      </c>
      <c r="AE58" s="1"/>
      <c r="AF58" s="1"/>
    </row>
    <row r="59" spans="1:32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1.25" customHeight="1">
      <c r="A60" s="1"/>
      <c r="B60" s="1"/>
      <c r="C60" s="8" t="s">
        <v>1122</v>
      </c>
      <c r="D60" s="18"/>
      <c r="E60" s="18"/>
      <c r="F60" s="1"/>
      <c r="G60" s="1"/>
      <c r="H60" s="1"/>
      <c r="I60" s="8" t="s">
        <v>1123</v>
      </c>
      <c r="J60" s="18"/>
      <c r="K60" s="1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8" t="s">
        <v>7</v>
      </c>
      <c r="Y60" s="18"/>
      <c r="Z60" s="18"/>
      <c r="AA60" s="18"/>
      <c r="AB60" s="1"/>
      <c r="AC60" s="1"/>
      <c r="AD60" s="5" t="s">
        <v>152</v>
      </c>
      <c r="AE60" s="1"/>
      <c r="AF60" s="1"/>
    </row>
    <row r="61" spans="1:32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1.25" customHeight="1">
      <c r="A62" s="1"/>
      <c r="B62" s="1"/>
      <c r="C62" s="8" t="s">
        <v>1124</v>
      </c>
      <c r="D62" s="18"/>
      <c r="E62" s="1"/>
      <c r="F62" s="1"/>
      <c r="G62" s="1"/>
      <c r="H62" s="1"/>
      <c r="I62" s="8" t="s">
        <v>1125</v>
      </c>
      <c r="J62" s="18"/>
      <c r="K62" s="18"/>
      <c r="L62" s="18"/>
      <c r="M62" s="18"/>
      <c r="N62" s="18"/>
      <c r="O62" s="18"/>
      <c r="P62" s="18"/>
      <c r="Q62" s="1"/>
      <c r="R62" s="1"/>
      <c r="S62" s="1"/>
      <c r="T62" s="1"/>
      <c r="U62" s="1"/>
      <c r="V62" s="1"/>
      <c r="W62" s="1"/>
      <c r="X62" s="8" t="s">
        <v>7</v>
      </c>
      <c r="Y62" s="18"/>
      <c r="Z62" s="18"/>
      <c r="AA62" s="18"/>
      <c r="AB62" s="1"/>
      <c r="AC62" s="1"/>
      <c r="AD62" s="5" t="s">
        <v>1126</v>
      </c>
      <c r="AE62" s="1"/>
      <c r="AF62" s="1"/>
    </row>
    <row r="63" spans="1:32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1.25" customHeight="1">
      <c r="A64" s="1"/>
      <c r="B64" s="1"/>
      <c r="C64" s="8" t="s">
        <v>1127</v>
      </c>
      <c r="D64" s="18"/>
      <c r="E64" s="18"/>
      <c r="F64" s="1"/>
      <c r="G64" s="1"/>
      <c r="H64" s="1"/>
      <c r="I64" s="8" t="s">
        <v>1128</v>
      </c>
      <c r="J64" s="18"/>
      <c r="K64" s="18"/>
      <c r="L64" s="1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8" t="s">
        <v>26</v>
      </c>
      <c r="AA64" s="18"/>
      <c r="AB64" s="1"/>
      <c r="AC64" s="1"/>
      <c r="AD64" s="5" t="s">
        <v>518</v>
      </c>
      <c r="AE64" s="1"/>
      <c r="AF64" s="1"/>
    </row>
    <row r="65" spans="1:32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1.25" customHeight="1">
      <c r="A66" s="1"/>
      <c r="B66" s="1"/>
      <c r="C66" s="8" t="s">
        <v>1129</v>
      </c>
      <c r="D66" s="18"/>
      <c r="E66" s="18"/>
      <c r="F66" s="1"/>
      <c r="G66" s="1"/>
      <c r="H66" s="1"/>
      <c r="I66" s="8" t="s">
        <v>1130</v>
      </c>
      <c r="J66" s="18"/>
      <c r="K66" s="18"/>
      <c r="L66" s="18"/>
      <c r="M66" s="18"/>
      <c r="N66" s="1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8" t="s">
        <v>26</v>
      </c>
      <c r="AA66" s="18"/>
      <c r="AB66" s="1"/>
      <c r="AC66" s="1"/>
      <c r="AD66" s="5" t="s">
        <v>166</v>
      </c>
      <c r="AE66" s="1"/>
      <c r="AF66" s="1"/>
    </row>
    <row r="67" spans="1:32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1.25" customHeight="1">
      <c r="A68" s="1"/>
      <c r="B68" s="1"/>
      <c r="C68" s="8" t="s">
        <v>1131</v>
      </c>
      <c r="D68" s="18"/>
      <c r="E68" s="18"/>
      <c r="F68" s="1"/>
      <c r="G68" s="1"/>
      <c r="H68" s="1"/>
      <c r="I68" s="8" t="s">
        <v>1132</v>
      </c>
      <c r="J68" s="18"/>
      <c r="K68" s="18"/>
      <c r="L68" s="18"/>
      <c r="M68" s="18"/>
      <c r="N68" s="18"/>
      <c r="O68" s="18"/>
      <c r="P68" s="18"/>
      <c r="Q68" s="1"/>
      <c r="R68" s="1"/>
      <c r="S68" s="1"/>
      <c r="T68" s="1"/>
      <c r="U68" s="1"/>
      <c r="V68" s="1"/>
      <c r="W68" s="1"/>
      <c r="X68" s="1"/>
      <c r="Y68" s="1"/>
      <c r="Z68" s="8" t="s">
        <v>26</v>
      </c>
      <c r="AA68" s="18"/>
      <c r="AB68" s="1"/>
      <c r="AC68" s="1"/>
      <c r="AD68" s="5" t="s">
        <v>640</v>
      </c>
      <c r="AE68" s="1"/>
      <c r="AF68" s="1"/>
    </row>
    <row r="69" spans="1:32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1.25" customHeight="1">
      <c r="A70" s="1"/>
      <c r="B70" s="1"/>
      <c r="C70" s="8" t="s">
        <v>1133</v>
      </c>
      <c r="D70" s="18"/>
      <c r="E70" s="18"/>
      <c r="F70" s="18"/>
      <c r="G70" s="1"/>
      <c r="H70" s="1"/>
      <c r="I70" s="8" t="s">
        <v>1134</v>
      </c>
      <c r="J70" s="18"/>
      <c r="K70" s="18"/>
      <c r="L70" s="18"/>
      <c r="M70" s="18"/>
      <c r="N70" s="18"/>
      <c r="O70" s="18"/>
      <c r="P70" s="18"/>
      <c r="Q70" s="18"/>
      <c r="R70" s="1"/>
      <c r="S70" s="1"/>
      <c r="T70" s="1"/>
      <c r="U70" s="1"/>
      <c r="V70" s="1"/>
      <c r="W70" s="1"/>
      <c r="X70" s="1"/>
      <c r="Y70" s="1"/>
      <c r="Z70" s="8" t="s">
        <v>26</v>
      </c>
      <c r="AA70" s="18"/>
      <c r="AB70" s="1"/>
      <c r="AC70" s="1"/>
      <c r="AD70" s="5" t="s">
        <v>640</v>
      </c>
      <c r="AE70" s="1"/>
      <c r="AF70" s="1"/>
    </row>
    <row r="71" spans="1:32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1.25" customHeight="1">
      <c r="A72" s="1"/>
      <c r="B72" s="1"/>
      <c r="C72" s="8" t="s">
        <v>1135</v>
      </c>
      <c r="D72" s="18"/>
      <c r="E72" s="18"/>
      <c r="F72" s="1"/>
      <c r="G72" s="1"/>
      <c r="H72" s="1"/>
      <c r="I72" s="8" t="s">
        <v>1132</v>
      </c>
      <c r="J72" s="18"/>
      <c r="K72" s="18"/>
      <c r="L72" s="18"/>
      <c r="M72" s="18"/>
      <c r="N72" s="18"/>
      <c r="O72" s="18"/>
      <c r="P72" s="18"/>
      <c r="Q72" s="1"/>
      <c r="R72" s="1"/>
      <c r="S72" s="1"/>
      <c r="T72" s="1"/>
      <c r="U72" s="1"/>
      <c r="V72" s="1"/>
      <c r="W72" s="1"/>
      <c r="X72" s="1"/>
      <c r="Y72" s="1"/>
      <c r="Z72" s="8" t="s">
        <v>26</v>
      </c>
      <c r="AA72" s="18"/>
      <c r="AB72" s="1"/>
      <c r="AC72" s="1"/>
      <c r="AD72" s="5" t="s">
        <v>775</v>
      </c>
      <c r="AE72" s="1"/>
      <c r="AF72" s="1"/>
    </row>
    <row r="73" spans="1:32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1.25" customHeight="1">
      <c r="A74" s="1"/>
      <c r="B74" s="1"/>
      <c r="C74" s="8" t="s">
        <v>1136</v>
      </c>
      <c r="D74" s="18"/>
      <c r="E74" s="18"/>
      <c r="F74" s="18"/>
      <c r="G74" s="1"/>
      <c r="H74" s="1"/>
      <c r="I74" s="8" t="s">
        <v>1134</v>
      </c>
      <c r="J74" s="18"/>
      <c r="K74" s="18"/>
      <c r="L74" s="18"/>
      <c r="M74" s="18"/>
      <c r="N74" s="18"/>
      <c r="O74" s="18"/>
      <c r="P74" s="18"/>
      <c r="Q74" s="18"/>
      <c r="R74" s="1"/>
      <c r="S74" s="1"/>
      <c r="T74" s="1"/>
      <c r="U74" s="1"/>
      <c r="V74" s="1"/>
      <c r="W74" s="1"/>
      <c r="X74" s="1"/>
      <c r="Y74" s="1"/>
      <c r="Z74" s="8" t="s">
        <v>26</v>
      </c>
      <c r="AA74" s="18"/>
      <c r="AB74" s="1"/>
      <c r="AC74" s="1"/>
      <c r="AD74" s="5" t="s">
        <v>775</v>
      </c>
      <c r="AE74" s="1"/>
      <c r="AF74" s="1"/>
    </row>
    <row r="75" spans="1:32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1.25" customHeight="1">
      <c r="A76" s="1"/>
      <c r="B76" s="1"/>
      <c r="C76" s="8" t="s">
        <v>1137</v>
      </c>
      <c r="D76" s="18"/>
      <c r="E76" s="18"/>
      <c r="F76" s="1"/>
      <c r="G76" s="1"/>
      <c r="H76" s="1"/>
      <c r="I76" s="8" t="s">
        <v>1138</v>
      </c>
      <c r="J76" s="18"/>
      <c r="K76" s="18"/>
      <c r="L76" s="18"/>
      <c r="M76" s="18"/>
      <c r="N76" s="18"/>
      <c r="O76" s="18"/>
      <c r="P76" s="1"/>
      <c r="Q76" s="1"/>
      <c r="R76" s="1"/>
      <c r="S76" s="1"/>
      <c r="T76" s="1"/>
      <c r="U76" s="1"/>
      <c r="V76" s="1"/>
      <c r="W76" s="1"/>
      <c r="X76" s="1"/>
      <c r="Y76" s="1"/>
      <c r="Z76" s="8" t="s">
        <v>26</v>
      </c>
      <c r="AA76" s="18"/>
      <c r="AB76" s="1"/>
      <c r="AC76" s="1"/>
      <c r="AD76" s="5" t="s">
        <v>770</v>
      </c>
      <c r="AE76" s="1"/>
      <c r="AF76" s="1"/>
    </row>
    <row r="77" spans="1:32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1.25" customHeight="1">
      <c r="A78" s="1"/>
      <c r="B78" s="1"/>
      <c r="C78" s="8" t="s">
        <v>1139</v>
      </c>
      <c r="D78" s="18"/>
      <c r="E78" s="18"/>
      <c r="F78" s="1"/>
      <c r="G78" s="1"/>
      <c r="H78" s="1"/>
      <c r="I78" s="8" t="s">
        <v>1140</v>
      </c>
      <c r="J78" s="18"/>
      <c r="K78" s="18"/>
      <c r="L78" s="18"/>
      <c r="M78" s="18"/>
      <c r="N78" s="18"/>
      <c r="O78" s="18"/>
      <c r="P78" s="1"/>
      <c r="Q78" s="1"/>
      <c r="R78" s="1"/>
      <c r="S78" s="1"/>
      <c r="T78" s="1"/>
      <c r="U78" s="1"/>
      <c r="V78" s="1"/>
      <c r="W78" s="1"/>
      <c r="X78" s="1"/>
      <c r="Y78" s="1"/>
      <c r="Z78" s="8" t="s">
        <v>26</v>
      </c>
      <c r="AA78" s="18"/>
      <c r="AB78" s="1"/>
      <c r="AC78" s="1"/>
      <c r="AD78" s="5" t="s">
        <v>323</v>
      </c>
      <c r="AE78" s="1"/>
      <c r="AF78" s="1"/>
    </row>
    <row r="79" spans="1:32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1.25" customHeight="1">
      <c r="A80" s="1"/>
      <c r="B80" s="1"/>
      <c r="C80" s="8" t="s">
        <v>1141</v>
      </c>
      <c r="D80" s="18"/>
      <c r="E80" s="18"/>
      <c r="F80" s="18"/>
      <c r="G80" s="1"/>
      <c r="H80" s="1"/>
      <c r="I80" s="8" t="s">
        <v>1142</v>
      </c>
      <c r="J80" s="18"/>
      <c r="K80" s="18"/>
      <c r="L80" s="18"/>
      <c r="M80" s="18"/>
      <c r="N80" s="18"/>
      <c r="O80" s="18"/>
      <c r="P80" s="1"/>
      <c r="Q80" s="1"/>
      <c r="R80" s="1"/>
      <c r="S80" s="1"/>
      <c r="T80" s="1"/>
      <c r="U80" s="1"/>
      <c r="V80" s="1"/>
      <c r="W80" s="1"/>
      <c r="X80" s="1"/>
      <c r="Y80" s="1"/>
      <c r="Z80" s="8" t="s">
        <v>26</v>
      </c>
      <c r="AA80" s="18"/>
      <c r="AB80" s="1"/>
      <c r="AC80" s="1"/>
      <c r="AD80" s="5" t="s">
        <v>323</v>
      </c>
      <c r="AE80" s="1"/>
      <c r="AF80" s="1"/>
    </row>
    <row r="81" spans="1:32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1.25" customHeight="1">
      <c r="A82" s="1"/>
      <c r="B82" s="1"/>
      <c r="C82" s="8" t="s">
        <v>1143</v>
      </c>
      <c r="D82" s="18"/>
      <c r="E82" s="18"/>
      <c r="F82" s="1"/>
      <c r="G82" s="1"/>
      <c r="H82" s="1"/>
      <c r="I82" s="8" t="s">
        <v>1140</v>
      </c>
      <c r="J82" s="18"/>
      <c r="K82" s="18"/>
      <c r="L82" s="18"/>
      <c r="M82" s="18"/>
      <c r="N82" s="18"/>
      <c r="O82" s="18"/>
      <c r="P82" s="1"/>
      <c r="Q82" s="1"/>
      <c r="R82" s="1"/>
      <c r="S82" s="1"/>
      <c r="T82" s="1"/>
      <c r="U82" s="1"/>
      <c r="V82" s="1"/>
      <c r="W82" s="1"/>
      <c r="X82" s="1"/>
      <c r="Y82" s="1"/>
      <c r="Z82" s="8" t="s">
        <v>26</v>
      </c>
      <c r="AA82" s="18"/>
      <c r="AB82" s="1"/>
      <c r="AC82" s="1"/>
      <c r="AD82" s="5" t="s">
        <v>1144</v>
      </c>
      <c r="AE82" s="1"/>
      <c r="AF82" s="1"/>
    </row>
    <row r="83" spans="1:32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1.25" customHeight="1">
      <c r="A84" s="1"/>
      <c r="B84" s="1"/>
      <c r="C84" s="8" t="s">
        <v>1145</v>
      </c>
      <c r="D84" s="18"/>
      <c r="E84" s="18"/>
      <c r="F84" s="18"/>
      <c r="G84" s="1"/>
      <c r="H84" s="1"/>
      <c r="I84" s="8" t="s">
        <v>1142</v>
      </c>
      <c r="J84" s="18"/>
      <c r="K84" s="18"/>
      <c r="L84" s="18"/>
      <c r="M84" s="18"/>
      <c r="N84" s="18"/>
      <c r="O84" s="18"/>
      <c r="P84" s="1"/>
      <c r="Q84" s="1"/>
      <c r="R84" s="1"/>
      <c r="S84" s="1"/>
      <c r="T84" s="1"/>
      <c r="U84" s="1"/>
      <c r="V84" s="1"/>
      <c r="W84" s="1"/>
      <c r="X84" s="1"/>
      <c r="Y84" s="1"/>
      <c r="Z84" s="8" t="s">
        <v>26</v>
      </c>
      <c r="AA84" s="18"/>
      <c r="AB84" s="1"/>
      <c r="AC84" s="1"/>
      <c r="AD84" s="5" t="s">
        <v>1144</v>
      </c>
      <c r="AE84" s="1"/>
      <c r="AF84" s="1"/>
    </row>
    <row r="85" spans="1:32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1.25" customHeight="1">
      <c r="A86" s="1"/>
      <c r="B86" s="1"/>
      <c r="C86" s="8" t="s">
        <v>1146</v>
      </c>
      <c r="D86" s="18"/>
      <c r="E86" s="18"/>
      <c r="F86" s="1"/>
      <c r="G86" s="1"/>
      <c r="H86" s="1"/>
      <c r="I86" s="8" t="s">
        <v>1147</v>
      </c>
      <c r="J86" s="18"/>
      <c r="K86" s="18"/>
      <c r="L86" s="18"/>
      <c r="M86" s="18"/>
      <c r="N86" s="1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8" t="s">
        <v>26</v>
      </c>
      <c r="AA86" s="18"/>
      <c r="AB86" s="1"/>
      <c r="AC86" s="1"/>
      <c r="AD86" s="5" t="s">
        <v>842</v>
      </c>
      <c r="AE86" s="1"/>
      <c r="AF86" s="1"/>
    </row>
    <row r="87" spans="1:32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1.25" customHeight="1">
      <c r="A88" s="1"/>
      <c r="B88" s="1"/>
      <c r="C88" s="8" t="s">
        <v>1148</v>
      </c>
      <c r="D88" s="18"/>
      <c r="E88" s="18"/>
      <c r="F88" s="1"/>
      <c r="G88" s="1"/>
      <c r="H88" s="1"/>
      <c r="I88" s="8" t="s">
        <v>1149</v>
      </c>
      <c r="J88" s="18"/>
      <c r="K88" s="18"/>
      <c r="L88" s="18"/>
      <c r="M88" s="18"/>
      <c r="N88" s="1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8" t="s">
        <v>26</v>
      </c>
      <c r="AA88" s="18"/>
      <c r="AB88" s="1"/>
      <c r="AC88" s="1"/>
      <c r="AD88" s="5" t="s">
        <v>118</v>
      </c>
      <c r="AE88" s="1"/>
      <c r="AF88" s="1"/>
    </row>
    <row r="89" spans="1:32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1.25" customHeight="1">
      <c r="A90" s="1"/>
      <c r="B90" s="1"/>
      <c r="C90" s="8" t="s">
        <v>1150</v>
      </c>
      <c r="D90" s="18"/>
      <c r="E90" s="18"/>
      <c r="F90" s="1"/>
      <c r="G90" s="1"/>
      <c r="H90" s="1"/>
      <c r="I90" s="8" t="s">
        <v>1149</v>
      </c>
      <c r="J90" s="18"/>
      <c r="K90" s="18"/>
      <c r="L90" s="18"/>
      <c r="M90" s="18"/>
      <c r="N90" s="1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8" t="s">
        <v>26</v>
      </c>
      <c r="AA90" s="18"/>
      <c r="AB90" s="1"/>
      <c r="AC90" s="1"/>
      <c r="AD90" s="5" t="s">
        <v>762</v>
      </c>
      <c r="AE90" s="1"/>
      <c r="AF90" s="1"/>
    </row>
    <row r="91" spans="1:32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1.25" customHeight="1">
      <c r="A92" s="1"/>
      <c r="B92" s="1"/>
      <c r="C92" s="8" t="s">
        <v>1151</v>
      </c>
      <c r="D92" s="18"/>
      <c r="E92" s="18"/>
      <c r="F92" s="1"/>
      <c r="G92" s="1"/>
      <c r="H92" s="1"/>
      <c r="I92" s="8" t="s">
        <v>1152</v>
      </c>
      <c r="J92" s="18"/>
      <c r="K92" s="18"/>
      <c r="L92" s="18"/>
      <c r="M92" s="18"/>
      <c r="N92" s="18"/>
      <c r="O92" s="18"/>
      <c r="P92" s="18"/>
      <c r="Q92" s="1"/>
      <c r="R92" s="1"/>
      <c r="S92" s="1"/>
      <c r="T92" s="1"/>
      <c r="U92" s="1"/>
      <c r="V92" s="1"/>
      <c r="W92" s="1"/>
      <c r="X92" s="1"/>
      <c r="Y92" s="1"/>
      <c r="Z92" s="8" t="s">
        <v>26</v>
      </c>
      <c r="AA92" s="18"/>
      <c r="AB92" s="1"/>
      <c r="AC92" s="1"/>
      <c r="AD92" s="5" t="s">
        <v>440</v>
      </c>
      <c r="AE92" s="1"/>
      <c r="AF92" s="1"/>
    </row>
    <row r="93" spans="1:32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1.25" customHeight="1">
      <c r="A94" s="1"/>
      <c r="B94" s="1"/>
      <c r="C94" s="8" t="s">
        <v>1153</v>
      </c>
      <c r="D94" s="18"/>
      <c r="E94" s="18"/>
      <c r="F94" s="18"/>
      <c r="G94" s="1"/>
      <c r="H94" s="1"/>
      <c r="I94" s="8" t="s">
        <v>1154</v>
      </c>
      <c r="J94" s="18"/>
      <c r="K94" s="18"/>
      <c r="L94" s="18"/>
      <c r="M94" s="18"/>
      <c r="N94" s="18"/>
      <c r="O94" s="18"/>
      <c r="P94" s="18"/>
      <c r="Q94" s="1"/>
      <c r="R94" s="1"/>
      <c r="S94" s="1"/>
      <c r="T94" s="1"/>
      <c r="U94" s="1"/>
      <c r="V94" s="1"/>
      <c r="W94" s="1"/>
      <c r="X94" s="1"/>
      <c r="Y94" s="1"/>
      <c r="Z94" s="8" t="s">
        <v>26</v>
      </c>
      <c r="AA94" s="18"/>
      <c r="AB94" s="1"/>
      <c r="AC94" s="1"/>
      <c r="AD94" s="5" t="s">
        <v>592</v>
      </c>
      <c r="AE94" s="1"/>
      <c r="AF94" s="1"/>
    </row>
    <row r="95" spans="1:32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1.25" customHeight="1">
      <c r="A96" s="1"/>
      <c r="B96" s="1"/>
      <c r="C96" s="8" t="s">
        <v>1155</v>
      </c>
      <c r="D96" s="18"/>
      <c r="E96" s="18"/>
      <c r="F96" s="1"/>
      <c r="G96" s="1"/>
      <c r="H96" s="1"/>
      <c r="I96" s="8" t="s">
        <v>1156</v>
      </c>
      <c r="J96" s="18"/>
      <c r="K96" s="18"/>
      <c r="L96" s="18"/>
      <c r="M96" s="1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8" t="s">
        <v>26</v>
      </c>
      <c r="AA96" s="18"/>
      <c r="AB96" s="1"/>
      <c r="AC96" s="1"/>
      <c r="AD96" s="5" t="s">
        <v>528</v>
      </c>
      <c r="AE96" s="1"/>
      <c r="AF96" s="1"/>
    </row>
    <row r="97" spans="1:32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1.25" customHeight="1">
      <c r="A98" s="1"/>
      <c r="B98" s="1"/>
      <c r="C98" s="8" t="s">
        <v>1157</v>
      </c>
      <c r="D98" s="18"/>
      <c r="E98" s="18"/>
      <c r="F98" s="1"/>
      <c r="G98" s="1"/>
      <c r="H98" s="1"/>
      <c r="I98" s="8" t="s">
        <v>1156</v>
      </c>
      <c r="J98" s="18"/>
      <c r="K98" s="18"/>
      <c r="L98" s="18"/>
      <c r="M98" s="1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8" t="s">
        <v>26</v>
      </c>
      <c r="AA98" s="18"/>
      <c r="AB98" s="1"/>
      <c r="AC98" s="1"/>
      <c r="AD98" s="5" t="s">
        <v>1158</v>
      </c>
      <c r="AE98" s="1"/>
      <c r="AF98" s="1"/>
    </row>
    <row r="99" spans="1:32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1.25" customHeight="1">
      <c r="A100" s="1"/>
      <c r="B100" s="1"/>
      <c r="C100" s="8" t="s">
        <v>1159</v>
      </c>
      <c r="D100" s="18"/>
      <c r="E100" s="18"/>
      <c r="F100" s="1"/>
      <c r="G100" s="1"/>
      <c r="H100" s="1"/>
      <c r="I100" s="8" t="s">
        <v>1160</v>
      </c>
      <c r="J100" s="18"/>
      <c r="K100" s="18"/>
      <c r="L100" s="18"/>
      <c r="M100" s="18"/>
      <c r="N100" s="18"/>
      <c r="O100" s="18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8" t="s">
        <v>26</v>
      </c>
      <c r="AA100" s="18"/>
      <c r="AB100" s="1"/>
      <c r="AC100" s="1"/>
      <c r="AD100" s="5" t="s">
        <v>592</v>
      </c>
      <c r="AE100" s="1"/>
      <c r="AF100" s="1"/>
    </row>
    <row r="101" spans="1:32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0.15" customHeight="1">
      <c r="A102" s="1"/>
      <c r="B102" s="1"/>
      <c r="C102" s="1"/>
      <c r="D102" s="1"/>
      <c r="E102" s="1"/>
      <c r="F102" s="1"/>
      <c r="G102" s="1"/>
      <c r="H102" s="1"/>
      <c r="I102" s="1"/>
      <c r="J102" s="8" t="s">
        <v>133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1"/>
      <c r="K104" s="8" t="s">
        <v>135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"/>
      <c r="W104" s="1"/>
      <c r="X104" s="1"/>
      <c r="Y104" s="1"/>
      <c r="Z104" s="1"/>
      <c r="AA104" s="1"/>
      <c r="AB104" s="1"/>
      <c r="AC104" s="8" t="s">
        <v>1161</v>
      </c>
      <c r="AD104" s="18"/>
      <c r="AE104" s="18"/>
      <c r="AF104" s="1"/>
    </row>
    <row r="105" spans="1:32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</sheetData>
  <mergeCells count="152">
    <mergeCell ref="B2:G4"/>
    <mergeCell ref="H2:X4"/>
    <mergeCell ref="Y2:Z4"/>
    <mergeCell ref="AC3:AE3"/>
    <mergeCell ref="C8:D8"/>
    <mergeCell ref="I8:S8"/>
    <mergeCell ref="X8:AA8"/>
    <mergeCell ref="C10:D10"/>
    <mergeCell ref="I10:P10"/>
    <mergeCell ref="X10:AA10"/>
    <mergeCell ref="Y6:AB6"/>
    <mergeCell ref="C12:D12"/>
    <mergeCell ref="I12:Q12"/>
    <mergeCell ref="X12:AA12"/>
    <mergeCell ref="AC12:AD12"/>
    <mergeCell ref="C14:D14"/>
    <mergeCell ref="I14:U14"/>
    <mergeCell ref="X14:AA14"/>
    <mergeCell ref="AC14:AD14"/>
    <mergeCell ref="C16:D16"/>
    <mergeCell ref="I16:Q16"/>
    <mergeCell ref="X16:AA16"/>
    <mergeCell ref="C18:D18"/>
    <mergeCell ref="I18:R18"/>
    <mergeCell ref="X18:AA18"/>
    <mergeCell ref="AC18:AD18"/>
    <mergeCell ref="C20:D20"/>
    <mergeCell ref="I20:R20"/>
    <mergeCell ref="X20:AA20"/>
    <mergeCell ref="C22:D22"/>
    <mergeCell ref="I22:O22"/>
    <mergeCell ref="X22:AA22"/>
    <mergeCell ref="C24:D24"/>
    <mergeCell ref="I24:M24"/>
    <mergeCell ref="X24:AA24"/>
    <mergeCell ref="C26:D26"/>
    <mergeCell ref="I26:T26"/>
    <mergeCell ref="X26:AA26"/>
    <mergeCell ref="C28:D28"/>
    <mergeCell ref="I28:M28"/>
    <mergeCell ref="X28:AA28"/>
    <mergeCell ref="C30:D30"/>
    <mergeCell ref="I30:P30"/>
    <mergeCell ref="X30:AA30"/>
    <mergeCell ref="C32:D32"/>
    <mergeCell ref="I32:M32"/>
    <mergeCell ref="X32:AA32"/>
    <mergeCell ref="C34:D34"/>
    <mergeCell ref="I34:M34"/>
    <mergeCell ref="X34:AA34"/>
    <mergeCell ref="C36:D36"/>
    <mergeCell ref="I36:V36"/>
    <mergeCell ref="X36:AA36"/>
    <mergeCell ref="C38:D38"/>
    <mergeCell ref="I38:M38"/>
    <mergeCell ref="X38:AA38"/>
    <mergeCell ref="C40:D40"/>
    <mergeCell ref="I40:M40"/>
    <mergeCell ref="X40:AA40"/>
    <mergeCell ref="C42:E42"/>
    <mergeCell ref="I42:Q42"/>
    <mergeCell ref="X42:AA42"/>
    <mergeCell ref="C44:E44"/>
    <mergeCell ref="I44:Q44"/>
    <mergeCell ref="X44:AA44"/>
    <mergeCell ref="C46:E46"/>
    <mergeCell ref="I46:Q46"/>
    <mergeCell ref="X46:AA46"/>
    <mergeCell ref="C48:E48"/>
    <mergeCell ref="I48:Q48"/>
    <mergeCell ref="X48:AA48"/>
    <mergeCell ref="C50:E50"/>
    <mergeCell ref="I50:Q50"/>
    <mergeCell ref="X50:AA50"/>
    <mergeCell ref="C52:E52"/>
    <mergeCell ref="I52:Q52"/>
    <mergeCell ref="X52:AA52"/>
    <mergeCell ref="C54:D54"/>
    <mergeCell ref="I54:M54"/>
    <mergeCell ref="X54:AA54"/>
    <mergeCell ref="C56:D56"/>
    <mergeCell ref="I56:M56"/>
    <mergeCell ref="X56:AA56"/>
    <mergeCell ref="C58:D58"/>
    <mergeCell ref="I58:N58"/>
    <mergeCell ref="X58:AA58"/>
    <mergeCell ref="C60:E60"/>
    <mergeCell ref="I60:K60"/>
    <mergeCell ref="X60:AA60"/>
    <mergeCell ref="C62:D62"/>
    <mergeCell ref="I62:P62"/>
    <mergeCell ref="X62:AA62"/>
    <mergeCell ref="C64:E64"/>
    <mergeCell ref="I64:L64"/>
    <mergeCell ref="Z64:AA64"/>
    <mergeCell ref="C66:E66"/>
    <mergeCell ref="I66:N66"/>
    <mergeCell ref="Z66:AA66"/>
    <mergeCell ref="C68:E68"/>
    <mergeCell ref="I68:P68"/>
    <mergeCell ref="Z68:AA68"/>
    <mergeCell ref="C70:F70"/>
    <mergeCell ref="I70:Q70"/>
    <mergeCell ref="Z70:AA70"/>
    <mergeCell ref="C72:E72"/>
    <mergeCell ref="I72:P72"/>
    <mergeCell ref="Z72:AA72"/>
    <mergeCell ref="C74:F74"/>
    <mergeCell ref="I74:Q74"/>
    <mergeCell ref="Z74:AA74"/>
    <mergeCell ref="C76:E76"/>
    <mergeCell ref="I76:O76"/>
    <mergeCell ref="Z76:AA76"/>
    <mergeCell ref="C78:E78"/>
    <mergeCell ref="I78:O78"/>
    <mergeCell ref="Z78:AA78"/>
    <mergeCell ref="C80:F80"/>
    <mergeCell ref="I80:O80"/>
    <mergeCell ref="Z80:AA80"/>
    <mergeCell ref="C82:E82"/>
    <mergeCell ref="I82:O82"/>
    <mergeCell ref="Z82:AA82"/>
    <mergeCell ref="C84:F84"/>
    <mergeCell ref="I84:O84"/>
    <mergeCell ref="Z84:AA84"/>
    <mergeCell ref="C86:E86"/>
    <mergeCell ref="I86:N86"/>
    <mergeCell ref="Z86:AA86"/>
    <mergeCell ref="C88:E88"/>
    <mergeCell ref="I88:N88"/>
    <mergeCell ref="Z88:AA88"/>
    <mergeCell ref="C90:E90"/>
    <mergeCell ref="I90:N90"/>
    <mergeCell ref="Z90:AA90"/>
    <mergeCell ref="C92:E92"/>
    <mergeCell ref="I92:P92"/>
    <mergeCell ref="Z92:AA92"/>
    <mergeCell ref="C94:F94"/>
    <mergeCell ref="I94:P94"/>
    <mergeCell ref="Z94:AA94"/>
    <mergeCell ref="J102:V102"/>
    <mergeCell ref="K104:U104"/>
    <mergeCell ref="AC104:AE104"/>
    <mergeCell ref="C96:E96"/>
    <mergeCell ref="I96:M96"/>
    <mergeCell ref="Z96:AA96"/>
    <mergeCell ref="C98:E98"/>
    <mergeCell ref="I98:M98"/>
    <mergeCell ref="Z98:AA98"/>
    <mergeCell ref="C100:E100"/>
    <mergeCell ref="I100:O100"/>
    <mergeCell ref="Z100:AA10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5703125" customWidth="1"/>
    <col min="6" max="6" width="17.5703125" customWidth="1"/>
    <col min="7" max="7" width="0.140625" customWidth="1"/>
    <col min="8" max="8" width="3.7109375" customWidth="1"/>
    <col min="9" max="9" width="4" customWidth="1"/>
    <col min="10" max="10" width="3.7109375" customWidth="1"/>
    <col min="11" max="11" width="3.42578125" customWidth="1"/>
    <col min="12" max="12" width="1.42578125" customWidth="1"/>
    <col min="13" max="13" width="1.85546875" customWidth="1"/>
    <col min="14" max="14" width="2.140625" customWidth="1"/>
    <col min="15" max="15" width="4.5703125" customWidth="1"/>
    <col min="16" max="16" width="2.140625" customWidth="1"/>
    <col min="17" max="17" width="1.5703125" customWidth="1"/>
    <col min="18" max="18" width="5.28515625" customWidth="1"/>
    <col min="19" max="19" width="2" customWidth="1"/>
    <col min="20" max="20" width="2.85546875" customWidth="1"/>
    <col min="21" max="21" width="2.28515625" customWidth="1"/>
    <col min="22" max="22" width="3.42578125" customWidth="1"/>
    <col min="23" max="23" width="10.28515625" customWidth="1"/>
    <col min="24" max="24" width="6.140625" customWidth="1"/>
    <col min="25" max="25" width="13.140625" customWidth="1"/>
    <col min="26" max="26" width="3.140625" customWidth="1"/>
    <col min="27" max="27" width="2.85546875" customWidth="1"/>
    <col min="28" max="28" width="0.42578125" customWidth="1"/>
    <col min="29" max="30" width="3.7109375" customWidth="1"/>
    <col min="31" max="31" width="7.28515625" customWidth="1"/>
    <col min="32" max="32" width="1" customWidth="1"/>
    <col min="33" max="33" width="3.85546875" customWidth="1"/>
  </cols>
  <sheetData>
    <row r="1" spans="1:33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</row>
    <row r="2" spans="1:33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9" t="s">
        <v>2</v>
      </c>
      <c r="AA2" s="11"/>
      <c r="AB2" s="4"/>
      <c r="AC2" s="1"/>
      <c r="AD2" s="1"/>
      <c r="AE2" s="1"/>
      <c r="AF2" s="1"/>
      <c r="AG2" s="1"/>
    </row>
    <row r="3" spans="1:33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2"/>
      <c r="AA3" s="14"/>
      <c r="AB3" s="4"/>
      <c r="AC3" s="1"/>
      <c r="AD3" s="8" t="s">
        <v>3</v>
      </c>
      <c r="AE3" s="18"/>
      <c r="AF3" s="18"/>
      <c r="AG3" s="1"/>
    </row>
    <row r="4" spans="1:33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7"/>
      <c r="Z4" s="15"/>
      <c r="AA4" s="17"/>
      <c r="AB4" s="4"/>
      <c r="AC4" s="1"/>
      <c r="AD4" s="1"/>
      <c r="AE4" s="1"/>
      <c r="AF4" s="1"/>
      <c r="AG4" s="1"/>
    </row>
    <row r="5" spans="1:33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"/>
      <c r="AC5" s="1"/>
      <c r="AD5" s="1"/>
      <c r="AE5" s="1"/>
      <c r="AF5" s="1"/>
      <c r="AG5" s="1"/>
    </row>
    <row r="6" spans="1:33" ht="11.25" customHeight="1">
      <c r="A6" s="1"/>
      <c r="B6" s="1"/>
      <c r="C6" s="1" t="s">
        <v>2226</v>
      </c>
      <c r="D6" s="1"/>
      <c r="E6" s="1"/>
      <c r="F6" s="1"/>
      <c r="G6" s="1"/>
      <c r="H6" s="1" t="s">
        <v>2227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8" t="s">
        <v>26</v>
      </c>
      <c r="AB6" s="18"/>
      <c r="AC6" s="1"/>
      <c r="AD6" s="1"/>
      <c r="AE6" s="5" t="s">
        <v>239</v>
      </c>
      <c r="AF6" s="1"/>
      <c r="AG6" s="1"/>
    </row>
    <row r="7" spans="1:33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1.25" customHeight="1">
      <c r="A8" s="1"/>
      <c r="B8" s="1"/>
      <c r="C8" s="8" t="s">
        <v>1162</v>
      </c>
      <c r="D8" s="18"/>
      <c r="E8" s="18"/>
      <c r="F8" s="1"/>
      <c r="G8" s="1"/>
      <c r="H8" s="8" t="s">
        <v>1163</v>
      </c>
      <c r="I8" s="18"/>
      <c r="J8" s="18"/>
      <c r="K8" s="18"/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8" t="s">
        <v>26</v>
      </c>
      <c r="AB8" s="18"/>
      <c r="AC8" s="1"/>
      <c r="AD8" s="1"/>
      <c r="AE8" s="5" t="s">
        <v>295</v>
      </c>
      <c r="AF8" s="1"/>
      <c r="AG8" s="1"/>
    </row>
    <row r="9" spans="1:33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1.25" customHeight="1">
      <c r="A10" s="1"/>
      <c r="B10" s="1"/>
      <c r="C10" s="8" t="s">
        <v>1164</v>
      </c>
      <c r="D10" s="18"/>
      <c r="E10" s="18"/>
      <c r="F10" s="1"/>
      <c r="G10" s="1"/>
      <c r="H10" s="8" t="s">
        <v>1163</v>
      </c>
      <c r="I10" s="18"/>
      <c r="J10" s="18"/>
      <c r="K10" s="18"/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8" t="s">
        <v>26</v>
      </c>
      <c r="AB10" s="18"/>
      <c r="AC10" s="1"/>
      <c r="AD10" s="1"/>
      <c r="AE10" s="5" t="s">
        <v>208</v>
      </c>
      <c r="AF10" s="1"/>
      <c r="AG10" s="1"/>
    </row>
    <row r="11" spans="1:33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1.25" customHeight="1">
      <c r="A12" s="1"/>
      <c r="B12" s="1"/>
      <c r="C12" s="8" t="s">
        <v>1165</v>
      </c>
      <c r="D12" s="18"/>
      <c r="E12" s="18"/>
      <c r="F12" s="1"/>
      <c r="G12" s="1"/>
      <c r="H12" s="8" t="s">
        <v>1166</v>
      </c>
      <c r="I12" s="18"/>
      <c r="J12" s="18"/>
      <c r="K12" s="18"/>
      <c r="L12" s="18"/>
      <c r="M12" s="18"/>
      <c r="N12" s="1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8" t="s">
        <v>26</v>
      </c>
      <c r="AB12" s="18"/>
      <c r="AC12" s="1"/>
      <c r="AD12" s="1"/>
      <c r="AE12" s="5" t="s">
        <v>132</v>
      </c>
      <c r="AF12" s="1"/>
      <c r="AG12" s="1"/>
    </row>
    <row r="13" spans="1:33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1.25" customHeight="1">
      <c r="A14" s="1"/>
      <c r="B14" s="1"/>
      <c r="C14" s="8" t="s">
        <v>1167</v>
      </c>
      <c r="D14" s="18"/>
      <c r="E14" s="18"/>
      <c r="F14" s="1"/>
      <c r="G14" s="1"/>
      <c r="H14" s="8" t="s">
        <v>1168</v>
      </c>
      <c r="I14" s="18"/>
      <c r="J14" s="18"/>
      <c r="K14" s="18"/>
      <c r="L14" s="18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8" t="s">
        <v>26</v>
      </c>
      <c r="AB14" s="18"/>
      <c r="AC14" s="1"/>
      <c r="AD14" s="1"/>
      <c r="AE14" s="5" t="s">
        <v>389</v>
      </c>
      <c r="AF14" s="1"/>
      <c r="AG14" s="1"/>
    </row>
    <row r="15" spans="1:33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1.25" customHeight="1">
      <c r="A16" s="1"/>
      <c r="B16" s="1"/>
      <c r="C16" s="8" t="s">
        <v>1169</v>
      </c>
      <c r="D16" s="18"/>
      <c r="E16" s="18"/>
      <c r="F16" s="1"/>
      <c r="G16" s="1"/>
      <c r="H16" s="8" t="s">
        <v>1168</v>
      </c>
      <c r="I16" s="18"/>
      <c r="J16" s="18"/>
      <c r="K16" s="18"/>
      <c r="L16" s="18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8" t="s">
        <v>26</v>
      </c>
      <c r="AB16" s="18"/>
      <c r="AC16" s="1"/>
      <c r="AD16" s="1"/>
      <c r="AE16" s="5" t="s">
        <v>208</v>
      </c>
      <c r="AF16" s="1"/>
      <c r="AG16" s="1"/>
    </row>
    <row r="17" spans="1:33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1.25" customHeight="1">
      <c r="A18" s="1"/>
      <c r="B18" s="1"/>
      <c r="C18" s="8" t="s">
        <v>1170</v>
      </c>
      <c r="D18" s="18"/>
      <c r="E18" s="18"/>
      <c r="F18" s="1"/>
      <c r="G18" s="1"/>
      <c r="H18" s="8" t="s">
        <v>1168</v>
      </c>
      <c r="I18" s="18"/>
      <c r="J18" s="18"/>
      <c r="K18" s="18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8" t="s">
        <v>26</v>
      </c>
      <c r="AB18" s="18"/>
      <c r="AC18" s="1"/>
      <c r="AD18" s="1"/>
      <c r="AE18" s="5" t="s">
        <v>295</v>
      </c>
      <c r="AF18" s="1"/>
      <c r="AG18" s="1"/>
    </row>
    <row r="19" spans="1:33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1.25" customHeight="1">
      <c r="A20" s="1"/>
      <c r="B20" s="1"/>
      <c r="C20" s="8" t="s">
        <v>1171</v>
      </c>
      <c r="D20" s="18"/>
      <c r="E20" s="18"/>
      <c r="F20" s="1"/>
      <c r="G20" s="1"/>
      <c r="H20" s="8" t="s">
        <v>1172</v>
      </c>
      <c r="I20" s="18"/>
      <c r="J20" s="18"/>
      <c r="K20" s="18"/>
      <c r="L20" s="18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8" t="s">
        <v>26</v>
      </c>
      <c r="AB20" s="18"/>
      <c r="AC20" s="1"/>
      <c r="AD20" s="1"/>
      <c r="AE20" s="5" t="s">
        <v>481</v>
      </c>
      <c r="AF20" s="1"/>
      <c r="AG20" s="1"/>
    </row>
    <row r="21" spans="1:33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1.25" customHeight="1">
      <c r="A22" s="1"/>
      <c r="B22" s="1"/>
      <c r="C22" s="8" t="s">
        <v>1173</v>
      </c>
      <c r="D22" s="18"/>
      <c r="E22" s="18"/>
      <c r="F22" s="1"/>
      <c r="G22" s="1"/>
      <c r="H22" s="8" t="s">
        <v>1172</v>
      </c>
      <c r="I22" s="18"/>
      <c r="J22" s="18"/>
      <c r="K22" s="18"/>
      <c r="L22" s="18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8" t="s">
        <v>26</v>
      </c>
      <c r="AB22" s="18"/>
      <c r="AC22" s="1"/>
      <c r="AD22" s="1"/>
      <c r="AE22" s="5" t="s">
        <v>239</v>
      </c>
      <c r="AF22" s="1"/>
      <c r="AG22" s="1"/>
    </row>
    <row r="23" spans="1:33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1.25" customHeight="1">
      <c r="A24" s="1"/>
      <c r="B24" s="1"/>
      <c r="C24" s="8" t="s">
        <v>1174</v>
      </c>
      <c r="D24" s="18"/>
      <c r="E24" s="18"/>
      <c r="F24" s="1"/>
      <c r="G24" s="1"/>
      <c r="H24" s="8" t="s">
        <v>1175</v>
      </c>
      <c r="I24" s="18"/>
      <c r="J24" s="18"/>
      <c r="K24" s="18"/>
      <c r="L24" s="18"/>
      <c r="M24" s="18"/>
      <c r="N24" s="18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8" t="s">
        <v>26</v>
      </c>
      <c r="AB24" s="18"/>
      <c r="AC24" s="1"/>
      <c r="AD24" s="1"/>
      <c r="AE24" s="5" t="s">
        <v>126</v>
      </c>
      <c r="AF24" s="1"/>
      <c r="AG24" s="1"/>
    </row>
    <row r="25" spans="1:33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1.25" customHeight="1">
      <c r="A26" s="1"/>
      <c r="B26" s="1"/>
      <c r="C26" s="8" t="s">
        <v>1176</v>
      </c>
      <c r="D26" s="18"/>
      <c r="E26" s="18"/>
      <c r="F26" s="1"/>
      <c r="G26" s="1"/>
      <c r="H26" s="8" t="s">
        <v>1177</v>
      </c>
      <c r="I26" s="18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8" t="s">
        <v>26</v>
      </c>
      <c r="AB26" s="18"/>
      <c r="AC26" s="1"/>
      <c r="AD26" s="1"/>
      <c r="AE26" s="5" t="s">
        <v>1144</v>
      </c>
      <c r="AF26" s="1"/>
      <c r="AG26" s="1"/>
    </row>
    <row r="27" spans="1:33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1.25" customHeight="1">
      <c r="A28" s="1"/>
      <c r="B28" s="1"/>
      <c r="C28" s="8" t="s">
        <v>1178</v>
      </c>
      <c r="D28" s="18"/>
      <c r="E28" s="18"/>
      <c r="F28" s="1"/>
      <c r="G28" s="1"/>
      <c r="H28" s="8" t="s">
        <v>1177</v>
      </c>
      <c r="I28" s="18"/>
      <c r="J28" s="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8" t="s">
        <v>26</v>
      </c>
      <c r="AB28" s="18"/>
      <c r="AC28" s="1"/>
      <c r="AD28" s="1"/>
      <c r="AE28" s="5" t="s">
        <v>823</v>
      </c>
      <c r="AF28" s="1"/>
      <c r="AG28" s="1"/>
    </row>
    <row r="29" spans="1:33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1.25" customHeight="1">
      <c r="A30" s="1"/>
      <c r="B30" s="1"/>
      <c r="C30" s="8" t="s">
        <v>1179</v>
      </c>
      <c r="D30" s="18"/>
      <c r="E30" s="18"/>
      <c r="F30" s="1"/>
      <c r="G30" s="1"/>
      <c r="H30" s="8" t="s">
        <v>1180</v>
      </c>
      <c r="I30" s="18"/>
      <c r="J30" s="18"/>
      <c r="K30" s="18"/>
      <c r="L30" s="18"/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8" t="s">
        <v>26</v>
      </c>
      <c r="AB30" s="18"/>
      <c r="AC30" s="1"/>
      <c r="AD30" s="1"/>
      <c r="AE30" s="5" t="s">
        <v>770</v>
      </c>
      <c r="AF30" s="1"/>
      <c r="AG30" s="1"/>
    </row>
    <row r="31" spans="1:33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1.25" customHeight="1">
      <c r="A32" s="1"/>
      <c r="B32" s="1"/>
      <c r="C32" s="8" t="s">
        <v>1181</v>
      </c>
      <c r="D32" s="18"/>
      <c r="E32" s="18"/>
      <c r="F32" s="1"/>
      <c r="G32" s="1"/>
      <c r="H32" s="8" t="s">
        <v>1182</v>
      </c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8" t="s">
        <v>26</v>
      </c>
      <c r="AB32" s="18"/>
      <c r="AC32" s="1"/>
      <c r="AD32" s="1"/>
      <c r="AE32" s="5" t="s">
        <v>528</v>
      </c>
      <c r="AF32" s="1"/>
      <c r="AG32" s="1"/>
    </row>
    <row r="33" spans="1:33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1.25" customHeight="1">
      <c r="A34" s="1"/>
      <c r="B34" s="1"/>
      <c r="C34" s="8" t="s">
        <v>1183</v>
      </c>
      <c r="D34" s="18"/>
      <c r="E34" s="18"/>
      <c r="F34" s="1"/>
      <c r="G34" s="1"/>
      <c r="H34" s="8" t="s">
        <v>1184</v>
      </c>
      <c r="I34" s="18"/>
      <c r="J34" s="1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8" t="s">
        <v>26</v>
      </c>
      <c r="AB34" s="18"/>
      <c r="AC34" s="1"/>
      <c r="AD34" s="1"/>
      <c r="AE34" s="5" t="s">
        <v>1158</v>
      </c>
      <c r="AF34" s="1"/>
      <c r="AG34" s="1"/>
    </row>
    <row r="35" spans="1:33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1.25" customHeight="1">
      <c r="A36" s="1"/>
      <c r="B36" s="1"/>
      <c r="C36" s="8" t="s">
        <v>1185</v>
      </c>
      <c r="D36" s="18"/>
      <c r="E36" s="18"/>
      <c r="F36" s="1"/>
      <c r="G36" s="1"/>
      <c r="H36" s="8" t="s">
        <v>1186</v>
      </c>
      <c r="I36" s="18"/>
      <c r="J36" s="18"/>
      <c r="K36" s="18"/>
      <c r="L36" s="18"/>
      <c r="M36" s="1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8" t="s">
        <v>26</v>
      </c>
      <c r="AB36" s="18"/>
      <c r="AC36" s="1"/>
      <c r="AD36" s="1"/>
      <c r="AE36" s="5" t="s">
        <v>290</v>
      </c>
      <c r="AF36" s="1"/>
      <c r="AG36" s="1"/>
    </row>
    <row r="37" spans="1:33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1.25" customHeight="1">
      <c r="A38" s="1"/>
      <c r="B38" s="1"/>
      <c r="C38" s="8" t="s">
        <v>1187</v>
      </c>
      <c r="D38" s="18"/>
      <c r="E38" s="18"/>
      <c r="F38" s="1"/>
      <c r="G38" s="1"/>
      <c r="H38" s="8" t="s">
        <v>1188</v>
      </c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8" t="s">
        <v>26</v>
      </c>
      <c r="AB38" s="18"/>
      <c r="AC38" s="1"/>
      <c r="AD38" s="1"/>
      <c r="AE38" s="5" t="s">
        <v>528</v>
      </c>
      <c r="AF38" s="1"/>
      <c r="AG38" s="1"/>
    </row>
    <row r="39" spans="1:33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1.25" customHeight="1">
      <c r="A40" s="1"/>
      <c r="B40" s="1"/>
      <c r="C40" s="8" t="s">
        <v>1189</v>
      </c>
      <c r="D40" s="18"/>
      <c r="E40" s="18"/>
      <c r="F40" s="1"/>
      <c r="G40" s="1"/>
      <c r="H40" s="8" t="s">
        <v>1188</v>
      </c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8" t="s">
        <v>26</v>
      </c>
      <c r="AB40" s="18"/>
      <c r="AC40" s="1"/>
      <c r="AD40" s="1"/>
      <c r="AE40" s="5" t="s">
        <v>118</v>
      </c>
      <c r="AF40" s="1"/>
      <c r="AG40" s="1"/>
    </row>
    <row r="41" spans="1:33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1.25" customHeight="1">
      <c r="A42" s="1"/>
      <c r="B42" s="1"/>
      <c r="C42" s="8" t="s">
        <v>1190</v>
      </c>
      <c r="D42" s="18"/>
      <c r="E42" s="18"/>
      <c r="F42" s="1"/>
      <c r="G42" s="1"/>
      <c r="H42" s="8" t="s">
        <v>1191</v>
      </c>
      <c r="I42" s="18"/>
      <c r="J42" s="18"/>
      <c r="K42" s="1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8" t="s">
        <v>26</v>
      </c>
      <c r="AB42" s="18"/>
      <c r="AC42" s="1"/>
      <c r="AD42" s="1"/>
      <c r="AE42" s="5" t="s">
        <v>770</v>
      </c>
      <c r="AF42" s="1"/>
      <c r="AG42" s="1"/>
    </row>
    <row r="43" spans="1:33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1.25" customHeight="1">
      <c r="A44" s="1"/>
      <c r="B44" s="1"/>
      <c r="C44" s="8" t="s">
        <v>1192</v>
      </c>
      <c r="D44" s="18"/>
      <c r="E44" s="18"/>
      <c r="F44" s="1"/>
      <c r="G44" s="1"/>
      <c r="H44" s="8" t="s">
        <v>1193</v>
      </c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8" t="s">
        <v>26</v>
      </c>
      <c r="AB44" s="18"/>
      <c r="AC44" s="1"/>
      <c r="AD44" s="1"/>
      <c r="AE44" s="5" t="s">
        <v>1194</v>
      </c>
      <c r="AF44" s="1"/>
      <c r="AG44" s="1"/>
    </row>
    <row r="45" spans="1:33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1.25" customHeight="1">
      <c r="A46" s="1"/>
      <c r="B46" s="1"/>
      <c r="C46" s="8" t="s">
        <v>1195</v>
      </c>
      <c r="D46" s="18"/>
      <c r="E46" s="18"/>
      <c r="F46" s="1"/>
      <c r="G46" s="1"/>
      <c r="H46" s="8" t="s">
        <v>1193</v>
      </c>
      <c r="I46" s="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8" t="s">
        <v>26</v>
      </c>
      <c r="AB46" s="18"/>
      <c r="AC46" s="1"/>
      <c r="AD46" s="1"/>
      <c r="AE46" s="5" t="s">
        <v>868</v>
      </c>
      <c r="AF46" s="1"/>
      <c r="AG46" s="1"/>
    </row>
    <row r="47" spans="1:33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1.25" customHeight="1">
      <c r="A48" s="1"/>
      <c r="B48" s="1"/>
      <c r="C48" s="8" t="s">
        <v>1196</v>
      </c>
      <c r="D48" s="18"/>
      <c r="E48" s="18"/>
      <c r="F48" s="1"/>
      <c r="G48" s="1"/>
      <c r="H48" s="8" t="s">
        <v>1197</v>
      </c>
      <c r="I48" s="18"/>
      <c r="J48" s="18"/>
      <c r="K48" s="18"/>
      <c r="L48" s="1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8" t="s">
        <v>26</v>
      </c>
      <c r="AB48" s="18"/>
      <c r="AC48" s="1"/>
      <c r="AD48" s="1"/>
      <c r="AE48" s="5" t="s">
        <v>290</v>
      </c>
      <c r="AF48" s="1"/>
      <c r="AG48" s="1"/>
    </row>
    <row r="49" spans="1:33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1.25" customHeight="1">
      <c r="A50" s="1"/>
      <c r="B50" s="1"/>
      <c r="C50" s="8" t="s">
        <v>1198</v>
      </c>
      <c r="D50" s="18"/>
      <c r="E50" s="18"/>
      <c r="F50" s="1"/>
      <c r="G50" s="1"/>
      <c r="H50" s="8" t="s">
        <v>1199</v>
      </c>
      <c r="I50" s="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8" t="s">
        <v>26</v>
      </c>
      <c r="AB50" s="18"/>
      <c r="AC50" s="1"/>
      <c r="AD50" s="1"/>
      <c r="AE50" s="5" t="s">
        <v>637</v>
      </c>
      <c r="AF50" s="1"/>
      <c r="AG50" s="1"/>
    </row>
    <row r="51" spans="1:33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1.25" customHeight="1">
      <c r="A52" s="1"/>
      <c r="B52" s="1"/>
      <c r="C52" s="8" t="s">
        <v>1200</v>
      </c>
      <c r="D52" s="18"/>
      <c r="E52" s="18"/>
      <c r="F52" s="1"/>
      <c r="G52" s="1"/>
      <c r="H52" s="8" t="s">
        <v>1199</v>
      </c>
      <c r="I52" s="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8" t="s">
        <v>26</v>
      </c>
      <c r="AB52" s="18"/>
      <c r="AC52" s="1"/>
      <c r="AD52" s="1"/>
      <c r="AE52" s="5" t="s">
        <v>540</v>
      </c>
      <c r="AF52" s="1"/>
      <c r="AG52" s="1"/>
    </row>
    <row r="53" spans="1:33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1.25" customHeight="1">
      <c r="A54" s="1"/>
      <c r="B54" s="1"/>
      <c r="C54" s="8" t="s">
        <v>1201</v>
      </c>
      <c r="D54" s="18"/>
      <c r="E54" s="18"/>
      <c r="F54" s="1"/>
      <c r="G54" s="1"/>
      <c r="H54" s="8" t="s">
        <v>1202</v>
      </c>
      <c r="I54" s="18"/>
      <c r="J54" s="18"/>
      <c r="K54" s="1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8" t="s">
        <v>26</v>
      </c>
      <c r="AB54" s="18"/>
      <c r="AC54" s="1"/>
      <c r="AD54" s="1"/>
      <c r="AE54" s="5" t="s">
        <v>118</v>
      </c>
      <c r="AF54" s="1"/>
      <c r="AG54" s="1"/>
    </row>
    <row r="55" spans="1:33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1.25" customHeight="1">
      <c r="A56" s="1"/>
      <c r="B56" s="1"/>
      <c r="C56" s="8" t="s">
        <v>1203</v>
      </c>
      <c r="D56" s="18"/>
      <c r="E56" s="18"/>
      <c r="F56" s="1"/>
      <c r="G56" s="1"/>
      <c r="H56" s="8" t="s">
        <v>1204</v>
      </c>
      <c r="I56" s="18"/>
      <c r="J56" s="18"/>
      <c r="K56" s="18"/>
      <c r="L56" s="18"/>
      <c r="M56" s="18"/>
      <c r="N56" s="1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8" t="s">
        <v>26</v>
      </c>
      <c r="AB56" s="18"/>
      <c r="AC56" s="1"/>
      <c r="AD56" s="1"/>
      <c r="AE56" s="5" t="s">
        <v>389</v>
      </c>
      <c r="AF56" s="1"/>
      <c r="AG56" s="1"/>
    </row>
    <row r="57" spans="1:33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1.25" customHeight="1">
      <c r="A58" s="1"/>
      <c r="B58" s="1"/>
      <c r="C58" s="8" t="s">
        <v>1205</v>
      </c>
      <c r="D58" s="18"/>
      <c r="E58" s="18"/>
      <c r="F58" s="1"/>
      <c r="G58" s="1"/>
      <c r="H58" s="8" t="s">
        <v>1204</v>
      </c>
      <c r="I58" s="18"/>
      <c r="J58" s="18"/>
      <c r="K58" s="18"/>
      <c r="L58" s="18"/>
      <c r="M58" s="18"/>
      <c r="N58" s="1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8" t="s">
        <v>26</v>
      </c>
      <c r="AB58" s="18"/>
      <c r="AC58" s="1"/>
      <c r="AD58" s="1"/>
      <c r="AE58" s="5" t="s">
        <v>208</v>
      </c>
      <c r="AF58" s="1"/>
      <c r="AG58" s="1"/>
    </row>
    <row r="59" spans="1:33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1.25" customHeight="1">
      <c r="A60" s="1"/>
      <c r="B60" s="1"/>
      <c r="C60" s="8" t="s">
        <v>1206</v>
      </c>
      <c r="D60" s="18"/>
      <c r="E60" s="18"/>
      <c r="F60" s="1"/>
      <c r="G60" s="1"/>
      <c r="H60" s="8" t="s">
        <v>1207</v>
      </c>
      <c r="I60" s="18"/>
      <c r="J60" s="18"/>
      <c r="K60" s="18"/>
      <c r="L60" s="18"/>
      <c r="M60" s="1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8" t="s">
        <v>26</v>
      </c>
      <c r="AB60" s="18"/>
      <c r="AC60" s="1"/>
      <c r="AD60" s="1"/>
      <c r="AE60" s="5" t="s">
        <v>392</v>
      </c>
      <c r="AF60" s="1"/>
      <c r="AG60" s="1"/>
    </row>
    <row r="61" spans="1:33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1.25" customHeight="1">
      <c r="A62" s="1"/>
      <c r="B62" s="1"/>
      <c r="C62" s="8" t="s">
        <v>1208</v>
      </c>
      <c r="D62" s="18"/>
      <c r="E62" s="18"/>
      <c r="F62" s="1"/>
      <c r="G62" s="1"/>
      <c r="H62" s="8" t="s">
        <v>1207</v>
      </c>
      <c r="I62" s="18"/>
      <c r="J62" s="18"/>
      <c r="K62" s="18"/>
      <c r="L62" s="18"/>
      <c r="M62" s="1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8" t="s">
        <v>26</v>
      </c>
      <c r="AB62" s="18"/>
      <c r="AC62" s="1"/>
      <c r="AD62" s="1"/>
      <c r="AE62" s="5" t="s">
        <v>392</v>
      </c>
      <c r="AF62" s="1"/>
      <c r="AG62" s="1"/>
    </row>
    <row r="63" spans="1:33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1.25" customHeight="1">
      <c r="A64" s="1"/>
      <c r="B64" s="1"/>
      <c r="C64" s="8" t="s">
        <v>1209</v>
      </c>
      <c r="D64" s="18"/>
      <c r="E64" s="18"/>
      <c r="F64" s="1"/>
      <c r="G64" s="1"/>
      <c r="H64" s="8" t="s">
        <v>1210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"/>
      <c r="T64" s="1"/>
      <c r="U64" s="1"/>
      <c r="V64" s="1"/>
      <c r="W64" s="1"/>
      <c r="X64" s="1"/>
      <c r="Y64" s="1"/>
      <c r="Z64" s="1"/>
      <c r="AA64" s="8" t="s">
        <v>26</v>
      </c>
      <c r="AB64" s="18"/>
      <c r="AC64" s="1"/>
      <c r="AD64" s="1"/>
      <c r="AE64" s="5" t="s">
        <v>435</v>
      </c>
      <c r="AF64" s="1"/>
      <c r="AG64" s="1"/>
    </row>
    <row r="65" spans="1:33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1.25" customHeight="1">
      <c r="A66" s="1"/>
      <c r="B66" s="1"/>
      <c r="C66" s="8" t="s">
        <v>1211</v>
      </c>
      <c r="D66" s="18"/>
      <c r="E66" s="18"/>
      <c r="F66" s="1"/>
      <c r="G66" s="1"/>
      <c r="H66" s="8" t="s">
        <v>1212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"/>
      <c r="V66" s="1"/>
      <c r="W66" s="1"/>
      <c r="X66" s="1"/>
      <c r="Y66" s="1"/>
      <c r="Z66" s="1"/>
      <c r="AA66" s="8" t="s">
        <v>26</v>
      </c>
      <c r="AB66" s="18"/>
      <c r="AC66" s="1"/>
      <c r="AD66" s="1"/>
      <c r="AE66" s="5" t="s">
        <v>411</v>
      </c>
      <c r="AF66" s="1"/>
      <c r="AG66" s="1"/>
    </row>
    <row r="67" spans="1:33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1.25" customHeight="1">
      <c r="A68" s="1"/>
      <c r="B68" s="1"/>
      <c r="C68" s="8" t="s">
        <v>1213</v>
      </c>
      <c r="D68" s="18"/>
      <c r="E68" s="18"/>
      <c r="F68" s="1"/>
      <c r="G68" s="1"/>
      <c r="H68" s="8" t="s">
        <v>1214</v>
      </c>
      <c r="I68" s="18"/>
      <c r="J68" s="18"/>
      <c r="K68" s="18"/>
      <c r="L68" s="18"/>
      <c r="M68" s="18"/>
      <c r="N68" s="18"/>
      <c r="O68" s="18"/>
      <c r="P68" s="18"/>
      <c r="Q68" s="1"/>
      <c r="R68" s="1"/>
      <c r="S68" s="1"/>
      <c r="T68" s="1"/>
      <c r="U68" s="1"/>
      <c r="V68" s="1"/>
      <c r="W68" s="1"/>
      <c r="X68" s="1"/>
      <c r="Y68" s="1"/>
      <c r="Z68" s="1"/>
      <c r="AA68" s="8" t="s">
        <v>26</v>
      </c>
      <c r="AB68" s="18"/>
      <c r="AC68" s="1"/>
      <c r="AD68" s="1"/>
      <c r="AE68" s="5" t="s">
        <v>208</v>
      </c>
      <c r="AF68" s="1"/>
      <c r="AG68" s="1"/>
    </row>
    <row r="69" spans="1:33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1.25" customHeight="1">
      <c r="A70" s="1"/>
      <c r="B70" s="1"/>
      <c r="C70" s="8" t="s">
        <v>1215</v>
      </c>
      <c r="D70" s="18"/>
      <c r="E70" s="18"/>
      <c r="F70" s="1"/>
      <c r="G70" s="1"/>
      <c r="H70" s="8" t="s">
        <v>1216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"/>
      <c r="U70" s="1"/>
      <c r="V70" s="1"/>
      <c r="W70" s="1"/>
      <c r="X70" s="1"/>
      <c r="Y70" s="1"/>
      <c r="Z70" s="1"/>
      <c r="AA70" s="8" t="s">
        <v>26</v>
      </c>
      <c r="AB70" s="18"/>
      <c r="AC70" s="1"/>
      <c r="AD70" s="1"/>
      <c r="AE70" s="5" t="s">
        <v>392</v>
      </c>
      <c r="AF70" s="1"/>
      <c r="AG70" s="1"/>
    </row>
    <row r="71" spans="1:33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1.25" customHeight="1">
      <c r="A72" s="1"/>
      <c r="B72" s="1"/>
      <c r="C72" s="8" t="s">
        <v>1217</v>
      </c>
      <c r="D72" s="18"/>
      <c r="E72" s="18"/>
      <c r="F72" s="1"/>
      <c r="G72" s="1"/>
      <c r="H72" s="8" t="s">
        <v>1218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"/>
      <c r="V72" s="1"/>
      <c r="W72" s="1"/>
      <c r="X72" s="1"/>
      <c r="Y72" s="1"/>
      <c r="Z72" s="1"/>
      <c r="AA72" s="8" t="s">
        <v>26</v>
      </c>
      <c r="AB72" s="18"/>
      <c r="AC72" s="1"/>
      <c r="AD72" s="1"/>
      <c r="AE72" s="5" t="s">
        <v>389</v>
      </c>
      <c r="AF72" s="1"/>
      <c r="AG72" s="1"/>
    </row>
    <row r="73" spans="1:33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1.25" customHeight="1">
      <c r="A74" s="1"/>
      <c r="B74" s="1"/>
      <c r="C74" s="8" t="s">
        <v>1219</v>
      </c>
      <c r="D74" s="18"/>
      <c r="E74" s="18"/>
      <c r="F74" s="1"/>
      <c r="G74" s="1"/>
      <c r="H74" s="8" t="s">
        <v>1220</v>
      </c>
      <c r="I74" s="18"/>
      <c r="J74" s="18"/>
      <c r="K74" s="18"/>
      <c r="L74" s="18"/>
      <c r="M74" s="18"/>
      <c r="N74" s="18"/>
      <c r="O74" s="1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8" t="s">
        <v>26</v>
      </c>
      <c r="AB74" s="18"/>
      <c r="AC74" s="1"/>
      <c r="AD74" s="1"/>
      <c r="AE74" s="5" t="s">
        <v>27</v>
      </c>
      <c r="AF74" s="1"/>
      <c r="AG74" s="1"/>
    </row>
    <row r="75" spans="1:33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1.25" customHeight="1">
      <c r="A76" s="1"/>
      <c r="B76" s="1"/>
      <c r="C76" s="8" t="s">
        <v>1221</v>
      </c>
      <c r="D76" s="18"/>
      <c r="E76" s="18"/>
      <c r="F76" s="1"/>
      <c r="G76" s="1"/>
      <c r="H76" s="8" t="s">
        <v>1222</v>
      </c>
      <c r="I76" s="18"/>
      <c r="J76" s="18"/>
      <c r="K76" s="18"/>
      <c r="L76" s="18"/>
      <c r="M76" s="18"/>
      <c r="N76" s="18"/>
      <c r="O76" s="18"/>
      <c r="P76" s="18"/>
      <c r="Q76" s="18"/>
      <c r="R76" s="1"/>
      <c r="S76" s="1"/>
      <c r="T76" s="1"/>
      <c r="U76" s="1"/>
      <c r="V76" s="1"/>
      <c r="W76" s="1"/>
      <c r="X76" s="1"/>
      <c r="Y76" s="1"/>
      <c r="Z76" s="1"/>
      <c r="AA76" s="8" t="s">
        <v>26</v>
      </c>
      <c r="AB76" s="18"/>
      <c r="AC76" s="1"/>
      <c r="AD76" s="1"/>
      <c r="AE76" s="5" t="s">
        <v>208</v>
      </c>
      <c r="AF76" s="1"/>
      <c r="AG76" s="1"/>
    </row>
    <row r="77" spans="1:33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1.25" customHeight="1">
      <c r="A78" s="1"/>
      <c r="B78" s="1"/>
      <c r="C78" s="8" t="s">
        <v>1223</v>
      </c>
      <c r="D78" s="18"/>
      <c r="E78" s="18"/>
      <c r="F78" s="1"/>
      <c r="G78" s="1"/>
      <c r="H78" s="8" t="s">
        <v>1224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"/>
      <c r="T78" s="1"/>
      <c r="U78" s="1"/>
      <c r="V78" s="1"/>
      <c r="W78" s="1"/>
      <c r="X78" s="1"/>
      <c r="Y78" s="1"/>
      <c r="Z78" s="1"/>
      <c r="AA78" s="8" t="s">
        <v>26</v>
      </c>
      <c r="AB78" s="18"/>
      <c r="AC78" s="1"/>
      <c r="AD78" s="1"/>
      <c r="AE78" s="5" t="s">
        <v>417</v>
      </c>
      <c r="AF78" s="1"/>
      <c r="AG78" s="1"/>
    </row>
    <row r="79" spans="1:33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1.25" customHeight="1">
      <c r="A80" s="1"/>
      <c r="B80" s="1"/>
      <c r="C80" s="8" t="s">
        <v>1225</v>
      </c>
      <c r="D80" s="18"/>
      <c r="E80" s="18"/>
      <c r="F80" s="1"/>
      <c r="G80" s="1"/>
      <c r="H80" s="8" t="s">
        <v>1226</v>
      </c>
      <c r="I80" s="18"/>
      <c r="J80" s="18"/>
      <c r="K80" s="18"/>
      <c r="L80" s="1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8" t="s">
        <v>26</v>
      </c>
      <c r="AB80" s="18"/>
      <c r="AC80" s="1"/>
      <c r="AD80" s="1"/>
      <c r="AE80" s="5" t="s">
        <v>295</v>
      </c>
      <c r="AF80" s="1"/>
      <c r="AG80" s="1"/>
    </row>
    <row r="81" spans="1:33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1.25" customHeight="1">
      <c r="A82" s="1"/>
      <c r="B82" s="1"/>
      <c r="C82" s="8" t="s">
        <v>1227</v>
      </c>
      <c r="D82" s="18"/>
      <c r="E82" s="18"/>
      <c r="F82" s="1"/>
      <c r="G82" s="1"/>
      <c r="H82" s="8" t="s">
        <v>1228</v>
      </c>
      <c r="I82" s="18"/>
      <c r="J82" s="18"/>
      <c r="K82" s="18"/>
      <c r="L82" s="18"/>
      <c r="M82" s="18"/>
      <c r="N82" s="18"/>
      <c r="O82" s="18"/>
      <c r="P82" s="18"/>
      <c r="Q82" s="18"/>
      <c r="R82" s="1"/>
      <c r="S82" s="1"/>
      <c r="T82" s="1"/>
      <c r="U82" s="1"/>
      <c r="V82" s="1"/>
      <c r="W82" s="1"/>
      <c r="X82" s="1"/>
      <c r="Y82" s="1"/>
      <c r="Z82" s="1"/>
      <c r="AA82" s="8" t="s">
        <v>26</v>
      </c>
      <c r="AB82" s="18"/>
      <c r="AC82" s="1"/>
      <c r="AD82" s="1"/>
      <c r="AE82" s="5" t="s">
        <v>27</v>
      </c>
      <c r="AF82" s="1"/>
      <c r="AG82" s="1"/>
    </row>
    <row r="83" spans="1:33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1.25" customHeight="1">
      <c r="A84" s="1"/>
      <c r="B84" s="1"/>
      <c r="C84" s="8" t="s">
        <v>1229</v>
      </c>
      <c r="D84" s="18"/>
      <c r="E84" s="18"/>
      <c r="F84" s="1"/>
      <c r="G84" s="1"/>
      <c r="H84" s="8" t="s">
        <v>1230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"/>
      <c r="T84" s="1"/>
      <c r="U84" s="1"/>
      <c r="V84" s="1"/>
      <c r="W84" s="1"/>
      <c r="X84" s="1"/>
      <c r="Y84" s="1"/>
      <c r="Z84" s="1"/>
      <c r="AA84" s="8" t="s">
        <v>26</v>
      </c>
      <c r="AB84" s="18"/>
      <c r="AC84" s="1"/>
      <c r="AD84" s="1"/>
      <c r="AE84" s="5" t="s">
        <v>392</v>
      </c>
      <c r="AF84" s="1"/>
      <c r="AG84" s="1"/>
    </row>
    <row r="85" spans="1:33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1.25" customHeight="1">
      <c r="A86" s="1"/>
      <c r="B86" s="1"/>
      <c r="C86" s="8" t="s">
        <v>1231</v>
      </c>
      <c r="D86" s="18"/>
      <c r="E86" s="18"/>
      <c r="F86" s="1"/>
      <c r="G86" s="1"/>
      <c r="H86" s="8" t="s">
        <v>1232</v>
      </c>
      <c r="I86" s="18"/>
      <c r="J86" s="18"/>
      <c r="K86" s="18"/>
      <c r="L86" s="1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8" t="s">
        <v>26</v>
      </c>
      <c r="AB86" s="18"/>
      <c r="AC86" s="1"/>
      <c r="AD86" s="1"/>
      <c r="AE86" s="5" t="s">
        <v>213</v>
      </c>
      <c r="AF86" s="1"/>
      <c r="AG86" s="1"/>
    </row>
    <row r="87" spans="1:33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1.25" customHeight="1">
      <c r="A88" s="1"/>
      <c r="B88" s="1"/>
      <c r="C88" s="8" t="s">
        <v>1233</v>
      </c>
      <c r="D88" s="18"/>
      <c r="E88" s="18"/>
      <c r="F88" s="1"/>
      <c r="G88" s="1"/>
      <c r="H88" s="8" t="s">
        <v>1234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"/>
      <c r="T88" s="1"/>
      <c r="U88" s="1"/>
      <c r="V88" s="1"/>
      <c r="W88" s="1"/>
      <c r="X88" s="1"/>
      <c r="Y88" s="1"/>
      <c r="Z88" s="1"/>
      <c r="AA88" s="8" t="s">
        <v>26</v>
      </c>
      <c r="AB88" s="18"/>
      <c r="AC88" s="1"/>
      <c r="AD88" s="1"/>
      <c r="AE88" s="5" t="s">
        <v>435</v>
      </c>
      <c r="AF88" s="1"/>
      <c r="AG88" s="1"/>
    </row>
    <row r="89" spans="1:33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1.25" customHeight="1">
      <c r="A90" s="1"/>
      <c r="B90" s="1"/>
      <c r="C90" s="8" t="s">
        <v>1235</v>
      </c>
      <c r="D90" s="18"/>
      <c r="E90" s="18"/>
      <c r="F90" s="1"/>
      <c r="G90" s="1"/>
      <c r="H90" s="8" t="s">
        <v>1236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"/>
      <c r="W90" s="1"/>
      <c r="X90" s="1"/>
      <c r="Y90" s="1"/>
      <c r="Z90" s="1"/>
      <c r="AA90" s="8" t="s">
        <v>26</v>
      </c>
      <c r="AB90" s="18"/>
      <c r="AC90" s="1"/>
      <c r="AD90" s="1"/>
      <c r="AE90" s="5" t="s">
        <v>411</v>
      </c>
      <c r="AF90" s="1"/>
      <c r="AG90" s="1"/>
    </row>
    <row r="91" spans="1:33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1.25" customHeight="1">
      <c r="A92" s="1"/>
      <c r="B92" s="1"/>
      <c r="C92" s="8" t="s">
        <v>1237</v>
      </c>
      <c r="D92" s="18"/>
      <c r="E92" s="18"/>
      <c r="F92" s="1"/>
      <c r="G92" s="1"/>
      <c r="H92" s="8" t="s">
        <v>1238</v>
      </c>
      <c r="I92" s="18"/>
      <c r="J92" s="18"/>
      <c r="K92" s="18"/>
      <c r="L92" s="18"/>
      <c r="M92" s="18"/>
      <c r="N92" s="18"/>
      <c r="O92" s="1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8" t="s">
        <v>26</v>
      </c>
      <c r="AB92" s="18"/>
      <c r="AC92" s="1"/>
      <c r="AD92" s="1"/>
      <c r="AE92" s="5" t="s">
        <v>208</v>
      </c>
      <c r="AF92" s="1"/>
      <c r="AG92" s="1"/>
    </row>
    <row r="93" spans="1:33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1.25" customHeight="1">
      <c r="A94" s="1"/>
      <c r="B94" s="1"/>
      <c r="C94" s="8" t="s">
        <v>1239</v>
      </c>
      <c r="D94" s="18"/>
      <c r="E94" s="18"/>
      <c r="F94" s="1"/>
      <c r="G94" s="1"/>
      <c r="H94" s="8" t="s">
        <v>1240</v>
      </c>
      <c r="I94" s="18"/>
      <c r="J94" s="18"/>
      <c r="K94" s="18"/>
      <c r="L94" s="18"/>
      <c r="M94" s="18"/>
      <c r="N94" s="18"/>
      <c r="O94" s="1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8" t="s">
        <v>26</v>
      </c>
      <c r="AB94" s="18"/>
      <c r="AC94" s="1"/>
      <c r="AD94" s="1"/>
      <c r="AE94" s="5" t="s">
        <v>964</v>
      </c>
      <c r="AF94" s="1"/>
      <c r="AG94" s="1"/>
    </row>
    <row r="95" spans="1:33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1.25" customHeight="1">
      <c r="A96" s="1"/>
      <c r="B96" s="1"/>
      <c r="C96" s="8" t="s">
        <v>1241</v>
      </c>
      <c r="D96" s="18"/>
      <c r="E96" s="18"/>
      <c r="F96" s="1"/>
      <c r="G96" s="1"/>
      <c r="H96" s="8" t="s">
        <v>1242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"/>
      <c r="W96" s="1"/>
      <c r="X96" s="1"/>
      <c r="Y96" s="1"/>
      <c r="Z96" s="1"/>
      <c r="AA96" s="8" t="s">
        <v>26</v>
      </c>
      <c r="AB96" s="18"/>
      <c r="AC96" s="1"/>
      <c r="AD96" s="1"/>
      <c r="AE96" s="5" t="s">
        <v>592</v>
      </c>
      <c r="AF96" s="1"/>
      <c r="AG96" s="1"/>
    </row>
    <row r="97" spans="1:33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1.25" customHeight="1">
      <c r="A98" s="1"/>
      <c r="B98" s="1"/>
      <c r="C98" s="8" t="s">
        <v>1243</v>
      </c>
      <c r="D98" s="18"/>
      <c r="E98" s="18"/>
      <c r="F98" s="1"/>
      <c r="G98" s="1"/>
      <c r="H98" s="8" t="s">
        <v>1244</v>
      </c>
      <c r="I98" s="18"/>
      <c r="J98" s="18"/>
      <c r="K98" s="18"/>
      <c r="L98" s="18"/>
      <c r="M98" s="18"/>
      <c r="N98" s="18"/>
      <c r="O98" s="18"/>
      <c r="P98" s="18"/>
      <c r="Q98" s="18"/>
      <c r="R98" s="1"/>
      <c r="S98" s="1"/>
      <c r="T98" s="1"/>
      <c r="U98" s="1"/>
      <c r="V98" s="1"/>
      <c r="W98" s="1"/>
      <c r="X98" s="1"/>
      <c r="Y98" s="1"/>
      <c r="Z98" s="1"/>
      <c r="AA98" s="8" t="s">
        <v>26</v>
      </c>
      <c r="AB98" s="18"/>
      <c r="AC98" s="1"/>
      <c r="AD98" s="1"/>
      <c r="AE98" s="5" t="s">
        <v>692</v>
      </c>
      <c r="AF98" s="1"/>
      <c r="AG98" s="1"/>
    </row>
    <row r="99" spans="1:33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1.25" customHeight="1">
      <c r="A100" s="1"/>
      <c r="B100" s="1"/>
      <c r="C100" s="8" t="s">
        <v>1245</v>
      </c>
      <c r="D100" s="18"/>
      <c r="E100" s="1"/>
      <c r="F100" s="1"/>
      <c r="G100" s="1"/>
      <c r="H100" s="8" t="s">
        <v>1246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"/>
      <c r="X100" s="1"/>
      <c r="Y100" s="1"/>
      <c r="Z100" s="1"/>
      <c r="AA100" s="8" t="s">
        <v>26</v>
      </c>
      <c r="AB100" s="18"/>
      <c r="AC100" s="1"/>
      <c r="AD100" s="1"/>
      <c r="AE100" s="5" t="s">
        <v>192</v>
      </c>
      <c r="AF100" s="1"/>
      <c r="AG100" s="1"/>
    </row>
    <row r="101" spans="1:33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"/>
      <c r="Y104" s="1"/>
      <c r="Z104" s="1"/>
      <c r="AA104" s="1"/>
      <c r="AB104" s="1"/>
      <c r="AC104" s="1"/>
      <c r="AD104" s="8" t="s">
        <v>1247</v>
      </c>
      <c r="AE104" s="18"/>
      <c r="AF104" s="18"/>
      <c r="AG104" s="1"/>
    </row>
    <row r="105" spans="1:33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</sheetData>
  <mergeCells count="149">
    <mergeCell ref="B2:F4"/>
    <mergeCell ref="G2:Y4"/>
    <mergeCell ref="Z2:AA4"/>
    <mergeCell ref="AD3:AF3"/>
    <mergeCell ref="C8:E8"/>
    <mergeCell ref="H8:L8"/>
    <mergeCell ref="AA8:AB8"/>
    <mergeCell ref="C10:E10"/>
    <mergeCell ref="H10:L10"/>
    <mergeCell ref="AA10:AB10"/>
    <mergeCell ref="AA6:AB6"/>
    <mergeCell ref="C12:E12"/>
    <mergeCell ref="H12:N12"/>
    <mergeCell ref="AA12:AB12"/>
    <mergeCell ref="C14:E14"/>
    <mergeCell ref="H14:M14"/>
    <mergeCell ref="AA14:AB14"/>
    <mergeCell ref="C16:E16"/>
    <mergeCell ref="H16:M16"/>
    <mergeCell ref="AA16:AB16"/>
    <mergeCell ref="C18:E18"/>
    <mergeCell ref="H18:M18"/>
    <mergeCell ref="AA18:AB18"/>
    <mergeCell ref="C20:E20"/>
    <mergeCell ref="H20:M20"/>
    <mergeCell ref="AA20:AB20"/>
    <mergeCell ref="C22:E22"/>
    <mergeCell ref="H22:M22"/>
    <mergeCell ref="AA22:AB22"/>
    <mergeCell ref="C24:E24"/>
    <mergeCell ref="H24:O24"/>
    <mergeCell ref="AA24:AB24"/>
    <mergeCell ref="C26:E26"/>
    <mergeCell ref="H26:J26"/>
    <mergeCell ref="AA26:AB26"/>
    <mergeCell ref="C28:E28"/>
    <mergeCell ref="H28:J28"/>
    <mergeCell ref="AA28:AB28"/>
    <mergeCell ref="C30:E30"/>
    <mergeCell ref="H30:M30"/>
    <mergeCell ref="AA30:AB30"/>
    <mergeCell ref="C32:E32"/>
    <mergeCell ref="H32:K32"/>
    <mergeCell ref="AA32:AB32"/>
    <mergeCell ref="C34:E34"/>
    <mergeCell ref="H34:J34"/>
    <mergeCell ref="AA34:AB34"/>
    <mergeCell ref="C36:E36"/>
    <mergeCell ref="H36:M36"/>
    <mergeCell ref="AA36:AB36"/>
    <mergeCell ref="C38:E38"/>
    <mergeCell ref="H38:I38"/>
    <mergeCell ref="AA38:AB38"/>
    <mergeCell ref="C40:E40"/>
    <mergeCell ref="H40:I40"/>
    <mergeCell ref="AA40:AB40"/>
    <mergeCell ref="C42:E42"/>
    <mergeCell ref="H42:K42"/>
    <mergeCell ref="AA42:AB42"/>
    <mergeCell ref="C44:E44"/>
    <mergeCell ref="H44:I44"/>
    <mergeCell ref="AA44:AB44"/>
    <mergeCell ref="C46:E46"/>
    <mergeCell ref="H46:I46"/>
    <mergeCell ref="AA46:AB46"/>
    <mergeCell ref="C48:E48"/>
    <mergeCell ref="H48:L48"/>
    <mergeCell ref="AA48:AB48"/>
    <mergeCell ref="C50:E50"/>
    <mergeCell ref="H50:I50"/>
    <mergeCell ref="AA50:AB50"/>
    <mergeCell ref="C52:E52"/>
    <mergeCell ref="H52:I52"/>
    <mergeCell ref="AA52:AB52"/>
    <mergeCell ref="C54:E54"/>
    <mergeCell ref="H54:K54"/>
    <mergeCell ref="AA54:AB54"/>
    <mergeCell ref="C56:E56"/>
    <mergeCell ref="H56:N56"/>
    <mergeCell ref="AA56:AB56"/>
    <mergeCell ref="C58:E58"/>
    <mergeCell ref="H58:N58"/>
    <mergeCell ref="AA58:AB58"/>
    <mergeCell ref="C60:E60"/>
    <mergeCell ref="H60:M60"/>
    <mergeCell ref="AA60:AB60"/>
    <mergeCell ref="C62:E62"/>
    <mergeCell ref="H62:M62"/>
    <mergeCell ref="AA62:AB62"/>
    <mergeCell ref="C64:E64"/>
    <mergeCell ref="H64:R64"/>
    <mergeCell ref="AA64:AB64"/>
    <mergeCell ref="C66:E66"/>
    <mergeCell ref="H66:T66"/>
    <mergeCell ref="AA66:AB66"/>
    <mergeCell ref="C68:E68"/>
    <mergeCell ref="H68:P68"/>
    <mergeCell ref="AA68:AB68"/>
    <mergeCell ref="C70:E70"/>
    <mergeCell ref="H70:S70"/>
    <mergeCell ref="AA70:AB70"/>
    <mergeCell ref="C72:E72"/>
    <mergeCell ref="H72:T72"/>
    <mergeCell ref="AA72:AB72"/>
    <mergeCell ref="C74:E74"/>
    <mergeCell ref="H74:O74"/>
    <mergeCell ref="AA74:AB74"/>
    <mergeCell ref="C76:E76"/>
    <mergeCell ref="H76:Q76"/>
    <mergeCell ref="AA76:AB76"/>
    <mergeCell ref="C78:E78"/>
    <mergeCell ref="H78:R78"/>
    <mergeCell ref="AA78:AB78"/>
    <mergeCell ref="C80:E80"/>
    <mergeCell ref="H80:L80"/>
    <mergeCell ref="AA80:AB80"/>
    <mergeCell ref="C82:E82"/>
    <mergeCell ref="H82:Q82"/>
    <mergeCell ref="AA82:AB82"/>
    <mergeCell ref="C84:E84"/>
    <mergeCell ref="H84:R84"/>
    <mergeCell ref="AA84:AB84"/>
    <mergeCell ref="C86:E86"/>
    <mergeCell ref="H86:L86"/>
    <mergeCell ref="AA86:AB86"/>
    <mergeCell ref="C88:E88"/>
    <mergeCell ref="H88:R88"/>
    <mergeCell ref="AA88:AB88"/>
    <mergeCell ref="C90:E90"/>
    <mergeCell ref="H90:U90"/>
    <mergeCell ref="AA90:AB90"/>
    <mergeCell ref="C92:E92"/>
    <mergeCell ref="H92:O92"/>
    <mergeCell ref="AA92:AB92"/>
    <mergeCell ref="C94:E94"/>
    <mergeCell ref="H94:O94"/>
    <mergeCell ref="AA94:AB94"/>
    <mergeCell ref="I102:X102"/>
    <mergeCell ref="J104:W104"/>
    <mergeCell ref="AD104:AF104"/>
    <mergeCell ref="C96:E96"/>
    <mergeCell ref="H96:U96"/>
    <mergeCell ref="AA96:AB96"/>
    <mergeCell ref="C98:E98"/>
    <mergeCell ref="H98:Q98"/>
    <mergeCell ref="AA98:AB98"/>
    <mergeCell ref="C100:D100"/>
    <mergeCell ref="H100:V100"/>
    <mergeCell ref="AA100:AB10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6.85546875" customWidth="1"/>
    <col min="5" max="5" width="3.5703125" customWidth="1"/>
    <col min="6" max="6" width="14" customWidth="1"/>
    <col min="7" max="7" width="0.140625" customWidth="1"/>
    <col min="8" max="8" width="3.7109375" customWidth="1"/>
    <col min="9" max="9" width="6.140625" customWidth="1"/>
    <col min="10" max="10" width="4.7109375" customWidth="1"/>
    <col min="11" max="11" width="2.85546875" customWidth="1"/>
    <col min="12" max="12" width="3" customWidth="1"/>
    <col min="13" max="13" width="1.7109375" customWidth="1"/>
    <col min="14" max="14" width="1" customWidth="1"/>
    <col min="15" max="15" width="0.5703125" customWidth="1"/>
    <col min="16" max="16" width="0.85546875" customWidth="1"/>
    <col min="17" max="17" width="1.140625" customWidth="1"/>
    <col min="18" max="19" width="1.42578125" customWidth="1"/>
    <col min="20" max="20" width="1.5703125" customWidth="1"/>
    <col min="21" max="21" width="1" customWidth="1"/>
    <col min="22" max="22" width="2.140625" customWidth="1"/>
    <col min="23" max="23" width="0.7109375" customWidth="1"/>
    <col min="24" max="24" width="0.28515625" customWidth="1"/>
    <col min="25" max="25" width="2.28515625" customWidth="1"/>
    <col min="26" max="26" width="9.28515625" customWidth="1"/>
    <col min="27" max="27" width="3" customWidth="1"/>
    <col min="28" max="28" width="6" customWidth="1"/>
    <col min="29" max="29" width="6.140625" customWidth="1"/>
    <col min="30" max="30" width="13.140625" customWidth="1"/>
    <col min="31" max="31" width="3.140625" customWidth="1"/>
    <col min="32" max="32" width="2.85546875" customWidth="1"/>
    <col min="33" max="33" width="0.42578125" customWidth="1"/>
    <col min="34" max="34" width="3.28515625" customWidth="1"/>
    <col min="35" max="35" width="0.42578125" customWidth="1"/>
    <col min="36" max="36" width="2.42578125" customWidth="1"/>
    <col min="37" max="38" width="1.28515625" customWidth="1"/>
    <col min="39" max="39" width="6.140625" customWidth="1"/>
    <col min="40" max="40" width="1" customWidth="1"/>
    <col min="41" max="41" width="3.85546875" customWidth="1"/>
  </cols>
  <sheetData>
    <row r="1" spans="1:41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  <c r="AH1" s="1"/>
      <c r="AI1" s="1"/>
      <c r="AJ1" s="1"/>
      <c r="AK1" s="1"/>
      <c r="AL1" s="1"/>
      <c r="AM1" s="1"/>
      <c r="AN1" s="1"/>
      <c r="AO1" s="1"/>
    </row>
    <row r="2" spans="1:41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9" t="s">
        <v>2</v>
      </c>
      <c r="AF2" s="11"/>
      <c r="AG2" s="4"/>
      <c r="AH2" s="1"/>
      <c r="AI2" s="1"/>
      <c r="AJ2" s="1"/>
      <c r="AK2" s="1"/>
      <c r="AL2" s="1"/>
      <c r="AM2" s="1"/>
      <c r="AN2" s="1"/>
      <c r="AO2" s="1"/>
    </row>
    <row r="3" spans="1:41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4"/>
      <c r="AE3" s="12"/>
      <c r="AF3" s="14"/>
      <c r="AG3" s="4"/>
      <c r="AH3" s="1"/>
      <c r="AI3" s="8" t="s">
        <v>3</v>
      </c>
      <c r="AJ3" s="18"/>
      <c r="AK3" s="18"/>
      <c r="AL3" s="18"/>
      <c r="AM3" s="18"/>
      <c r="AN3" s="18"/>
      <c r="AO3" s="1"/>
    </row>
    <row r="4" spans="1:41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/>
      <c r="AE4" s="15"/>
      <c r="AF4" s="17"/>
      <c r="AG4" s="4"/>
      <c r="AH4" s="1"/>
      <c r="AI4" s="1"/>
      <c r="AJ4" s="1"/>
      <c r="AK4" s="1"/>
      <c r="AL4" s="1"/>
      <c r="AM4" s="1"/>
      <c r="AN4" s="1"/>
      <c r="AO4" s="1"/>
    </row>
    <row r="5" spans="1:41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"/>
      <c r="AH5" s="1"/>
      <c r="AI5" s="1"/>
      <c r="AJ5" s="1"/>
      <c r="AK5" s="1"/>
      <c r="AL5" s="1"/>
      <c r="AM5" s="1"/>
      <c r="AN5" s="1"/>
      <c r="AO5" s="1"/>
    </row>
    <row r="6" spans="1:41" ht="11.25" customHeight="1">
      <c r="A6" s="1"/>
      <c r="B6" s="1"/>
      <c r="C6" s="1" t="s">
        <v>2228</v>
      </c>
      <c r="D6" s="1"/>
      <c r="E6" s="1"/>
      <c r="F6" s="1"/>
      <c r="G6" s="1"/>
      <c r="H6" s="1" t="s">
        <v>2229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8" t="s">
        <v>26</v>
      </c>
      <c r="AG6" s="18"/>
      <c r="AH6" s="1"/>
      <c r="AI6" s="1"/>
      <c r="AJ6" s="1"/>
      <c r="AK6" s="1"/>
      <c r="AL6" s="8" t="s">
        <v>964</v>
      </c>
      <c r="AM6" s="18"/>
      <c r="AN6" s="1"/>
      <c r="AO6" s="1"/>
    </row>
    <row r="7" spans="1:41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1.25" customHeight="1">
      <c r="A8" s="1"/>
      <c r="B8" s="1"/>
      <c r="C8" s="8" t="s">
        <v>1248</v>
      </c>
      <c r="D8" s="18"/>
      <c r="E8" s="1"/>
      <c r="F8" s="1"/>
      <c r="G8" s="1"/>
      <c r="H8" s="8" t="s">
        <v>1249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8" t="s">
        <v>26</v>
      </c>
      <c r="AG8" s="18"/>
      <c r="AH8" s="1"/>
      <c r="AI8" s="1"/>
      <c r="AJ8" s="1"/>
      <c r="AK8" s="8" t="s">
        <v>1250</v>
      </c>
      <c r="AL8" s="18"/>
      <c r="AM8" s="18"/>
      <c r="AN8" s="1"/>
      <c r="AO8" s="1"/>
    </row>
    <row r="9" spans="1:41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1.25" customHeight="1">
      <c r="A10" s="1"/>
      <c r="B10" s="1"/>
      <c r="C10" s="8" t="s">
        <v>1251</v>
      </c>
      <c r="D10" s="18"/>
      <c r="E10" s="1"/>
      <c r="F10" s="1"/>
      <c r="G10" s="1"/>
      <c r="H10" s="8" t="s">
        <v>1249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8" t="s">
        <v>26</v>
      </c>
      <c r="AG10" s="18"/>
      <c r="AH10" s="1"/>
      <c r="AI10" s="1"/>
      <c r="AJ10" s="1"/>
      <c r="AK10" s="8" t="s">
        <v>349</v>
      </c>
      <c r="AL10" s="18"/>
      <c r="AM10" s="18"/>
      <c r="AN10" s="1"/>
      <c r="AO10" s="1"/>
    </row>
    <row r="11" spans="1:41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1.25" customHeight="1">
      <c r="A12" s="1"/>
      <c r="B12" s="1"/>
      <c r="C12" s="8" t="s">
        <v>1252</v>
      </c>
      <c r="D12" s="18"/>
      <c r="E12" s="18"/>
      <c r="F12" s="1"/>
      <c r="G12" s="1"/>
      <c r="H12" s="8" t="s">
        <v>1253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8" t="s">
        <v>26</v>
      </c>
      <c r="AG12" s="18"/>
      <c r="AH12" s="1"/>
      <c r="AI12" s="1"/>
      <c r="AJ12" s="1"/>
      <c r="AK12" s="8" t="s">
        <v>1254</v>
      </c>
      <c r="AL12" s="18"/>
      <c r="AM12" s="18"/>
      <c r="AN12" s="1"/>
      <c r="AO12" s="1"/>
    </row>
    <row r="13" spans="1:41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1.25" customHeight="1">
      <c r="A14" s="1"/>
      <c r="B14" s="1"/>
      <c r="C14" s="8" t="s">
        <v>1255</v>
      </c>
      <c r="D14" s="18"/>
      <c r="E14" s="1"/>
      <c r="F14" s="1"/>
      <c r="G14" s="1"/>
      <c r="H14" s="8" t="s">
        <v>1256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"/>
      <c r="Y14" s="1"/>
      <c r="Z14" s="1"/>
      <c r="AA14" s="1"/>
      <c r="AB14" s="1"/>
      <c r="AC14" s="1"/>
      <c r="AD14" s="1"/>
      <c r="AE14" s="1"/>
      <c r="AF14" s="8" t="s">
        <v>26</v>
      </c>
      <c r="AG14" s="18"/>
      <c r="AH14" s="1"/>
      <c r="AI14" s="1"/>
      <c r="AJ14" s="1"/>
      <c r="AK14" s="1"/>
      <c r="AL14" s="8" t="s">
        <v>540</v>
      </c>
      <c r="AM14" s="18"/>
      <c r="AN14" s="1"/>
      <c r="AO14" s="1"/>
    </row>
    <row r="15" spans="1:41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1.25" customHeight="1">
      <c r="A16" s="1"/>
      <c r="B16" s="1"/>
      <c r="C16" s="8" t="s">
        <v>1257</v>
      </c>
      <c r="D16" s="18"/>
      <c r="E16" s="1"/>
      <c r="F16" s="1"/>
      <c r="G16" s="1"/>
      <c r="H16" s="8" t="s">
        <v>1258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"/>
      <c r="Z16" s="1"/>
      <c r="AA16" s="1"/>
      <c r="AB16" s="1"/>
      <c r="AC16" s="1"/>
      <c r="AD16" s="1"/>
      <c r="AE16" s="1"/>
      <c r="AF16" s="8" t="s">
        <v>26</v>
      </c>
      <c r="AG16" s="18"/>
      <c r="AH16" s="1"/>
      <c r="AI16" s="1"/>
      <c r="AJ16" s="1"/>
      <c r="AK16" s="1"/>
      <c r="AL16" s="8" t="s">
        <v>448</v>
      </c>
      <c r="AM16" s="18"/>
      <c r="AN16" s="1"/>
      <c r="AO16" s="1"/>
    </row>
    <row r="17" spans="1:41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1.25" customHeight="1">
      <c r="A18" s="1"/>
      <c r="B18" s="1"/>
      <c r="C18" s="8" t="s">
        <v>1259</v>
      </c>
      <c r="D18" s="18"/>
      <c r="E18" s="18"/>
      <c r="F18" s="1"/>
      <c r="G18" s="1"/>
      <c r="H18" s="8" t="s">
        <v>1260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"/>
      <c r="AA18" s="1"/>
      <c r="AB18" s="1"/>
      <c r="AC18" s="1"/>
      <c r="AD18" s="1"/>
      <c r="AE18" s="1"/>
      <c r="AF18" s="8" t="s">
        <v>26</v>
      </c>
      <c r="AG18" s="18"/>
      <c r="AH18" s="1"/>
      <c r="AI18" s="1"/>
      <c r="AJ18" s="1"/>
      <c r="AK18" s="1"/>
      <c r="AL18" s="8" t="s">
        <v>1144</v>
      </c>
      <c r="AM18" s="18"/>
      <c r="AN18" s="1"/>
      <c r="AO18" s="1"/>
    </row>
    <row r="19" spans="1:41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1.25" customHeight="1">
      <c r="A20" s="1"/>
      <c r="B20" s="1"/>
      <c r="C20" s="8" t="s">
        <v>1261</v>
      </c>
      <c r="D20" s="18"/>
      <c r="E20" s="1"/>
      <c r="F20" s="1"/>
      <c r="G20" s="1"/>
      <c r="H20" s="8" t="s">
        <v>1262</v>
      </c>
      <c r="I20" s="18"/>
      <c r="J20" s="18"/>
      <c r="K20" s="18"/>
      <c r="L20" s="1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8" t="s">
        <v>26</v>
      </c>
      <c r="AG20" s="18"/>
      <c r="AH20" s="1"/>
      <c r="AI20" s="1"/>
      <c r="AJ20" s="1"/>
      <c r="AK20" s="1"/>
      <c r="AL20" s="8" t="s">
        <v>257</v>
      </c>
      <c r="AM20" s="18"/>
      <c r="AN20" s="1"/>
      <c r="AO20" s="1"/>
    </row>
    <row r="21" spans="1:41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1.25" customHeight="1">
      <c r="A22" s="1"/>
      <c r="B22" s="1"/>
      <c r="C22" s="8" t="s">
        <v>1263</v>
      </c>
      <c r="D22" s="18"/>
      <c r="E22" s="1"/>
      <c r="F22" s="1"/>
      <c r="G22" s="1"/>
      <c r="H22" s="8" t="s">
        <v>1262</v>
      </c>
      <c r="I22" s="18"/>
      <c r="J22" s="18"/>
      <c r="K22" s="18"/>
      <c r="L22" s="1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8" t="s">
        <v>26</v>
      </c>
      <c r="AG22" s="18"/>
      <c r="AH22" s="1"/>
      <c r="AI22" s="1"/>
      <c r="AJ22" s="1"/>
      <c r="AK22" s="1"/>
      <c r="AL22" s="8" t="s">
        <v>440</v>
      </c>
      <c r="AM22" s="18"/>
      <c r="AN22" s="1"/>
      <c r="AO22" s="1"/>
    </row>
    <row r="23" spans="1:41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1.25" customHeight="1">
      <c r="A24" s="1"/>
      <c r="B24" s="1"/>
      <c r="C24" s="8" t="s">
        <v>1264</v>
      </c>
      <c r="D24" s="18"/>
      <c r="E24" s="18"/>
      <c r="F24" s="1"/>
      <c r="G24" s="1"/>
      <c r="H24" s="8" t="s">
        <v>1265</v>
      </c>
      <c r="I24" s="18"/>
      <c r="J24" s="18"/>
      <c r="K24" s="18"/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8" t="s">
        <v>26</v>
      </c>
      <c r="AG24" s="18"/>
      <c r="AH24" s="1"/>
      <c r="AI24" s="1"/>
      <c r="AJ24" s="1"/>
      <c r="AK24" s="1"/>
      <c r="AL24" s="8" t="s">
        <v>692</v>
      </c>
      <c r="AM24" s="18"/>
      <c r="AN24" s="1"/>
      <c r="AO24" s="1"/>
    </row>
    <row r="25" spans="1:41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1.25" customHeight="1">
      <c r="A26" s="1"/>
      <c r="B26" s="1"/>
      <c r="C26" s="8" t="s">
        <v>1266</v>
      </c>
      <c r="D26" s="18"/>
      <c r="E26" s="1"/>
      <c r="F26" s="1"/>
      <c r="G26" s="1"/>
      <c r="H26" s="8" t="s">
        <v>1267</v>
      </c>
      <c r="I26" s="18"/>
      <c r="J26" s="18"/>
      <c r="K26" s="18"/>
      <c r="L26" s="18"/>
      <c r="M26" s="18"/>
      <c r="N26" s="18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8" t="s">
        <v>26</v>
      </c>
      <c r="AG26" s="18"/>
      <c r="AH26" s="1"/>
      <c r="AI26" s="1"/>
      <c r="AJ26" s="1"/>
      <c r="AK26" s="1"/>
      <c r="AL26" s="8" t="s">
        <v>33</v>
      </c>
      <c r="AM26" s="18"/>
      <c r="AN26" s="1"/>
      <c r="AO26" s="1"/>
    </row>
    <row r="27" spans="1:41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1.25" customHeight="1">
      <c r="A28" s="1"/>
      <c r="B28" s="1"/>
      <c r="C28" s="8" t="s">
        <v>1268</v>
      </c>
      <c r="D28" s="18"/>
      <c r="E28" s="1"/>
      <c r="F28" s="1"/>
      <c r="G28" s="1"/>
      <c r="H28" s="8" t="s">
        <v>1267</v>
      </c>
      <c r="I28" s="18"/>
      <c r="J28" s="18"/>
      <c r="K28" s="18"/>
      <c r="L28" s="18"/>
      <c r="M28" s="18"/>
      <c r="N28" s="18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8" t="s">
        <v>26</v>
      </c>
      <c r="AG28" s="18"/>
      <c r="AH28" s="1"/>
      <c r="AI28" s="1"/>
      <c r="AJ28" s="1"/>
      <c r="AK28" s="1"/>
      <c r="AL28" s="8" t="s">
        <v>290</v>
      </c>
      <c r="AM28" s="18"/>
      <c r="AN28" s="1"/>
      <c r="AO28" s="1"/>
    </row>
    <row r="29" spans="1:41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1.25" customHeight="1">
      <c r="A30" s="1"/>
      <c r="B30" s="1"/>
      <c r="C30" s="8" t="s">
        <v>1269</v>
      </c>
      <c r="D30" s="18"/>
      <c r="E30" s="18"/>
      <c r="F30" s="1"/>
      <c r="G30" s="1"/>
      <c r="H30" s="8" t="s">
        <v>1270</v>
      </c>
      <c r="I30" s="18"/>
      <c r="J30" s="18"/>
      <c r="K30" s="18"/>
      <c r="L30" s="18"/>
      <c r="M30" s="18"/>
      <c r="N30" s="18"/>
      <c r="O30" s="18"/>
      <c r="P30" s="18"/>
      <c r="Q30" s="1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8" t="s">
        <v>26</v>
      </c>
      <c r="AG30" s="18"/>
      <c r="AH30" s="1"/>
      <c r="AI30" s="1"/>
      <c r="AJ30" s="1"/>
      <c r="AK30" s="1"/>
      <c r="AL30" s="8" t="s">
        <v>964</v>
      </c>
      <c r="AM30" s="18"/>
      <c r="AN30" s="1"/>
      <c r="AO30" s="1"/>
    </row>
    <row r="31" spans="1:41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1.25" customHeight="1">
      <c r="A32" s="1"/>
      <c r="B32" s="1"/>
      <c r="C32" s="8" t="s">
        <v>1271</v>
      </c>
      <c r="D32" s="18"/>
      <c r="E32" s="1"/>
      <c r="F32" s="1"/>
      <c r="G32" s="1"/>
      <c r="H32" s="8" t="s">
        <v>1272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8" t="s">
        <v>26</v>
      </c>
      <c r="AG32" s="18"/>
      <c r="AH32" s="1"/>
      <c r="AI32" s="1"/>
      <c r="AJ32" s="1"/>
      <c r="AK32" s="1"/>
      <c r="AL32" s="8" t="s">
        <v>126</v>
      </c>
      <c r="AM32" s="18"/>
      <c r="AN32" s="1"/>
      <c r="AO32" s="1"/>
    </row>
    <row r="33" spans="1:41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1.25" customHeight="1">
      <c r="A34" s="1"/>
      <c r="B34" s="1"/>
      <c r="C34" s="8" t="s">
        <v>1273</v>
      </c>
      <c r="D34" s="18"/>
      <c r="E34" s="1"/>
      <c r="F34" s="1"/>
      <c r="G34" s="1"/>
      <c r="H34" s="8" t="s">
        <v>1274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8" t="s">
        <v>26</v>
      </c>
      <c r="AG34" s="18"/>
      <c r="AH34" s="1"/>
      <c r="AI34" s="1"/>
      <c r="AJ34" s="1"/>
      <c r="AK34" s="1"/>
      <c r="AL34" s="8" t="s">
        <v>192</v>
      </c>
      <c r="AM34" s="18"/>
      <c r="AN34" s="1"/>
      <c r="AO34" s="1"/>
    </row>
    <row r="35" spans="1:41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1.25" customHeight="1">
      <c r="A36" s="1"/>
      <c r="B36" s="1"/>
      <c r="C36" s="8" t="s">
        <v>1275</v>
      </c>
      <c r="D36" s="18"/>
      <c r="E36" s="18"/>
      <c r="F36" s="1"/>
      <c r="G36" s="1"/>
      <c r="H36" s="8" t="s">
        <v>1276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"/>
      <c r="X36" s="1"/>
      <c r="Y36" s="1"/>
      <c r="Z36" s="1"/>
      <c r="AA36" s="1"/>
      <c r="AB36" s="1"/>
      <c r="AC36" s="1"/>
      <c r="AD36" s="1"/>
      <c r="AE36" s="1"/>
      <c r="AF36" s="8" t="s">
        <v>26</v>
      </c>
      <c r="AG36" s="18"/>
      <c r="AH36" s="1"/>
      <c r="AI36" s="1"/>
      <c r="AJ36" s="1"/>
      <c r="AK36" s="1"/>
      <c r="AL36" s="8" t="s">
        <v>208</v>
      </c>
      <c r="AM36" s="18"/>
      <c r="AN36" s="1"/>
      <c r="AO36" s="1"/>
    </row>
    <row r="37" spans="1:41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1.25" customHeight="1">
      <c r="A38" s="1"/>
      <c r="B38" s="1"/>
      <c r="C38" s="8" t="s">
        <v>1277</v>
      </c>
      <c r="D38" s="18"/>
      <c r="E38" s="1"/>
      <c r="F38" s="1"/>
      <c r="G38" s="1"/>
      <c r="H38" s="8" t="s">
        <v>1278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"/>
      <c r="AB38" s="1"/>
      <c r="AC38" s="1"/>
      <c r="AD38" s="1"/>
      <c r="AE38" s="1"/>
      <c r="AF38" s="8" t="s">
        <v>26</v>
      </c>
      <c r="AG38" s="18"/>
      <c r="AH38" s="1"/>
      <c r="AI38" s="1"/>
      <c r="AJ38" s="1"/>
      <c r="AK38" s="1"/>
      <c r="AL38" s="8" t="s">
        <v>481</v>
      </c>
      <c r="AM38" s="18"/>
      <c r="AN38" s="1"/>
      <c r="AO38" s="1"/>
    </row>
    <row r="39" spans="1:41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1.25" customHeight="1">
      <c r="A40" s="1"/>
      <c r="B40" s="1"/>
      <c r="C40" s="8" t="s">
        <v>1279</v>
      </c>
      <c r="D40" s="18"/>
      <c r="E40" s="1"/>
      <c r="F40" s="1"/>
      <c r="G40" s="1"/>
      <c r="H40" s="8" t="s">
        <v>1278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"/>
      <c r="AB40" s="1"/>
      <c r="AC40" s="1"/>
      <c r="AD40" s="1"/>
      <c r="AE40" s="1"/>
      <c r="AF40" s="8" t="s">
        <v>26</v>
      </c>
      <c r="AG40" s="18"/>
      <c r="AH40" s="1"/>
      <c r="AI40" s="1"/>
      <c r="AJ40" s="1"/>
      <c r="AK40" s="1"/>
      <c r="AL40" s="8" t="s">
        <v>481</v>
      </c>
      <c r="AM40" s="18"/>
      <c r="AN40" s="1"/>
      <c r="AO40" s="1"/>
    </row>
    <row r="41" spans="1:41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1.25" customHeight="1">
      <c r="A42" s="1"/>
      <c r="B42" s="1"/>
      <c r="C42" s="8" t="s">
        <v>1280</v>
      </c>
      <c r="D42" s="18"/>
      <c r="E42" s="18"/>
      <c r="F42" s="1"/>
      <c r="G42" s="1"/>
      <c r="H42" s="8" t="s">
        <v>1281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"/>
      <c r="AC42" s="1"/>
      <c r="AD42" s="1"/>
      <c r="AE42" s="1"/>
      <c r="AF42" s="8" t="s">
        <v>26</v>
      </c>
      <c r="AG42" s="18"/>
      <c r="AH42" s="1"/>
      <c r="AI42" s="1"/>
      <c r="AJ42" s="1"/>
      <c r="AK42" s="1"/>
      <c r="AL42" s="8" t="s">
        <v>417</v>
      </c>
      <c r="AM42" s="18"/>
      <c r="AN42" s="1"/>
      <c r="AO42" s="1"/>
    </row>
    <row r="43" spans="1:41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1.25" customHeight="1">
      <c r="A44" s="1"/>
      <c r="B44" s="1"/>
      <c r="C44" s="8" t="s">
        <v>1282</v>
      </c>
      <c r="D44" s="18"/>
      <c r="E44" s="1"/>
      <c r="F44" s="1"/>
      <c r="G44" s="1"/>
      <c r="H44" s="8" t="s">
        <v>1283</v>
      </c>
      <c r="I44" s="18"/>
      <c r="J44" s="18"/>
      <c r="K44" s="1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8" t="s">
        <v>26</v>
      </c>
      <c r="AG44" s="18"/>
      <c r="AH44" s="1"/>
      <c r="AI44" s="1"/>
      <c r="AJ44" s="1"/>
      <c r="AK44" s="1"/>
      <c r="AL44" s="8" t="s">
        <v>557</v>
      </c>
      <c r="AM44" s="18"/>
      <c r="AN44" s="1"/>
      <c r="AO44" s="1"/>
    </row>
    <row r="45" spans="1:41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1.25" customHeight="1">
      <c r="A46" s="1"/>
      <c r="B46" s="1"/>
      <c r="C46" s="8" t="s">
        <v>1284</v>
      </c>
      <c r="D46" s="18"/>
      <c r="E46" s="1"/>
      <c r="F46" s="1"/>
      <c r="G46" s="1"/>
      <c r="H46" s="8" t="s">
        <v>1283</v>
      </c>
      <c r="I46" s="18"/>
      <c r="J46" s="18"/>
      <c r="K46" s="1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8" t="s">
        <v>26</v>
      </c>
      <c r="AG46" s="18"/>
      <c r="AH46" s="1"/>
      <c r="AI46" s="1"/>
      <c r="AJ46" s="1"/>
      <c r="AK46" s="1"/>
      <c r="AL46" s="8" t="s">
        <v>812</v>
      </c>
      <c r="AM46" s="18"/>
      <c r="AN46" s="1"/>
      <c r="AO46" s="1"/>
    </row>
    <row r="47" spans="1:41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1.25" customHeight="1">
      <c r="A48" s="1"/>
      <c r="B48" s="1"/>
      <c r="C48" s="8" t="s">
        <v>1285</v>
      </c>
      <c r="D48" s="18"/>
      <c r="E48" s="18"/>
      <c r="F48" s="1"/>
      <c r="G48" s="1"/>
      <c r="H48" s="8" t="s">
        <v>1286</v>
      </c>
      <c r="I48" s="18"/>
      <c r="J48" s="18"/>
      <c r="K48" s="1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8" t="s">
        <v>26</v>
      </c>
      <c r="AG48" s="18"/>
      <c r="AH48" s="1"/>
      <c r="AI48" s="1"/>
      <c r="AJ48" s="1"/>
      <c r="AK48" s="1"/>
      <c r="AL48" s="8" t="s">
        <v>414</v>
      </c>
      <c r="AM48" s="18"/>
      <c r="AN48" s="1"/>
      <c r="AO48" s="1"/>
    </row>
    <row r="49" spans="1:41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1.25" customHeight="1">
      <c r="A50" s="1"/>
      <c r="B50" s="1"/>
      <c r="C50" s="8" t="s">
        <v>1287</v>
      </c>
      <c r="D50" s="18"/>
      <c r="E50" s="1"/>
      <c r="F50" s="1"/>
      <c r="G50" s="1"/>
      <c r="H50" s="8" t="s">
        <v>1288</v>
      </c>
      <c r="I50" s="18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8" t="s">
        <v>26</v>
      </c>
      <c r="AG50" s="18"/>
      <c r="AH50" s="1"/>
      <c r="AI50" s="1"/>
      <c r="AJ50" s="1"/>
      <c r="AK50" s="1"/>
      <c r="AL50" s="8" t="s">
        <v>239</v>
      </c>
      <c r="AM50" s="18"/>
      <c r="AN50" s="1"/>
      <c r="AO50" s="1"/>
    </row>
    <row r="51" spans="1:41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1.25" customHeight="1">
      <c r="A52" s="1"/>
      <c r="B52" s="1"/>
      <c r="C52" s="8" t="s">
        <v>1289</v>
      </c>
      <c r="D52" s="18"/>
      <c r="E52" s="1"/>
      <c r="F52" s="1"/>
      <c r="G52" s="1"/>
      <c r="H52" s="8" t="s">
        <v>1288</v>
      </c>
      <c r="I52" s="18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8" t="s">
        <v>26</v>
      </c>
      <c r="AG52" s="18"/>
      <c r="AH52" s="1"/>
      <c r="AI52" s="1"/>
      <c r="AJ52" s="1"/>
      <c r="AK52" s="1"/>
      <c r="AL52" s="8" t="s">
        <v>964</v>
      </c>
      <c r="AM52" s="18"/>
      <c r="AN52" s="1"/>
      <c r="AO52" s="1"/>
    </row>
    <row r="53" spans="1:41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1.25" customHeight="1">
      <c r="A54" s="1"/>
      <c r="B54" s="1"/>
      <c r="C54" s="8" t="s">
        <v>1290</v>
      </c>
      <c r="D54" s="18"/>
      <c r="E54" s="18"/>
      <c r="F54" s="1"/>
      <c r="G54" s="1"/>
      <c r="H54" s="8" t="s">
        <v>1291</v>
      </c>
      <c r="I54" s="18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8" t="s">
        <v>26</v>
      </c>
      <c r="AG54" s="18"/>
      <c r="AH54" s="1"/>
      <c r="AI54" s="1"/>
      <c r="AJ54" s="1"/>
      <c r="AK54" s="1"/>
      <c r="AL54" s="8" t="s">
        <v>417</v>
      </c>
      <c r="AM54" s="18"/>
      <c r="AN54" s="1"/>
      <c r="AO54" s="1"/>
    </row>
    <row r="55" spans="1:41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1.25" customHeight="1">
      <c r="A56" s="1"/>
      <c r="B56" s="1"/>
      <c r="C56" s="8" t="s">
        <v>1292</v>
      </c>
      <c r="D56" s="18"/>
      <c r="E56" s="1"/>
      <c r="F56" s="1"/>
      <c r="G56" s="1"/>
      <c r="H56" s="8" t="s">
        <v>1293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8" t="s">
        <v>26</v>
      </c>
      <c r="AG56" s="18"/>
      <c r="AH56" s="1"/>
      <c r="AI56" s="1"/>
      <c r="AJ56" s="1"/>
      <c r="AK56" s="1"/>
      <c r="AL56" s="8" t="s">
        <v>637</v>
      </c>
      <c r="AM56" s="18"/>
      <c r="AN56" s="1"/>
      <c r="AO56" s="1"/>
    </row>
    <row r="57" spans="1:41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1.25" customHeight="1">
      <c r="A58" s="1"/>
      <c r="B58" s="1"/>
      <c r="C58" s="8" t="s">
        <v>1294</v>
      </c>
      <c r="D58" s="18"/>
      <c r="E58" s="1"/>
      <c r="F58" s="1"/>
      <c r="G58" s="1"/>
      <c r="H58" s="8" t="s">
        <v>1293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8" t="s">
        <v>26</v>
      </c>
      <c r="AG58" s="18"/>
      <c r="AH58" s="1"/>
      <c r="AI58" s="1"/>
      <c r="AJ58" s="1"/>
      <c r="AK58" s="1"/>
      <c r="AL58" s="8" t="s">
        <v>90</v>
      </c>
      <c r="AM58" s="18"/>
      <c r="AN58" s="1"/>
      <c r="AO58" s="1"/>
    </row>
    <row r="59" spans="1:41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1.25" customHeight="1">
      <c r="A60" s="1"/>
      <c r="B60" s="1"/>
      <c r="C60" s="8" t="s">
        <v>1295</v>
      </c>
      <c r="D60" s="18"/>
      <c r="E60" s="1"/>
      <c r="F60" s="1"/>
      <c r="G60" s="1"/>
      <c r="H60" s="8" t="s">
        <v>1296</v>
      </c>
      <c r="I60" s="18"/>
      <c r="J60" s="18"/>
      <c r="K60" s="18"/>
      <c r="L60" s="18"/>
      <c r="M60" s="18"/>
      <c r="N60" s="18"/>
      <c r="O60" s="18"/>
      <c r="P60" s="18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8" t="s">
        <v>26</v>
      </c>
      <c r="AG60" s="18"/>
      <c r="AH60" s="1"/>
      <c r="AI60" s="1"/>
      <c r="AJ60" s="1"/>
      <c r="AK60" s="1"/>
      <c r="AL60" s="8" t="s">
        <v>528</v>
      </c>
      <c r="AM60" s="18"/>
      <c r="AN60" s="1"/>
      <c r="AO60" s="1"/>
    </row>
    <row r="61" spans="1:41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1.25" customHeight="1">
      <c r="A62" s="1"/>
      <c r="B62" s="1"/>
      <c r="C62" s="8" t="s">
        <v>1297</v>
      </c>
      <c r="D62" s="18"/>
      <c r="E62" s="1"/>
      <c r="F62" s="1"/>
      <c r="G62" s="1"/>
      <c r="H62" s="8" t="s">
        <v>1296</v>
      </c>
      <c r="I62" s="18"/>
      <c r="J62" s="18"/>
      <c r="K62" s="18"/>
      <c r="L62" s="18"/>
      <c r="M62" s="18"/>
      <c r="N62" s="18"/>
      <c r="O62" s="18"/>
      <c r="P62" s="18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8" t="s">
        <v>26</v>
      </c>
      <c r="AG62" s="18"/>
      <c r="AH62" s="1"/>
      <c r="AI62" s="1"/>
      <c r="AJ62" s="1"/>
      <c r="AK62" s="1"/>
      <c r="AL62" s="8" t="s">
        <v>1194</v>
      </c>
      <c r="AM62" s="18"/>
      <c r="AN62" s="1"/>
      <c r="AO62" s="1"/>
    </row>
    <row r="63" spans="1:41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1.25" customHeight="1">
      <c r="A64" s="1"/>
      <c r="B64" s="1"/>
      <c r="C64" s="8" t="s">
        <v>1298</v>
      </c>
      <c r="D64" s="18"/>
      <c r="E64" s="1"/>
      <c r="F64" s="1"/>
      <c r="G64" s="1"/>
      <c r="H64" s="8" t="s">
        <v>1299</v>
      </c>
      <c r="I64" s="18"/>
      <c r="J64" s="18"/>
      <c r="K64" s="18"/>
      <c r="L64" s="18"/>
      <c r="M64" s="18"/>
      <c r="N64" s="18"/>
      <c r="O64" s="18"/>
      <c r="P64" s="18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8" t="s">
        <v>26</v>
      </c>
      <c r="AG64" s="18"/>
      <c r="AH64" s="1"/>
      <c r="AI64" s="1"/>
      <c r="AJ64" s="1"/>
      <c r="AK64" s="8" t="s">
        <v>1300</v>
      </c>
      <c r="AL64" s="18"/>
      <c r="AM64" s="18"/>
      <c r="AN64" s="1"/>
      <c r="AO64" s="1"/>
    </row>
    <row r="65" spans="1:41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1.25" customHeight="1">
      <c r="A66" s="1"/>
      <c r="B66" s="1"/>
      <c r="C66" s="8" t="s">
        <v>1301</v>
      </c>
      <c r="D66" s="18"/>
      <c r="E66" s="18"/>
      <c r="F66" s="1"/>
      <c r="G66" s="1"/>
      <c r="H66" s="8" t="s">
        <v>1302</v>
      </c>
      <c r="I66" s="18"/>
      <c r="J66" s="18"/>
      <c r="K66" s="18"/>
      <c r="L66" s="18"/>
      <c r="M66" s="18"/>
      <c r="N66" s="18"/>
      <c r="O66" s="18"/>
      <c r="P66" s="18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8" t="s">
        <v>26</v>
      </c>
      <c r="AG66" s="18"/>
      <c r="AH66" s="1"/>
      <c r="AI66" s="1"/>
      <c r="AJ66" s="1"/>
      <c r="AK66" s="8" t="s">
        <v>1300</v>
      </c>
      <c r="AL66" s="18"/>
      <c r="AM66" s="18"/>
      <c r="AN66" s="1"/>
      <c r="AO66" s="1"/>
    </row>
    <row r="67" spans="1:41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1.25" customHeight="1">
      <c r="A68" s="1"/>
      <c r="B68" s="1"/>
      <c r="C68" s="8" t="s">
        <v>1303</v>
      </c>
      <c r="D68" s="18"/>
      <c r="E68" s="1"/>
      <c r="F68" s="1"/>
      <c r="G68" s="1"/>
      <c r="H68" s="8" t="s">
        <v>1299</v>
      </c>
      <c r="I68" s="18"/>
      <c r="J68" s="18"/>
      <c r="K68" s="18"/>
      <c r="L68" s="18"/>
      <c r="M68" s="18"/>
      <c r="N68" s="18"/>
      <c r="O68" s="18"/>
      <c r="P68" s="18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8" t="s">
        <v>26</v>
      </c>
      <c r="AG68" s="18"/>
      <c r="AH68" s="1"/>
      <c r="AI68" s="1"/>
      <c r="AJ68" s="1"/>
      <c r="AK68" s="8" t="s">
        <v>464</v>
      </c>
      <c r="AL68" s="18"/>
      <c r="AM68" s="18"/>
      <c r="AN68" s="1"/>
      <c r="AO68" s="1"/>
    </row>
    <row r="69" spans="1:41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1.25" customHeight="1">
      <c r="A70" s="1"/>
      <c r="B70" s="1"/>
      <c r="C70" s="8" t="s">
        <v>1304</v>
      </c>
      <c r="D70" s="18"/>
      <c r="E70" s="18"/>
      <c r="F70" s="1"/>
      <c r="G70" s="1"/>
      <c r="H70" s="8" t="s">
        <v>1302</v>
      </c>
      <c r="I70" s="18"/>
      <c r="J70" s="18"/>
      <c r="K70" s="18"/>
      <c r="L70" s="18"/>
      <c r="M70" s="18"/>
      <c r="N70" s="18"/>
      <c r="O70" s="18"/>
      <c r="P70" s="18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8" t="s">
        <v>26</v>
      </c>
      <c r="AG70" s="18"/>
      <c r="AH70" s="1"/>
      <c r="AI70" s="1"/>
      <c r="AJ70" s="1"/>
      <c r="AK70" s="8" t="s">
        <v>464</v>
      </c>
      <c r="AL70" s="18"/>
      <c r="AM70" s="18"/>
      <c r="AN70" s="1"/>
      <c r="AO70" s="1"/>
    </row>
    <row r="71" spans="1:41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1.25" customHeight="1">
      <c r="A72" s="1"/>
      <c r="B72" s="1"/>
      <c r="C72" s="8" t="s">
        <v>1305</v>
      </c>
      <c r="D72" s="18"/>
      <c r="E72" s="1"/>
      <c r="F72" s="1"/>
      <c r="G72" s="1"/>
      <c r="H72" s="8" t="s">
        <v>1306</v>
      </c>
      <c r="I72" s="18"/>
      <c r="J72" s="18"/>
      <c r="K72" s="18"/>
      <c r="L72" s="18"/>
      <c r="M72" s="1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8" t="s">
        <v>26</v>
      </c>
      <c r="AG72" s="18"/>
      <c r="AH72" s="1"/>
      <c r="AI72" s="1"/>
      <c r="AJ72" s="1"/>
      <c r="AK72" s="8" t="s">
        <v>959</v>
      </c>
      <c r="AL72" s="18"/>
      <c r="AM72" s="18"/>
      <c r="AN72" s="1"/>
      <c r="AO72" s="1"/>
    </row>
    <row r="73" spans="1:41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1.25" customHeight="1">
      <c r="A74" s="1"/>
      <c r="B74" s="1"/>
      <c r="C74" s="8" t="s">
        <v>1307</v>
      </c>
      <c r="D74" s="18"/>
      <c r="E74" s="18"/>
      <c r="F74" s="1"/>
      <c r="G74" s="1"/>
      <c r="H74" s="8" t="s">
        <v>1308</v>
      </c>
      <c r="I74" s="18"/>
      <c r="J74" s="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8" t="s">
        <v>26</v>
      </c>
      <c r="AG74" s="18"/>
      <c r="AH74" s="1"/>
      <c r="AI74" s="1"/>
      <c r="AJ74" s="1"/>
      <c r="AK74" s="8" t="s">
        <v>959</v>
      </c>
      <c r="AL74" s="18"/>
      <c r="AM74" s="18"/>
      <c r="AN74" s="1"/>
      <c r="AO74" s="1"/>
    </row>
    <row r="75" spans="1:41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1.25" customHeight="1">
      <c r="A76" s="1"/>
      <c r="B76" s="1"/>
      <c r="C76" s="8" t="s">
        <v>1309</v>
      </c>
      <c r="D76" s="18"/>
      <c r="E76" s="1"/>
      <c r="F76" s="1"/>
      <c r="G76" s="1"/>
      <c r="H76" s="8" t="s">
        <v>1310</v>
      </c>
      <c r="I76" s="18"/>
      <c r="J76" s="18"/>
      <c r="K76" s="18"/>
      <c r="L76" s="18"/>
      <c r="M76" s="18"/>
      <c r="N76" s="1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8" t="s">
        <v>26</v>
      </c>
      <c r="AG76" s="18"/>
      <c r="AH76" s="1"/>
      <c r="AI76" s="1"/>
      <c r="AJ76" s="1"/>
      <c r="AK76" s="1"/>
      <c r="AL76" s="8" t="s">
        <v>926</v>
      </c>
      <c r="AM76" s="18"/>
      <c r="AN76" s="1"/>
      <c r="AO76" s="1"/>
    </row>
    <row r="77" spans="1:41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1.25" customHeight="1">
      <c r="A78" s="1"/>
      <c r="B78" s="1"/>
      <c r="C78" s="8" t="s">
        <v>1311</v>
      </c>
      <c r="D78" s="18"/>
      <c r="E78" s="1"/>
      <c r="F78" s="1"/>
      <c r="G78" s="1"/>
      <c r="H78" s="8" t="s">
        <v>1310</v>
      </c>
      <c r="I78" s="18"/>
      <c r="J78" s="18"/>
      <c r="K78" s="18"/>
      <c r="L78" s="18"/>
      <c r="M78" s="18"/>
      <c r="N78" s="1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8" t="s">
        <v>26</v>
      </c>
      <c r="AG78" s="18"/>
      <c r="AH78" s="1"/>
      <c r="AI78" s="1"/>
      <c r="AJ78" s="1"/>
      <c r="AK78" s="1"/>
      <c r="AL78" s="8" t="s">
        <v>87</v>
      </c>
      <c r="AM78" s="18"/>
      <c r="AN78" s="1"/>
      <c r="AO78" s="1"/>
    </row>
    <row r="79" spans="1:41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1.25" customHeight="1">
      <c r="A80" s="1"/>
      <c r="B80" s="1"/>
      <c r="C80" s="8" t="s">
        <v>1312</v>
      </c>
      <c r="D80" s="18"/>
      <c r="E80" s="18"/>
      <c r="F80" s="1"/>
      <c r="G80" s="1"/>
      <c r="H80" s="8" t="s">
        <v>1313</v>
      </c>
      <c r="I80" s="18"/>
      <c r="J80" s="18"/>
      <c r="K80" s="18"/>
      <c r="L80" s="18"/>
      <c r="M80" s="18"/>
      <c r="N80" s="1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8" t="s">
        <v>26</v>
      </c>
      <c r="AG80" s="18"/>
      <c r="AH80" s="1"/>
      <c r="AI80" s="1"/>
      <c r="AJ80" s="1"/>
      <c r="AK80" s="1"/>
      <c r="AL80" s="8" t="s">
        <v>87</v>
      </c>
      <c r="AM80" s="18"/>
      <c r="AN80" s="1"/>
      <c r="AO80" s="1"/>
    </row>
    <row r="81" spans="1:41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1.25" customHeight="1">
      <c r="A82" s="1"/>
      <c r="B82" s="1"/>
      <c r="C82" s="8" t="s">
        <v>1314</v>
      </c>
      <c r="D82" s="18"/>
      <c r="E82" s="1"/>
      <c r="F82" s="1"/>
      <c r="G82" s="1"/>
      <c r="H82" s="8" t="s">
        <v>1315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8" t="s">
        <v>26</v>
      </c>
      <c r="AG82" s="18"/>
      <c r="AH82" s="1"/>
      <c r="AI82" s="1"/>
      <c r="AJ82" s="1"/>
      <c r="AK82" s="1"/>
      <c r="AL82" s="8" t="s">
        <v>1316</v>
      </c>
      <c r="AM82" s="18"/>
      <c r="AN82" s="1"/>
      <c r="AO82" s="1"/>
    </row>
    <row r="83" spans="1:41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1.25" customHeight="1">
      <c r="A84" s="1"/>
      <c r="B84" s="1"/>
      <c r="C84" s="8" t="s">
        <v>1317</v>
      </c>
      <c r="D84" s="18"/>
      <c r="E84" s="1"/>
      <c r="F84" s="1"/>
      <c r="G84" s="1"/>
      <c r="H84" s="8" t="s">
        <v>1318</v>
      </c>
      <c r="I84" s="18"/>
      <c r="J84" s="18"/>
      <c r="K84" s="1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8" t="s">
        <v>26</v>
      </c>
      <c r="AG84" s="18"/>
      <c r="AH84" s="1"/>
      <c r="AI84" s="1"/>
      <c r="AJ84" s="1"/>
      <c r="AK84" s="1"/>
      <c r="AL84" s="1"/>
      <c r="AM84" s="5" t="s">
        <v>213</v>
      </c>
      <c r="AN84" s="1"/>
      <c r="AO84" s="1"/>
    </row>
    <row r="85" spans="1:41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1.25" customHeight="1">
      <c r="A86" s="1"/>
      <c r="B86" s="1"/>
      <c r="C86" s="8" t="s">
        <v>1319</v>
      </c>
      <c r="D86" s="18"/>
      <c r="E86" s="1"/>
      <c r="F86" s="1"/>
      <c r="G86" s="1"/>
      <c r="H86" s="8" t="s">
        <v>1318</v>
      </c>
      <c r="I86" s="18"/>
      <c r="J86" s="18"/>
      <c r="K86" s="1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8" t="s">
        <v>26</v>
      </c>
      <c r="AG86" s="18"/>
      <c r="AH86" s="1"/>
      <c r="AI86" s="1"/>
      <c r="AJ86" s="1"/>
      <c r="AK86" s="1"/>
      <c r="AL86" s="1"/>
      <c r="AM86" s="5" t="s">
        <v>392</v>
      </c>
      <c r="AN86" s="1"/>
      <c r="AO86" s="1"/>
    </row>
    <row r="87" spans="1:41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1.25" customHeight="1">
      <c r="A88" s="1"/>
      <c r="B88" s="1"/>
      <c r="C88" s="8" t="s">
        <v>1320</v>
      </c>
      <c r="D88" s="18"/>
      <c r="E88" s="1"/>
      <c r="F88" s="1"/>
      <c r="G88" s="1"/>
      <c r="H88" s="8" t="s">
        <v>1321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8" t="s">
        <v>26</v>
      </c>
      <c r="AG88" s="18"/>
      <c r="AH88" s="1"/>
      <c r="AI88" s="1"/>
      <c r="AJ88" s="1"/>
      <c r="AK88" s="1"/>
      <c r="AL88" s="1"/>
      <c r="AM88" s="5" t="s">
        <v>132</v>
      </c>
      <c r="AN88" s="1"/>
      <c r="AO88" s="1"/>
    </row>
    <row r="89" spans="1:41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1.25" customHeight="1">
      <c r="A90" s="1"/>
      <c r="B90" s="1"/>
      <c r="C90" s="8" t="s">
        <v>1322</v>
      </c>
      <c r="D90" s="18"/>
      <c r="E90" s="1"/>
      <c r="F90" s="1"/>
      <c r="G90" s="1"/>
      <c r="H90" s="8" t="s">
        <v>1323</v>
      </c>
      <c r="I90" s="18"/>
      <c r="J90" s="18"/>
      <c r="K90" s="18"/>
      <c r="L90" s="18"/>
      <c r="M90" s="18"/>
      <c r="N90" s="18"/>
      <c r="O90" s="18"/>
      <c r="P90" s="18"/>
      <c r="Q90" s="1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8" t="s">
        <v>26</v>
      </c>
      <c r="AG90" s="18"/>
      <c r="AH90" s="1"/>
      <c r="AI90" s="1"/>
      <c r="AJ90" s="1"/>
      <c r="AK90" s="1"/>
      <c r="AL90" s="1"/>
      <c r="AM90" s="5" t="s">
        <v>295</v>
      </c>
      <c r="AN90" s="1"/>
      <c r="AO90" s="1"/>
    </row>
    <row r="91" spans="1:41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1.25" customHeight="1">
      <c r="A92" s="1"/>
      <c r="B92" s="1"/>
      <c r="C92" s="8" t="s">
        <v>1324</v>
      </c>
      <c r="D92" s="18"/>
      <c r="E92" s="1"/>
      <c r="F92" s="1"/>
      <c r="G92" s="1"/>
      <c r="H92" s="8" t="s">
        <v>1325</v>
      </c>
      <c r="I92" s="18"/>
      <c r="J92" s="18"/>
      <c r="K92" s="1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8" t="s">
        <v>26</v>
      </c>
      <c r="AG92" s="18"/>
      <c r="AH92" s="1"/>
      <c r="AI92" s="1"/>
      <c r="AJ92" s="1"/>
      <c r="AK92" s="1"/>
      <c r="AL92" s="8" t="s">
        <v>513</v>
      </c>
      <c r="AM92" s="18"/>
      <c r="AN92" s="1"/>
      <c r="AO92" s="1"/>
    </row>
    <row r="93" spans="1:41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1.25" customHeight="1">
      <c r="A94" s="1"/>
      <c r="B94" s="1"/>
      <c r="C94" s="8" t="s">
        <v>1326</v>
      </c>
      <c r="D94" s="18"/>
      <c r="E94" s="1"/>
      <c r="F94" s="1"/>
      <c r="G94" s="1"/>
      <c r="H94" s="8" t="s">
        <v>1325</v>
      </c>
      <c r="I94" s="18"/>
      <c r="J94" s="18"/>
      <c r="K94" s="1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8" t="s">
        <v>26</v>
      </c>
      <c r="AG94" s="18"/>
      <c r="AH94" s="1"/>
      <c r="AI94" s="1"/>
      <c r="AJ94" s="1"/>
      <c r="AK94" s="1"/>
      <c r="AL94" s="8" t="s">
        <v>163</v>
      </c>
      <c r="AM94" s="18"/>
      <c r="AN94" s="1"/>
      <c r="AO94" s="1"/>
    </row>
    <row r="95" spans="1:41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1.25" customHeight="1">
      <c r="A96" s="1"/>
      <c r="B96" s="1"/>
      <c r="C96" s="8" t="s">
        <v>1327</v>
      </c>
      <c r="D96" s="18"/>
      <c r="E96" s="1"/>
      <c r="F96" s="1"/>
      <c r="G96" s="1"/>
      <c r="H96" s="8" t="s">
        <v>1328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8" t="s">
        <v>26</v>
      </c>
      <c r="AG96" s="18"/>
      <c r="AH96" s="1"/>
      <c r="AI96" s="1"/>
      <c r="AJ96" s="1"/>
      <c r="AK96" s="1"/>
      <c r="AL96" s="8" t="s">
        <v>823</v>
      </c>
      <c r="AM96" s="18"/>
      <c r="AN96" s="1"/>
      <c r="AO96" s="1"/>
    </row>
    <row r="97" spans="1:41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1.25" customHeight="1">
      <c r="A98" s="1"/>
      <c r="B98" s="1"/>
      <c r="C98" s="8" t="s">
        <v>1329</v>
      </c>
      <c r="D98" s="18"/>
      <c r="E98" s="1"/>
      <c r="F98" s="1"/>
      <c r="G98" s="1"/>
      <c r="H98" s="8" t="s">
        <v>1330</v>
      </c>
      <c r="I98" s="18"/>
      <c r="J98" s="18"/>
      <c r="K98" s="18"/>
      <c r="L98" s="18"/>
      <c r="M98" s="18"/>
      <c r="N98" s="18"/>
      <c r="O98" s="18"/>
      <c r="P98" s="18"/>
      <c r="Q98" s="18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8" t="s">
        <v>26</v>
      </c>
      <c r="AG98" s="18"/>
      <c r="AH98" s="1"/>
      <c r="AI98" s="1"/>
      <c r="AJ98" s="1"/>
      <c r="AK98" s="1"/>
      <c r="AL98" s="8" t="s">
        <v>604</v>
      </c>
      <c r="AM98" s="18"/>
      <c r="AN98" s="1"/>
      <c r="AO98" s="1"/>
    </row>
    <row r="99" spans="1:41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1.25" customHeight="1">
      <c r="A100" s="1"/>
      <c r="B100" s="1"/>
      <c r="C100" s="8" t="s">
        <v>1331</v>
      </c>
      <c r="D100" s="18"/>
      <c r="E100" s="1"/>
      <c r="F100" s="1"/>
      <c r="G100" s="1"/>
      <c r="H100" s="8" t="s">
        <v>1330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8" t="s">
        <v>26</v>
      </c>
      <c r="AG100" s="18"/>
      <c r="AH100" s="1"/>
      <c r="AI100" s="1"/>
      <c r="AJ100" s="1"/>
      <c r="AK100" s="1"/>
      <c r="AL100" s="8" t="s">
        <v>87</v>
      </c>
      <c r="AM100" s="18"/>
      <c r="AN100" s="1"/>
      <c r="AO100" s="1"/>
    </row>
    <row r="101" spans="1:41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"/>
      <c r="AD104" s="1"/>
      <c r="AE104" s="1"/>
      <c r="AF104" s="1"/>
      <c r="AG104" s="1"/>
      <c r="AH104" s="1"/>
      <c r="AI104" s="1"/>
      <c r="AJ104" s="8" t="s">
        <v>1332</v>
      </c>
      <c r="AK104" s="18"/>
      <c r="AL104" s="18"/>
      <c r="AM104" s="18"/>
      <c r="AN104" s="18"/>
      <c r="AO104" s="1"/>
    </row>
    <row r="105" spans="1:41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</sheetData>
  <mergeCells count="193">
    <mergeCell ref="B2:F4"/>
    <mergeCell ref="G2:AD4"/>
    <mergeCell ref="AE2:AF4"/>
    <mergeCell ref="AI3:AN3"/>
    <mergeCell ref="AL6:AM6"/>
    <mergeCell ref="C8:D8"/>
    <mergeCell ref="H8:S8"/>
    <mergeCell ref="AF8:AG8"/>
    <mergeCell ref="AK8:AM8"/>
    <mergeCell ref="AF6:AG6"/>
    <mergeCell ref="C10:D10"/>
    <mergeCell ref="H10:S10"/>
    <mergeCell ref="AF10:AG10"/>
    <mergeCell ref="AK10:AM10"/>
    <mergeCell ref="C12:E12"/>
    <mergeCell ref="H12:U12"/>
    <mergeCell ref="AF12:AG12"/>
    <mergeCell ref="AK12:AM12"/>
    <mergeCell ref="C14:D14"/>
    <mergeCell ref="H14:W14"/>
    <mergeCell ref="AF14:AG14"/>
    <mergeCell ref="AL14:AM14"/>
    <mergeCell ref="C16:D16"/>
    <mergeCell ref="H16:X16"/>
    <mergeCell ref="AF16:AG16"/>
    <mergeCell ref="AL16:AM16"/>
    <mergeCell ref="C18:E18"/>
    <mergeCell ref="H18:Y18"/>
    <mergeCell ref="AF18:AG18"/>
    <mergeCell ref="AL18:AM18"/>
    <mergeCell ref="C20:D20"/>
    <mergeCell ref="H20:L20"/>
    <mergeCell ref="AF20:AG20"/>
    <mergeCell ref="AL20:AM20"/>
    <mergeCell ref="C22:D22"/>
    <mergeCell ref="H22:L22"/>
    <mergeCell ref="AF22:AG22"/>
    <mergeCell ref="AL22:AM22"/>
    <mergeCell ref="C24:E24"/>
    <mergeCell ref="H24:M24"/>
    <mergeCell ref="AF24:AG24"/>
    <mergeCell ref="AL24:AM24"/>
    <mergeCell ref="C26:D26"/>
    <mergeCell ref="H26:O26"/>
    <mergeCell ref="AF26:AG26"/>
    <mergeCell ref="AL26:AM26"/>
    <mergeCell ref="C28:D28"/>
    <mergeCell ref="H28:O28"/>
    <mergeCell ref="AF28:AG28"/>
    <mergeCell ref="AL28:AM28"/>
    <mergeCell ref="C30:E30"/>
    <mergeCell ref="H30:Q30"/>
    <mergeCell ref="AF30:AG30"/>
    <mergeCell ref="AL30:AM30"/>
    <mergeCell ref="C32:D32"/>
    <mergeCell ref="H32:U32"/>
    <mergeCell ref="AF32:AG32"/>
    <mergeCell ref="AL32:AM32"/>
    <mergeCell ref="C34:D34"/>
    <mergeCell ref="H34:U34"/>
    <mergeCell ref="AF34:AG34"/>
    <mergeCell ref="AL34:AM34"/>
    <mergeCell ref="C36:E36"/>
    <mergeCell ref="H36:V36"/>
    <mergeCell ref="AF36:AG36"/>
    <mergeCell ref="AL36:AM36"/>
    <mergeCell ref="C38:D38"/>
    <mergeCell ref="H38:Z38"/>
    <mergeCell ref="AF38:AG38"/>
    <mergeCell ref="AL38:AM38"/>
    <mergeCell ref="C40:D40"/>
    <mergeCell ref="H40:Z40"/>
    <mergeCell ref="AF40:AG40"/>
    <mergeCell ref="AL40:AM40"/>
    <mergeCell ref="C42:E42"/>
    <mergeCell ref="H42:AA42"/>
    <mergeCell ref="AF42:AG42"/>
    <mergeCell ref="AL42:AM42"/>
    <mergeCell ref="C44:D44"/>
    <mergeCell ref="H44:K44"/>
    <mergeCell ref="AF44:AG44"/>
    <mergeCell ref="AL44:AM44"/>
    <mergeCell ref="C46:D46"/>
    <mergeCell ref="H46:K46"/>
    <mergeCell ref="AF46:AG46"/>
    <mergeCell ref="AL46:AM46"/>
    <mergeCell ref="C48:E48"/>
    <mergeCell ref="H48:K48"/>
    <mergeCell ref="AF48:AG48"/>
    <mergeCell ref="AL48:AM48"/>
    <mergeCell ref="C50:D50"/>
    <mergeCell ref="H50:J50"/>
    <mergeCell ref="AF50:AG50"/>
    <mergeCell ref="AL50:AM50"/>
    <mergeCell ref="C52:D52"/>
    <mergeCell ref="H52:J52"/>
    <mergeCell ref="AF52:AG52"/>
    <mergeCell ref="AL52:AM52"/>
    <mergeCell ref="C54:E54"/>
    <mergeCell ref="H54:J54"/>
    <mergeCell ref="AF54:AG54"/>
    <mergeCell ref="AL54:AM54"/>
    <mergeCell ref="C56:D56"/>
    <mergeCell ref="H56:T56"/>
    <mergeCell ref="AF56:AG56"/>
    <mergeCell ref="AL56:AM56"/>
    <mergeCell ref="C58:D58"/>
    <mergeCell ref="H58:T58"/>
    <mergeCell ref="AF58:AG58"/>
    <mergeCell ref="AL58:AM58"/>
    <mergeCell ref="C60:D60"/>
    <mergeCell ref="H60:P60"/>
    <mergeCell ref="AF60:AG60"/>
    <mergeCell ref="AL60:AM60"/>
    <mergeCell ref="C62:D62"/>
    <mergeCell ref="H62:P62"/>
    <mergeCell ref="AF62:AG62"/>
    <mergeCell ref="AL62:AM62"/>
    <mergeCell ref="C64:D64"/>
    <mergeCell ref="H64:P64"/>
    <mergeCell ref="AF64:AG64"/>
    <mergeCell ref="AK64:AM64"/>
    <mergeCell ref="C66:E66"/>
    <mergeCell ref="H66:P66"/>
    <mergeCell ref="AF66:AG66"/>
    <mergeCell ref="AK66:AM66"/>
    <mergeCell ref="C68:D68"/>
    <mergeCell ref="H68:P68"/>
    <mergeCell ref="AF68:AG68"/>
    <mergeCell ref="AK68:AM68"/>
    <mergeCell ref="C70:E70"/>
    <mergeCell ref="H70:P70"/>
    <mergeCell ref="AF70:AG70"/>
    <mergeCell ref="AK70:AM70"/>
    <mergeCell ref="C72:D72"/>
    <mergeCell ref="H72:M72"/>
    <mergeCell ref="AF72:AG72"/>
    <mergeCell ref="AK72:AM72"/>
    <mergeCell ref="C74:E74"/>
    <mergeCell ref="H74:J74"/>
    <mergeCell ref="AF74:AG74"/>
    <mergeCell ref="AK74:AM74"/>
    <mergeCell ref="C76:D76"/>
    <mergeCell ref="H76:N76"/>
    <mergeCell ref="AF76:AG76"/>
    <mergeCell ref="AL76:AM76"/>
    <mergeCell ref="C78:D78"/>
    <mergeCell ref="H78:N78"/>
    <mergeCell ref="AF78:AG78"/>
    <mergeCell ref="AL78:AM78"/>
    <mergeCell ref="C80:E80"/>
    <mergeCell ref="H80:N80"/>
    <mergeCell ref="AF80:AG80"/>
    <mergeCell ref="AL80:AM80"/>
    <mergeCell ref="C82:D82"/>
    <mergeCell ref="H82:S82"/>
    <mergeCell ref="AF82:AG82"/>
    <mergeCell ref="AL82:AM82"/>
    <mergeCell ref="C84:D84"/>
    <mergeCell ref="H84:K84"/>
    <mergeCell ref="AF84:AG84"/>
    <mergeCell ref="C86:D86"/>
    <mergeCell ref="H86:K86"/>
    <mergeCell ref="AF86:AG86"/>
    <mergeCell ref="C88:D88"/>
    <mergeCell ref="H88:R88"/>
    <mergeCell ref="AF88:AG88"/>
    <mergeCell ref="C90:D90"/>
    <mergeCell ref="H90:Q90"/>
    <mergeCell ref="AF90:AG90"/>
    <mergeCell ref="C92:D92"/>
    <mergeCell ref="H92:K92"/>
    <mergeCell ref="AF92:AG92"/>
    <mergeCell ref="AL92:AM92"/>
    <mergeCell ref="C94:D94"/>
    <mergeCell ref="H94:K94"/>
    <mergeCell ref="AF94:AG94"/>
    <mergeCell ref="AL94:AM94"/>
    <mergeCell ref="C96:D96"/>
    <mergeCell ref="H96:R96"/>
    <mergeCell ref="AF96:AG96"/>
    <mergeCell ref="AL96:AM96"/>
    <mergeCell ref="J104:AB104"/>
    <mergeCell ref="AJ104:AN104"/>
    <mergeCell ref="C98:D98"/>
    <mergeCell ref="H98:Q98"/>
    <mergeCell ref="AF98:AG98"/>
    <mergeCell ref="AL98:AM98"/>
    <mergeCell ref="C100:D100"/>
    <mergeCell ref="H100:Q100"/>
    <mergeCell ref="AF100:AG100"/>
    <mergeCell ref="AL100:AM100"/>
    <mergeCell ref="I102:AC10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7" customWidth="1"/>
    <col min="5" max="5" width="3.28515625" customWidth="1"/>
    <col min="6" max="6" width="14" customWidth="1"/>
    <col min="7" max="7" width="0.140625" customWidth="1"/>
    <col min="8" max="8" width="3.7109375" customWidth="1"/>
    <col min="9" max="9" width="4" customWidth="1"/>
    <col min="10" max="10" width="5.42578125" customWidth="1"/>
    <col min="11" max="11" width="5.140625" customWidth="1"/>
    <col min="12" max="12" width="4" customWidth="1"/>
    <col min="13" max="13" width="5.42578125" customWidth="1"/>
    <col min="14" max="14" width="2.85546875" customWidth="1"/>
    <col min="15" max="15" width="4" customWidth="1"/>
    <col min="16" max="16" width="6.140625" customWidth="1"/>
    <col min="17" max="17" width="16.28515625" customWidth="1"/>
    <col min="18" max="18" width="3.7109375" customWidth="1"/>
    <col min="19" max="19" width="13.140625" customWidth="1"/>
    <col min="20" max="20" width="3.140625" customWidth="1"/>
    <col min="21" max="21" width="2.85546875" customWidth="1"/>
    <col min="22" max="22" width="0.42578125" customWidth="1"/>
    <col min="23" max="24" width="3.7109375" customWidth="1"/>
    <col min="25" max="25" width="7.28515625" customWidth="1"/>
    <col min="26" max="26" width="1" customWidth="1"/>
    <col min="27" max="27" width="3.85546875" customWidth="1"/>
  </cols>
  <sheetData>
    <row r="1" spans="1:27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</row>
    <row r="2" spans="1:27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9" t="s">
        <v>2</v>
      </c>
      <c r="U2" s="11"/>
      <c r="V2" s="4"/>
      <c r="W2" s="1"/>
      <c r="X2" s="1"/>
      <c r="Y2" s="1"/>
      <c r="Z2" s="1"/>
      <c r="AA2" s="1"/>
    </row>
    <row r="3" spans="1:27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2"/>
      <c r="U3" s="14"/>
      <c r="V3" s="4"/>
      <c r="W3" s="1"/>
      <c r="X3" s="8" t="s">
        <v>3</v>
      </c>
      <c r="Y3" s="18"/>
      <c r="Z3" s="18"/>
      <c r="AA3" s="1"/>
    </row>
    <row r="4" spans="1:27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  <c r="T4" s="15"/>
      <c r="U4" s="17"/>
      <c r="V4" s="4"/>
      <c r="W4" s="1"/>
      <c r="X4" s="1"/>
      <c r="Y4" s="1"/>
      <c r="Z4" s="1"/>
      <c r="AA4" s="1"/>
    </row>
    <row r="5" spans="1:27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"/>
      <c r="W5" s="1"/>
      <c r="X5" s="1"/>
      <c r="Y5" s="1"/>
      <c r="Z5" s="1"/>
      <c r="AA5" s="1"/>
    </row>
    <row r="6" spans="1:27" ht="11.25" customHeight="1">
      <c r="A6" s="1"/>
      <c r="B6" s="1"/>
      <c r="C6" s="1" t="s">
        <v>2230</v>
      </c>
      <c r="D6" s="1"/>
      <c r="E6" s="1"/>
      <c r="F6" s="1"/>
      <c r="G6" s="1"/>
      <c r="H6" s="1" t="s">
        <v>2231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 t="s">
        <v>26</v>
      </c>
      <c r="V6" s="18"/>
      <c r="W6" s="1"/>
      <c r="X6" s="1"/>
      <c r="Y6" s="5" t="s">
        <v>496</v>
      </c>
      <c r="Z6" s="1"/>
      <c r="AA6" s="1"/>
    </row>
    <row r="7" spans="1:27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1.25" customHeight="1">
      <c r="A8" s="1"/>
      <c r="B8" s="1"/>
      <c r="C8" s="8" t="s">
        <v>1333</v>
      </c>
      <c r="D8" s="18"/>
      <c r="E8" s="1"/>
      <c r="F8" s="1"/>
      <c r="G8" s="1"/>
      <c r="H8" s="8" t="s">
        <v>1334</v>
      </c>
      <c r="I8" s="1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 t="s">
        <v>26</v>
      </c>
      <c r="V8" s="18"/>
      <c r="W8" s="1"/>
      <c r="X8" s="1"/>
      <c r="Y8" s="5" t="s">
        <v>323</v>
      </c>
      <c r="Z8" s="1"/>
      <c r="AA8" s="1"/>
    </row>
    <row r="9" spans="1:27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1.25" customHeight="1">
      <c r="A10" s="1"/>
      <c r="B10" s="1"/>
      <c r="C10" s="8" t="s">
        <v>1335</v>
      </c>
      <c r="D10" s="18"/>
      <c r="E10" s="1"/>
      <c r="F10" s="1"/>
      <c r="G10" s="1"/>
      <c r="H10" s="8" t="s">
        <v>1334</v>
      </c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8" t="s">
        <v>26</v>
      </c>
      <c r="V10" s="18"/>
      <c r="W10" s="1"/>
      <c r="X10" s="1"/>
      <c r="Y10" s="5" t="s">
        <v>1144</v>
      </c>
      <c r="Z10" s="1"/>
      <c r="AA10" s="1"/>
    </row>
    <row r="11" spans="1:27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1.25" customHeight="1">
      <c r="A12" s="1"/>
      <c r="B12" s="1"/>
      <c r="C12" s="8" t="s">
        <v>1336</v>
      </c>
      <c r="D12" s="18"/>
      <c r="E12" s="1"/>
      <c r="F12" s="1"/>
      <c r="G12" s="1"/>
      <c r="H12" s="8" t="s">
        <v>1337</v>
      </c>
      <c r="I12" s="18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8" t="s">
        <v>26</v>
      </c>
      <c r="V12" s="18"/>
      <c r="W12" s="1"/>
      <c r="X12" s="1"/>
      <c r="Y12" s="5" t="s">
        <v>842</v>
      </c>
      <c r="Z12" s="1"/>
      <c r="AA12" s="1"/>
    </row>
    <row r="13" spans="1:27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1.25" customHeight="1">
      <c r="A14" s="1"/>
      <c r="B14" s="1"/>
      <c r="C14" s="8" t="s">
        <v>1338</v>
      </c>
      <c r="D14" s="18"/>
      <c r="E14" s="1"/>
      <c r="F14" s="1"/>
      <c r="G14" s="1"/>
      <c r="H14" s="8" t="s">
        <v>1339</v>
      </c>
      <c r="I14" s="18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8" t="s">
        <v>26</v>
      </c>
      <c r="V14" s="18"/>
      <c r="W14" s="1"/>
      <c r="X14" s="1"/>
      <c r="Y14" s="5" t="s">
        <v>443</v>
      </c>
      <c r="Z14" s="1"/>
      <c r="AA14" s="1"/>
    </row>
    <row r="15" spans="1:27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1.25" customHeight="1">
      <c r="A16" s="1"/>
      <c r="B16" s="1"/>
      <c r="C16" s="8" t="s">
        <v>1340</v>
      </c>
      <c r="D16" s="18"/>
      <c r="E16" s="1"/>
      <c r="F16" s="1"/>
      <c r="G16" s="1"/>
      <c r="H16" s="8" t="s">
        <v>1339</v>
      </c>
      <c r="I16" s="18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8" t="s">
        <v>26</v>
      </c>
      <c r="V16" s="18"/>
      <c r="W16" s="1"/>
      <c r="X16" s="1"/>
      <c r="Y16" s="5" t="s">
        <v>453</v>
      </c>
      <c r="Z16" s="1"/>
      <c r="AA16" s="1"/>
    </row>
    <row r="17" spans="1:27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1.25" customHeight="1">
      <c r="A18" s="1"/>
      <c r="B18" s="1"/>
      <c r="C18" s="8" t="s">
        <v>1341</v>
      </c>
      <c r="D18" s="18"/>
      <c r="E18" s="1"/>
      <c r="F18" s="1"/>
      <c r="G18" s="1"/>
      <c r="H18" s="8" t="s">
        <v>1342</v>
      </c>
      <c r="I18" s="18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8" t="s">
        <v>26</v>
      </c>
      <c r="V18" s="18"/>
      <c r="W18" s="1"/>
      <c r="X18" s="1"/>
      <c r="Y18" s="5" t="s">
        <v>1343</v>
      </c>
      <c r="Z18" s="1"/>
      <c r="AA18" s="1"/>
    </row>
    <row r="19" spans="1:27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1.25" customHeight="1">
      <c r="A20" s="1"/>
      <c r="B20" s="1"/>
      <c r="C20" s="8" t="s">
        <v>1344</v>
      </c>
      <c r="D20" s="18"/>
      <c r="E20" s="18"/>
      <c r="F20" s="1"/>
      <c r="G20" s="1"/>
      <c r="H20" s="8" t="s">
        <v>1345</v>
      </c>
      <c r="I20" s="18"/>
      <c r="J20" s="18"/>
      <c r="K20" s="1"/>
      <c r="L20" s="1"/>
      <c r="M20" s="1"/>
      <c r="N20" s="1"/>
      <c r="O20" s="1"/>
      <c r="P20" s="1"/>
      <c r="Q20" s="1"/>
      <c r="R20" s="1"/>
      <c r="S20" s="1"/>
      <c r="T20" s="1"/>
      <c r="U20" s="8" t="s">
        <v>26</v>
      </c>
      <c r="V20" s="18"/>
      <c r="W20" s="1"/>
      <c r="X20" s="1"/>
      <c r="Y20" s="5" t="s">
        <v>1346</v>
      </c>
      <c r="Z20" s="1"/>
      <c r="AA20" s="1"/>
    </row>
    <row r="21" spans="1:27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1.25" customHeight="1">
      <c r="A22" s="1"/>
      <c r="B22" s="1"/>
      <c r="C22" s="8" t="s">
        <v>1347</v>
      </c>
      <c r="D22" s="18"/>
      <c r="E22" s="1"/>
      <c r="F22" s="1"/>
      <c r="G22" s="1"/>
      <c r="H22" s="8" t="s">
        <v>1348</v>
      </c>
      <c r="I22" s="18"/>
      <c r="J22" s="18"/>
      <c r="K22" s="1"/>
      <c r="L22" s="1"/>
      <c r="M22" s="1"/>
      <c r="N22" s="1"/>
      <c r="O22" s="1"/>
      <c r="P22" s="1"/>
      <c r="Q22" s="1"/>
      <c r="R22" s="1"/>
      <c r="S22" s="1"/>
      <c r="T22" s="1"/>
      <c r="U22" s="8" t="s">
        <v>26</v>
      </c>
      <c r="V22" s="18"/>
      <c r="W22" s="1"/>
      <c r="X22" s="1"/>
      <c r="Y22" s="5" t="s">
        <v>959</v>
      </c>
      <c r="Z22" s="1"/>
      <c r="AA22" s="1"/>
    </row>
    <row r="23" spans="1:27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1.25" customHeight="1">
      <c r="A24" s="1"/>
      <c r="B24" s="1"/>
      <c r="C24" s="8" t="s">
        <v>1349</v>
      </c>
      <c r="D24" s="18"/>
      <c r="E24" s="1"/>
      <c r="F24" s="1"/>
      <c r="G24" s="1"/>
      <c r="H24" s="8" t="s">
        <v>1348</v>
      </c>
      <c r="I24" s="18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8" t="s">
        <v>26</v>
      </c>
      <c r="V24" s="18"/>
      <c r="W24" s="1"/>
      <c r="X24" s="1"/>
      <c r="Y24" s="5" t="s">
        <v>1350</v>
      </c>
      <c r="Z24" s="1"/>
      <c r="AA24" s="1"/>
    </row>
    <row r="25" spans="1:27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.25" customHeight="1">
      <c r="A26" s="1"/>
      <c r="B26" s="1"/>
      <c r="C26" s="8" t="s">
        <v>1351</v>
      </c>
      <c r="D26" s="18"/>
      <c r="E26" s="1"/>
      <c r="F26" s="1"/>
      <c r="G26" s="1"/>
      <c r="H26" s="8" t="s">
        <v>1352</v>
      </c>
      <c r="I26" s="18"/>
      <c r="J26" s="18"/>
      <c r="K26" s="18"/>
      <c r="L26" s="1"/>
      <c r="M26" s="1"/>
      <c r="N26" s="1"/>
      <c r="O26" s="1"/>
      <c r="P26" s="1"/>
      <c r="Q26" s="1"/>
      <c r="R26" s="1"/>
      <c r="S26" s="1"/>
      <c r="T26" s="1"/>
      <c r="U26" s="8" t="s">
        <v>26</v>
      </c>
      <c r="V26" s="18"/>
      <c r="W26" s="1"/>
      <c r="X26" s="1"/>
      <c r="Y26" s="5" t="s">
        <v>453</v>
      </c>
      <c r="Z26" s="1"/>
      <c r="AA26" s="1"/>
    </row>
    <row r="27" spans="1:27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1.25" customHeight="1">
      <c r="A28" s="1"/>
      <c r="B28" s="1"/>
      <c r="C28" s="8" t="s">
        <v>1353</v>
      </c>
      <c r="D28" s="18"/>
      <c r="E28" s="1"/>
      <c r="F28" s="1"/>
      <c r="G28" s="1"/>
      <c r="H28" s="8" t="s">
        <v>1354</v>
      </c>
      <c r="I28" s="18"/>
      <c r="J28" s="18"/>
      <c r="K28" s="18"/>
      <c r="L28" s="18"/>
      <c r="M28" s="18"/>
      <c r="N28" s="18"/>
      <c r="O28" s="1"/>
      <c r="P28" s="1"/>
      <c r="Q28" s="1"/>
      <c r="R28" s="1"/>
      <c r="S28" s="1"/>
      <c r="T28" s="1"/>
      <c r="U28" s="8" t="s">
        <v>26</v>
      </c>
      <c r="V28" s="18"/>
      <c r="W28" s="1"/>
      <c r="X28" s="1"/>
      <c r="Y28" s="5" t="s">
        <v>496</v>
      </c>
      <c r="Z28" s="1"/>
      <c r="AA28" s="1"/>
    </row>
    <row r="29" spans="1:27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1.25" customHeight="1">
      <c r="A30" s="1"/>
      <c r="B30" s="1"/>
      <c r="C30" s="8" t="s">
        <v>1355</v>
      </c>
      <c r="D30" s="18"/>
      <c r="E30" s="1"/>
      <c r="F30" s="1"/>
      <c r="G30" s="1"/>
      <c r="H30" s="8" t="s">
        <v>1354</v>
      </c>
      <c r="I30" s="18"/>
      <c r="J30" s="18"/>
      <c r="K30" s="18"/>
      <c r="L30" s="18"/>
      <c r="M30" s="18"/>
      <c r="N30" s="18"/>
      <c r="O30" s="1"/>
      <c r="P30" s="1"/>
      <c r="Q30" s="1"/>
      <c r="R30" s="1"/>
      <c r="S30" s="1"/>
      <c r="T30" s="1"/>
      <c r="U30" s="8" t="s">
        <v>26</v>
      </c>
      <c r="V30" s="18"/>
      <c r="W30" s="1"/>
      <c r="X30" s="1"/>
      <c r="Y30" s="5" t="s">
        <v>604</v>
      </c>
      <c r="Z30" s="1"/>
      <c r="AA30" s="1"/>
    </row>
    <row r="31" spans="1:27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1.25" customHeight="1">
      <c r="A32" s="1"/>
      <c r="B32" s="1"/>
      <c r="C32" s="8" t="s">
        <v>1356</v>
      </c>
      <c r="D32" s="18"/>
      <c r="E32" s="1"/>
      <c r="F32" s="1"/>
      <c r="G32" s="1"/>
      <c r="H32" s="8" t="s">
        <v>1357</v>
      </c>
      <c r="I32" s="18"/>
      <c r="J32" s="18"/>
      <c r="K32" s="18"/>
      <c r="L32" s="18"/>
      <c r="M32" s="18"/>
      <c r="N32" s="18"/>
      <c r="O32" s="18"/>
      <c r="P32" s="18"/>
      <c r="Q32" s="1"/>
      <c r="R32" s="1"/>
      <c r="S32" s="1"/>
      <c r="T32" s="1"/>
      <c r="U32" s="8" t="s">
        <v>26</v>
      </c>
      <c r="V32" s="18"/>
      <c r="W32" s="1"/>
      <c r="X32" s="1"/>
      <c r="Y32" s="5" t="s">
        <v>528</v>
      </c>
      <c r="Z32" s="1"/>
      <c r="AA32" s="1"/>
    </row>
    <row r="33" spans="1:27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1.25" customHeight="1">
      <c r="A34" s="1"/>
      <c r="B34" s="1"/>
      <c r="C34" s="8" t="s">
        <v>1358</v>
      </c>
      <c r="D34" s="18"/>
      <c r="E34" s="1"/>
      <c r="F34" s="1"/>
      <c r="G34" s="1"/>
      <c r="H34" s="8" t="s">
        <v>1359</v>
      </c>
      <c r="I34" s="18"/>
      <c r="J34" s="18"/>
      <c r="K34" s="18"/>
      <c r="L34" s="18"/>
      <c r="M34" s="18"/>
      <c r="N34" s="1"/>
      <c r="O34" s="1"/>
      <c r="P34" s="1"/>
      <c r="Q34" s="1"/>
      <c r="R34" s="1"/>
      <c r="S34" s="1"/>
      <c r="T34" s="1"/>
      <c r="U34" s="8" t="s">
        <v>26</v>
      </c>
      <c r="V34" s="18"/>
      <c r="W34" s="1"/>
      <c r="X34" s="1"/>
      <c r="Y34" s="5" t="s">
        <v>540</v>
      </c>
      <c r="Z34" s="1"/>
      <c r="AA34" s="1"/>
    </row>
    <row r="35" spans="1:27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1.25" customHeight="1">
      <c r="A36" s="1"/>
      <c r="B36" s="1"/>
      <c r="C36" s="8" t="s">
        <v>1360</v>
      </c>
      <c r="D36" s="18"/>
      <c r="E36" s="1"/>
      <c r="F36" s="1"/>
      <c r="G36" s="1"/>
      <c r="H36" s="8" t="s">
        <v>1361</v>
      </c>
      <c r="I36" s="18"/>
      <c r="J36" s="18"/>
      <c r="K36" s="18"/>
      <c r="L36" s="1"/>
      <c r="M36" s="1"/>
      <c r="N36" s="1"/>
      <c r="O36" s="1"/>
      <c r="P36" s="1"/>
      <c r="Q36" s="1"/>
      <c r="R36" s="1"/>
      <c r="S36" s="1"/>
      <c r="T36" s="1"/>
      <c r="U36" s="8" t="s">
        <v>26</v>
      </c>
      <c r="V36" s="18"/>
      <c r="W36" s="1"/>
      <c r="X36" s="1"/>
      <c r="Y36" s="5" t="s">
        <v>770</v>
      </c>
      <c r="Z36" s="1"/>
      <c r="AA36" s="1"/>
    </row>
    <row r="37" spans="1:27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1.25" customHeight="1">
      <c r="A38" s="1"/>
      <c r="B38" s="1"/>
      <c r="C38" s="8" t="s">
        <v>1362</v>
      </c>
      <c r="D38" s="18"/>
      <c r="E38" s="1"/>
      <c r="F38" s="1"/>
      <c r="G38" s="1"/>
      <c r="H38" s="8" t="s">
        <v>1363</v>
      </c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8" t="s">
        <v>26</v>
      </c>
      <c r="V38" s="18"/>
      <c r="W38" s="1"/>
      <c r="X38" s="1"/>
      <c r="Y38" s="5" t="s">
        <v>528</v>
      </c>
      <c r="Z38" s="1"/>
      <c r="AA38" s="1"/>
    </row>
    <row r="39" spans="1:27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1.25" customHeight="1">
      <c r="A40" s="1"/>
      <c r="B40" s="1"/>
      <c r="C40" s="8" t="s">
        <v>1364</v>
      </c>
      <c r="D40" s="18"/>
      <c r="E40" s="1"/>
      <c r="F40" s="1"/>
      <c r="G40" s="1"/>
      <c r="H40" s="8" t="s">
        <v>1363</v>
      </c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8" t="s">
        <v>26</v>
      </c>
      <c r="V40" s="18"/>
      <c r="W40" s="1"/>
      <c r="X40" s="1"/>
      <c r="Y40" s="5" t="s">
        <v>118</v>
      </c>
      <c r="Z40" s="1"/>
      <c r="AA40" s="1"/>
    </row>
    <row r="41" spans="1:27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1.25" customHeight="1">
      <c r="A42" s="1"/>
      <c r="B42" s="1"/>
      <c r="C42" s="8" t="s">
        <v>1365</v>
      </c>
      <c r="D42" s="18"/>
      <c r="E42" s="1"/>
      <c r="F42" s="1"/>
      <c r="G42" s="1"/>
      <c r="H42" s="8" t="s">
        <v>1366</v>
      </c>
      <c r="I42" s="18"/>
      <c r="J42" s="18"/>
      <c r="K42" s="18"/>
      <c r="L42" s="1"/>
      <c r="M42" s="1"/>
      <c r="N42" s="1"/>
      <c r="O42" s="1"/>
      <c r="P42" s="1"/>
      <c r="Q42" s="1"/>
      <c r="R42" s="1"/>
      <c r="S42" s="1"/>
      <c r="T42" s="1"/>
      <c r="U42" s="8" t="s">
        <v>26</v>
      </c>
      <c r="V42" s="18"/>
      <c r="W42" s="1"/>
      <c r="X42" s="1"/>
      <c r="Y42" s="5" t="s">
        <v>290</v>
      </c>
      <c r="Z42" s="1"/>
      <c r="AA42" s="1"/>
    </row>
    <row r="43" spans="1:27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1.25" customHeight="1">
      <c r="A44" s="1"/>
      <c r="B44" s="1"/>
      <c r="C44" s="8" t="s">
        <v>1367</v>
      </c>
      <c r="D44" s="18"/>
      <c r="E44" s="1"/>
      <c r="F44" s="1"/>
      <c r="G44" s="1"/>
      <c r="H44" s="8" t="s">
        <v>1368</v>
      </c>
      <c r="I44" s="18"/>
      <c r="J44" s="18"/>
      <c r="K44" s="18"/>
      <c r="L44" s="18"/>
      <c r="M44" s="18"/>
      <c r="N44" s="18"/>
      <c r="O44" s="1"/>
      <c r="P44" s="1"/>
      <c r="Q44" s="1"/>
      <c r="R44" s="1"/>
      <c r="S44" s="1"/>
      <c r="T44" s="1"/>
      <c r="U44" s="8" t="s">
        <v>26</v>
      </c>
      <c r="V44" s="18"/>
      <c r="W44" s="1"/>
      <c r="X44" s="1"/>
      <c r="Y44" s="5" t="s">
        <v>440</v>
      </c>
      <c r="Z44" s="1"/>
      <c r="AA44" s="1"/>
    </row>
    <row r="45" spans="1:27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1.25" customHeight="1">
      <c r="A46" s="1"/>
      <c r="B46" s="1"/>
      <c r="C46" s="8" t="s">
        <v>1369</v>
      </c>
      <c r="D46" s="18"/>
      <c r="E46" s="1"/>
      <c r="F46" s="1"/>
      <c r="G46" s="1"/>
      <c r="H46" s="8" t="s">
        <v>1368</v>
      </c>
      <c r="I46" s="18"/>
      <c r="J46" s="18"/>
      <c r="K46" s="18"/>
      <c r="L46" s="18"/>
      <c r="M46" s="18"/>
      <c r="N46" s="18"/>
      <c r="O46" s="1"/>
      <c r="P46" s="1"/>
      <c r="Q46" s="1"/>
      <c r="R46" s="1"/>
      <c r="S46" s="1"/>
      <c r="T46" s="1"/>
      <c r="U46" s="8" t="s">
        <v>26</v>
      </c>
      <c r="V46" s="18"/>
      <c r="W46" s="1"/>
      <c r="X46" s="1"/>
      <c r="Y46" s="5" t="s">
        <v>991</v>
      </c>
      <c r="Z46" s="1"/>
      <c r="AA46" s="1"/>
    </row>
    <row r="47" spans="1:27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1.25" customHeight="1">
      <c r="A48" s="1"/>
      <c r="B48" s="1"/>
      <c r="C48" s="8" t="s">
        <v>1370</v>
      </c>
      <c r="D48" s="18"/>
      <c r="E48" s="1"/>
      <c r="F48" s="1"/>
      <c r="G48" s="1"/>
      <c r="H48" s="8" t="s">
        <v>1371</v>
      </c>
      <c r="I48" s="18"/>
      <c r="J48" s="18"/>
      <c r="K48" s="18"/>
      <c r="L48" s="18"/>
      <c r="M48" s="1"/>
      <c r="N48" s="1"/>
      <c r="O48" s="1"/>
      <c r="P48" s="1"/>
      <c r="Q48" s="1"/>
      <c r="R48" s="1"/>
      <c r="S48" s="1"/>
      <c r="T48" s="1"/>
      <c r="U48" s="8" t="s">
        <v>26</v>
      </c>
      <c r="V48" s="18"/>
      <c r="W48" s="1"/>
      <c r="X48" s="1"/>
      <c r="Y48" s="5" t="s">
        <v>1316</v>
      </c>
      <c r="Z48" s="1"/>
      <c r="AA48" s="1"/>
    </row>
    <row r="49" spans="1:27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1.25" customHeight="1">
      <c r="A50" s="1"/>
      <c r="B50" s="1"/>
      <c r="C50" s="8" t="s">
        <v>1372</v>
      </c>
      <c r="D50" s="18"/>
      <c r="E50" s="1"/>
      <c r="F50" s="1"/>
      <c r="G50" s="1"/>
      <c r="H50" s="8" t="s">
        <v>1371</v>
      </c>
      <c r="I50" s="18"/>
      <c r="J50" s="18"/>
      <c r="K50" s="18"/>
      <c r="L50" s="18"/>
      <c r="M50" s="1"/>
      <c r="N50" s="1"/>
      <c r="O50" s="1"/>
      <c r="P50" s="1"/>
      <c r="Q50" s="1"/>
      <c r="R50" s="1"/>
      <c r="S50" s="1"/>
      <c r="T50" s="1"/>
      <c r="U50" s="8" t="s">
        <v>26</v>
      </c>
      <c r="V50" s="18"/>
      <c r="W50" s="1"/>
      <c r="X50" s="1"/>
      <c r="Y50" s="5" t="s">
        <v>926</v>
      </c>
      <c r="Z50" s="1"/>
      <c r="AA50" s="1"/>
    </row>
    <row r="51" spans="1:27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1.25" customHeight="1">
      <c r="A52" s="1"/>
      <c r="B52" s="1"/>
      <c r="C52" s="8" t="s">
        <v>1373</v>
      </c>
      <c r="D52" s="18"/>
      <c r="E52" s="1"/>
      <c r="F52" s="1"/>
      <c r="G52" s="1"/>
      <c r="H52" s="8" t="s">
        <v>1374</v>
      </c>
      <c r="I52" s="18"/>
      <c r="J52" s="18"/>
      <c r="K52" s="18"/>
      <c r="L52" s="18"/>
      <c r="M52" s="18"/>
      <c r="N52" s="18"/>
      <c r="O52" s="1"/>
      <c r="P52" s="1"/>
      <c r="Q52" s="1"/>
      <c r="R52" s="1"/>
      <c r="S52" s="1"/>
      <c r="T52" s="1"/>
      <c r="U52" s="8" t="s">
        <v>26</v>
      </c>
      <c r="V52" s="18"/>
      <c r="W52" s="1"/>
      <c r="X52" s="1"/>
      <c r="Y52" s="5" t="s">
        <v>823</v>
      </c>
      <c r="Z52" s="1"/>
      <c r="AA52" s="1"/>
    </row>
    <row r="53" spans="1:27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1.25" customHeight="1">
      <c r="A54" s="1"/>
      <c r="B54" s="1"/>
      <c r="C54" s="8" t="s">
        <v>1375</v>
      </c>
      <c r="D54" s="18"/>
      <c r="E54" s="1"/>
      <c r="F54" s="1"/>
      <c r="G54" s="1"/>
      <c r="H54" s="8" t="s">
        <v>1376</v>
      </c>
      <c r="I54" s="18"/>
      <c r="J54" s="18"/>
      <c r="K54" s="18"/>
      <c r="L54" s="18"/>
      <c r="M54" s="1"/>
      <c r="N54" s="1"/>
      <c r="O54" s="1"/>
      <c r="P54" s="1"/>
      <c r="Q54" s="1"/>
      <c r="R54" s="1"/>
      <c r="S54" s="1"/>
      <c r="T54" s="1"/>
      <c r="U54" s="8" t="s">
        <v>26</v>
      </c>
      <c r="V54" s="18"/>
      <c r="W54" s="1"/>
      <c r="X54" s="1"/>
      <c r="Y54" s="5" t="s">
        <v>540</v>
      </c>
      <c r="Z54" s="1"/>
      <c r="AA54" s="1"/>
    </row>
    <row r="55" spans="1:27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1.25" customHeight="1">
      <c r="A56" s="1"/>
      <c r="B56" s="1"/>
      <c r="C56" s="8" t="s">
        <v>1377</v>
      </c>
      <c r="D56" s="18"/>
      <c r="E56" s="1"/>
      <c r="F56" s="1"/>
      <c r="G56" s="1"/>
      <c r="H56" s="8" t="s">
        <v>1376</v>
      </c>
      <c r="I56" s="18"/>
      <c r="J56" s="18"/>
      <c r="K56" s="18"/>
      <c r="L56" s="18"/>
      <c r="M56" s="1"/>
      <c r="N56" s="1"/>
      <c r="O56" s="1"/>
      <c r="P56" s="1"/>
      <c r="Q56" s="1"/>
      <c r="R56" s="1"/>
      <c r="S56" s="1"/>
      <c r="T56" s="1"/>
      <c r="U56" s="8" t="s">
        <v>26</v>
      </c>
      <c r="V56" s="18"/>
      <c r="W56" s="1"/>
      <c r="X56" s="1"/>
      <c r="Y56" s="5" t="s">
        <v>1054</v>
      </c>
      <c r="Z56" s="1"/>
      <c r="AA56" s="1"/>
    </row>
    <row r="57" spans="1:27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1.25" customHeight="1">
      <c r="A58" s="1"/>
      <c r="B58" s="1"/>
      <c r="C58" s="8" t="s">
        <v>1378</v>
      </c>
      <c r="D58" s="18"/>
      <c r="E58" s="1"/>
      <c r="F58" s="1"/>
      <c r="G58" s="1"/>
      <c r="H58" s="8" t="s">
        <v>1379</v>
      </c>
      <c r="I58" s="18"/>
      <c r="J58" s="18"/>
      <c r="K58" s="18"/>
      <c r="L58" s="18"/>
      <c r="M58" s="18"/>
      <c r="N58" s="18"/>
      <c r="O58" s="1"/>
      <c r="P58" s="1"/>
      <c r="Q58" s="1"/>
      <c r="R58" s="1"/>
      <c r="S58" s="1"/>
      <c r="T58" s="1"/>
      <c r="U58" s="8" t="s">
        <v>26</v>
      </c>
      <c r="V58" s="18"/>
      <c r="W58" s="1"/>
      <c r="X58" s="1"/>
      <c r="Y58" s="5" t="s">
        <v>868</v>
      </c>
      <c r="Z58" s="1"/>
      <c r="AA58" s="1"/>
    </row>
    <row r="59" spans="1:27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1.25" customHeight="1">
      <c r="A60" s="1"/>
      <c r="B60" s="1"/>
      <c r="C60" s="8" t="s">
        <v>1380</v>
      </c>
      <c r="D60" s="18"/>
      <c r="E60" s="1"/>
      <c r="F60" s="1"/>
      <c r="G60" s="1"/>
      <c r="H60" s="8" t="s">
        <v>1381</v>
      </c>
      <c r="I60" s="18"/>
      <c r="J60" s="18"/>
      <c r="K60" s="18"/>
      <c r="L60" s="1"/>
      <c r="M60" s="1"/>
      <c r="N60" s="1"/>
      <c r="O60" s="1"/>
      <c r="P60" s="1"/>
      <c r="Q60" s="1"/>
      <c r="R60" s="1"/>
      <c r="S60" s="1"/>
      <c r="T60" s="1"/>
      <c r="U60" s="8" t="s">
        <v>26</v>
      </c>
      <c r="V60" s="18"/>
      <c r="W60" s="1"/>
      <c r="X60" s="1"/>
      <c r="Y60" s="5" t="s">
        <v>589</v>
      </c>
      <c r="Z60" s="1"/>
      <c r="AA60" s="1"/>
    </row>
    <row r="61" spans="1:27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1.25" customHeight="1">
      <c r="A62" s="1"/>
      <c r="B62" s="1"/>
      <c r="C62" s="8" t="s">
        <v>1382</v>
      </c>
      <c r="D62" s="18"/>
      <c r="E62" s="1"/>
      <c r="F62" s="1"/>
      <c r="G62" s="1"/>
      <c r="H62" s="8" t="s">
        <v>1381</v>
      </c>
      <c r="I62" s="18"/>
      <c r="J62" s="18"/>
      <c r="K62" s="18"/>
      <c r="L62" s="1"/>
      <c r="M62" s="1"/>
      <c r="N62" s="1"/>
      <c r="O62" s="1"/>
      <c r="P62" s="1"/>
      <c r="Q62" s="1"/>
      <c r="R62" s="1"/>
      <c r="S62" s="1"/>
      <c r="T62" s="1"/>
      <c r="U62" s="8" t="s">
        <v>26</v>
      </c>
      <c r="V62" s="18"/>
      <c r="W62" s="1"/>
      <c r="X62" s="1"/>
      <c r="Y62" s="5" t="s">
        <v>169</v>
      </c>
      <c r="Z62" s="1"/>
      <c r="AA62" s="1"/>
    </row>
    <row r="63" spans="1:27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1.25" customHeight="1">
      <c r="A64" s="1"/>
      <c r="B64" s="1"/>
      <c r="C64" s="8" t="s">
        <v>1383</v>
      </c>
      <c r="D64" s="18"/>
      <c r="E64" s="1"/>
      <c r="F64" s="1"/>
      <c r="G64" s="1"/>
      <c r="H64" s="8" t="s">
        <v>1384</v>
      </c>
      <c r="I64" s="18"/>
      <c r="J64" s="18"/>
      <c r="K64" s="18"/>
      <c r="L64" s="18"/>
      <c r="M64" s="1"/>
      <c r="N64" s="1"/>
      <c r="O64" s="1"/>
      <c r="P64" s="1"/>
      <c r="Q64" s="1"/>
      <c r="R64" s="1"/>
      <c r="S64" s="1"/>
      <c r="T64" s="1"/>
      <c r="U64" s="8" t="s">
        <v>26</v>
      </c>
      <c r="V64" s="18"/>
      <c r="W64" s="1"/>
      <c r="X64" s="1"/>
      <c r="Y64" s="5" t="s">
        <v>597</v>
      </c>
      <c r="Z64" s="1"/>
      <c r="AA64" s="1"/>
    </row>
    <row r="65" spans="1:27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1.25" customHeight="1">
      <c r="A66" s="1"/>
      <c r="B66" s="1"/>
      <c r="C66" s="8" t="s">
        <v>1385</v>
      </c>
      <c r="D66" s="18"/>
      <c r="E66" s="18"/>
      <c r="F66" s="1"/>
      <c r="G66" s="1"/>
      <c r="H66" s="8" t="s">
        <v>1386</v>
      </c>
      <c r="I66" s="18"/>
      <c r="J66" s="18"/>
      <c r="K66" s="18"/>
      <c r="L66" s="18"/>
      <c r="M66" s="1"/>
      <c r="N66" s="1"/>
      <c r="O66" s="1"/>
      <c r="P66" s="1"/>
      <c r="Q66" s="1"/>
      <c r="R66" s="1"/>
      <c r="S66" s="1"/>
      <c r="T66" s="1"/>
      <c r="U66" s="8" t="s">
        <v>26</v>
      </c>
      <c r="V66" s="18"/>
      <c r="W66" s="1"/>
      <c r="X66" s="1"/>
      <c r="Y66" s="5" t="s">
        <v>398</v>
      </c>
      <c r="Z66" s="1"/>
      <c r="AA66" s="1"/>
    </row>
    <row r="67" spans="1:27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1.25" customHeight="1">
      <c r="A68" s="1"/>
      <c r="B68" s="1"/>
      <c r="C68" s="8" t="s">
        <v>1387</v>
      </c>
      <c r="D68" s="18"/>
      <c r="E68" s="1"/>
      <c r="F68" s="1"/>
      <c r="G68" s="1"/>
      <c r="H68" s="8" t="s">
        <v>1388</v>
      </c>
      <c r="I68" s="18"/>
      <c r="J68" s="18"/>
      <c r="K68" s="18"/>
      <c r="L68" s="18"/>
      <c r="M68" s="18"/>
      <c r="N68" s="1"/>
      <c r="O68" s="1"/>
      <c r="P68" s="1"/>
      <c r="Q68" s="1"/>
      <c r="R68" s="1"/>
      <c r="S68" s="1"/>
      <c r="T68" s="1"/>
      <c r="U68" s="8" t="s">
        <v>26</v>
      </c>
      <c r="V68" s="18"/>
      <c r="W68" s="1"/>
      <c r="X68" s="1"/>
      <c r="Y68" s="5" t="s">
        <v>389</v>
      </c>
      <c r="Z68" s="1"/>
      <c r="AA68" s="1"/>
    </row>
    <row r="69" spans="1:27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1.25" customHeight="1">
      <c r="A70" s="1"/>
      <c r="B70" s="1"/>
      <c r="C70" s="8" t="s">
        <v>1389</v>
      </c>
      <c r="D70" s="18"/>
      <c r="E70" s="1"/>
      <c r="F70" s="1"/>
      <c r="G70" s="1"/>
      <c r="H70" s="8" t="s">
        <v>1388</v>
      </c>
      <c r="I70" s="18"/>
      <c r="J70" s="18"/>
      <c r="K70" s="18"/>
      <c r="L70" s="18"/>
      <c r="M70" s="18"/>
      <c r="N70" s="1"/>
      <c r="O70" s="1"/>
      <c r="P70" s="1"/>
      <c r="Q70" s="1"/>
      <c r="R70" s="1"/>
      <c r="S70" s="1"/>
      <c r="T70" s="1"/>
      <c r="U70" s="8" t="s">
        <v>26</v>
      </c>
      <c r="V70" s="18"/>
      <c r="W70" s="1"/>
      <c r="X70" s="1"/>
      <c r="Y70" s="5" t="s">
        <v>208</v>
      </c>
      <c r="Z70" s="1"/>
      <c r="AA70" s="1"/>
    </row>
    <row r="71" spans="1:27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1.25" customHeight="1">
      <c r="A72" s="1"/>
      <c r="B72" s="1"/>
      <c r="C72" s="8" t="s">
        <v>1390</v>
      </c>
      <c r="D72" s="18"/>
      <c r="E72" s="1"/>
      <c r="F72" s="1"/>
      <c r="G72" s="1"/>
      <c r="H72" s="8" t="s">
        <v>1391</v>
      </c>
      <c r="I72" s="18"/>
      <c r="J72" s="18"/>
      <c r="K72" s="18"/>
      <c r="L72" s="18"/>
      <c r="M72" s="18"/>
      <c r="N72" s="18"/>
      <c r="O72" s="18"/>
      <c r="P72" s="1"/>
      <c r="Q72" s="1"/>
      <c r="R72" s="1"/>
      <c r="S72" s="1"/>
      <c r="T72" s="1"/>
      <c r="U72" s="8" t="s">
        <v>26</v>
      </c>
      <c r="V72" s="18"/>
      <c r="W72" s="1"/>
      <c r="X72" s="1"/>
      <c r="Y72" s="5" t="s">
        <v>195</v>
      </c>
      <c r="Z72" s="1"/>
      <c r="AA72" s="1"/>
    </row>
    <row r="73" spans="1:27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1.25" customHeight="1">
      <c r="A74" s="1"/>
      <c r="B74" s="1"/>
      <c r="C74" s="8" t="s">
        <v>1392</v>
      </c>
      <c r="D74" s="18"/>
      <c r="E74" s="1"/>
      <c r="F74" s="1"/>
      <c r="G74" s="1"/>
      <c r="H74" s="8" t="s">
        <v>1393</v>
      </c>
      <c r="I74" s="18"/>
      <c r="J74" s="18"/>
      <c r="K74" s="18"/>
      <c r="L74" s="18"/>
      <c r="M74" s="1"/>
      <c r="N74" s="1"/>
      <c r="O74" s="1"/>
      <c r="P74" s="1"/>
      <c r="Q74" s="1"/>
      <c r="R74" s="1"/>
      <c r="S74" s="1"/>
      <c r="T74" s="1"/>
      <c r="U74" s="8" t="s">
        <v>26</v>
      </c>
      <c r="V74" s="18"/>
      <c r="W74" s="1"/>
      <c r="X74" s="1"/>
      <c r="Y74" s="5" t="s">
        <v>257</v>
      </c>
      <c r="Z74" s="1"/>
      <c r="AA74" s="1"/>
    </row>
    <row r="75" spans="1:27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1.25" customHeight="1">
      <c r="A76" s="1"/>
      <c r="B76" s="1"/>
      <c r="C76" s="8" t="s">
        <v>1394</v>
      </c>
      <c r="D76" s="18"/>
      <c r="E76" s="1"/>
      <c r="F76" s="1"/>
      <c r="G76" s="1"/>
      <c r="H76" s="8" t="s">
        <v>1395</v>
      </c>
      <c r="I76" s="18"/>
      <c r="J76" s="18"/>
      <c r="K76" s="18"/>
      <c r="L76" s="18"/>
      <c r="M76" s="18"/>
      <c r="N76" s="18"/>
      <c r="O76" s="18"/>
      <c r="P76" s="1"/>
      <c r="Q76" s="1"/>
      <c r="R76" s="1"/>
      <c r="S76" s="1"/>
      <c r="T76" s="1"/>
      <c r="U76" s="8" t="s">
        <v>26</v>
      </c>
      <c r="V76" s="18"/>
      <c r="W76" s="1"/>
      <c r="X76" s="1"/>
      <c r="Y76" s="5" t="s">
        <v>435</v>
      </c>
      <c r="Z76" s="1"/>
      <c r="AA76" s="1"/>
    </row>
    <row r="77" spans="1:27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1.25" customHeight="1">
      <c r="A78" s="1"/>
      <c r="B78" s="1"/>
      <c r="C78" s="8" t="s">
        <v>1396</v>
      </c>
      <c r="D78" s="18"/>
      <c r="E78" s="1"/>
      <c r="F78" s="1"/>
      <c r="G78" s="1"/>
      <c r="H78" s="8" t="s">
        <v>1397</v>
      </c>
      <c r="I78" s="18"/>
      <c r="J78" s="18"/>
      <c r="K78" s="18"/>
      <c r="L78" s="18"/>
      <c r="M78" s="18"/>
      <c r="N78" s="18"/>
      <c r="O78" s="18"/>
      <c r="P78" s="18"/>
      <c r="Q78" s="18"/>
      <c r="R78" s="1"/>
      <c r="S78" s="1"/>
      <c r="T78" s="1"/>
      <c r="U78" s="8" t="s">
        <v>26</v>
      </c>
      <c r="V78" s="18"/>
      <c r="W78" s="1"/>
      <c r="X78" s="1"/>
      <c r="Y78" s="5" t="s">
        <v>257</v>
      </c>
      <c r="Z78" s="1"/>
      <c r="AA78" s="1"/>
    </row>
    <row r="79" spans="1:27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1.25" customHeight="1">
      <c r="A80" s="1"/>
      <c r="B80" s="1"/>
      <c r="C80" s="8" t="s">
        <v>1398</v>
      </c>
      <c r="D80" s="18"/>
      <c r="E80" s="1"/>
      <c r="F80" s="1"/>
      <c r="G80" s="1"/>
      <c r="H80" s="8" t="s">
        <v>1399</v>
      </c>
      <c r="I80" s="18"/>
      <c r="J80" s="18"/>
      <c r="K80" s="18"/>
      <c r="L80" s="18"/>
      <c r="M80" s="18"/>
      <c r="N80" s="18"/>
      <c r="O80" s="18"/>
      <c r="P80" s="18"/>
      <c r="Q80" s="18"/>
      <c r="R80" s="1"/>
      <c r="S80" s="1"/>
      <c r="T80" s="1"/>
      <c r="U80" s="8" t="s">
        <v>26</v>
      </c>
      <c r="V80" s="18"/>
      <c r="W80" s="1"/>
      <c r="X80" s="1"/>
      <c r="Y80" s="5" t="s">
        <v>1400</v>
      </c>
      <c r="Z80" s="1"/>
      <c r="AA80" s="1"/>
    </row>
    <row r="81" spans="1:27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1.25" customHeight="1">
      <c r="A82" s="1"/>
      <c r="B82" s="1"/>
      <c r="C82" s="8" t="s">
        <v>1401</v>
      </c>
      <c r="D82" s="18"/>
      <c r="E82" s="1"/>
      <c r="F82" s="1"/>
      <c r="G82" s="1"/>
      <c r="H82" s="8" t="s">
        <v>1402</v>
      </c>
      <c r="I82" s="18"/>
      <c r="J82" s="18"/>
      <c r="K82" s="18"/>
      <c r="L82" s="18"/>
      <c r="M82" s="18"/>
      <c r="N82" s="1"/>
      <c r="O82" s="1"/>
      <c r="P82" s="1"/>
      <c r="Q82" s="1"/>
      <c r="R82" s="1"/>
      <c r="S82" s="1"/>
      <c r="T82" s="1"/>
      <c r="U82" s="8" t="s">
        <v>26</v>
      </c>
      <c r="V82" s="18"/>
      <c r="W82" s="1"/>
      <c r="X82" s="1"/>
      <c r="Y82" s="5" t="s">
        <v>8</v>
      </c>
      <c r="Z82" s="1"/>
      <c r="AA82" s="1"/>
    </row>
    <row r="83" spans="1:27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1.25" customHeight="1">
      <c r="A84" s="1"/>
      <c r="B84" s="1"/>
      <c r="C84" s="8" t="s">
        <v>1403</v>
      </c>
      <c r="D84" s="18"/>
      <c r="E84" s="18"/>
      <c r="F84" s="1"/>
      <c r="G84" s="1"/>
      <c r="H84" s="8" t="s">
        <v>1404</v>
      </c>
      <c r="I84" s="18"/>
      <c r="J84" s="18"/>
      <c r="K84" s="18"/>
      <c r="L84" s="18"/>
      <c r="M84" s="18"/>
      <c r="N84" s="18"/>
      <c r="O84" s="1"/>
      <c r="P84" s="1"/>
      <c r="Q84" s="1"/>
      <c r="R84" s="1"/>
      <c r="S84" s="1"/>
      <c r="T84" s="1"/>
      <c r="U84" s="8" t="s">
        <v>26</v>
      </c>
      <c r="V84" s="18"/>
      <c r="W84" s="1"/>
      <c r="X84" s="1"/>
      <c r="Y84" s="5" t="s">
        <v>8</v>
      </c>
      <c r="Z84" s="1"/>
      <c r="AA84" s="1"/>
    </row>
    <row r="85" spans="1:27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1.25" customHeight="1">
      <c r="A86" s="1"/>
      <c r="B86" s="1"/>
      <c r="C86" s="8" t="s">
        <v>1405</v>
      </c>
      <c r="D86" s="18"/>
      <c r="E86" s="1"/>
      <c r="F86" s="1"/>
      <c r="G86" s="1"/>
      <c r="H86" s="8" t="s">
        <v>1402</v>
      </c>
      <c r="I86" s="18"/>
      <c r="J86" s="18"/>
      <c r="K86" s="18"/>
      <c r="L86" s="18"/>
      <c r="M86" s="18"/>
      <c r="N86" s="1"/>
      <c r="O86" s="1"/>
      <c r="P86" s="1"/>
      <c r="Q86" s="1"/>
      <c r="R86" s="1"/>
      <c r="S86" s="1"/>
      <c r="T86" s="1"/>
      <c r="U86" s="8" t="s">
        <v>26</v>
      </c>
      <c r="V86" s="18"/>
      <c r="W86" s="1"/>
      <c r="X86" s="1"/>
      <c r="Y86" s="5" t="s">
        <v>521</v>
      </c>
      <c r="Z86" s="1"/>
      <c r="AA86" s="1"/>
    </row>
    <row r="87" spans="1:27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1.25" customHeight="1">
      <c r="A88" s="1"/>
      <c r="B88" s="1"/>
      <c r="C88" s="8" t="s">
        <v>1406</v>
      </c>
      <c r="D88" s="18"/>
      <c r="E88" s="1"/>
      <c r="F88" s="1"/>
      <c r="G88" s="1"/>
      <c r="H88" s="8" t="s">
        <v>1407</v>
      </c>
      <c r="I88" s="18"/>
      <c r="J88" s="18"/>
      <c r="K88" s="18"/>
      <c r="L88" s="18"/>
      <c r="M88" s="18"/>
      <c r="N88" s="18"/>
      <c r="O88" s="18"/>
      <c r="P88" s="1"/>
      <c r="Q88" s="1"/>
      <c r="R88" s="1"/>
      <c r="S88" s="1"/>
      <c r="T88" s="1"/>
      <c r="U88" s="8" t="s">
        <v>26</v>
      </c>
      <c r="V88" s="18"/>
      <c r="W88" s="1"/>
      <c r="X88" s="1"/>
      <c r="Y88" s="5" t="s">
        <v>1408</v>
      </c>
      <c r="Z88" s="1"/>
      <c r="AA88" s="1"/>
    </row>
    <row r="89" spans="1:27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1.25" customHeight="1">
      <c r="A90" s="1"/>
      <c r="B90" s="1"/>
      <c r="C90" s="8" t="s">
        <v>1409</v>
      </c>
      <c r="D90" s="18"/>
      <c r="E90" s="1"/>
      <c r="F90" s="1"/>
      <c r="G90" s="1"/>
      <c r="H90" s="8" t="s">
        <v>1410</v>
      </c>
      <c r="I90" s="1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8" t="s">
        <v>26</v>
      </c>
      <c r="V90" s="18"/>
      <c r="W90" s="1"/>
      <c r="X90" s="1"/>
      <c r="Y90" s="5" t="s">
        <v>540</v>
      </c>
      <c r="Z90" s="1"/>
      <c r="AA90" s="1"/>
    </row>
    <row r="91" spans="1:27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1.25" customHeight="1">
      <c r="A92" s="1"/>
      <c r="B92" s="1"/>
      <c r="C92" s="8" t="s">
        <v>1411</v>
      </c>
      <c r="D92" s="18"/>
      <c r="E92" s="1"/>
      <c r="F92" s="1"/>
      <c r="G92" s="1"/>
      <c r="H92" s="8" t="s">
        <v>1410</v>
      </c>
      <c r="I92" s="1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8" t="s">
        <v>26</v>
      </c>
      <c r="V92" s="18"/>
      <c r="W92" s="1"/>
      <c r="X92" s="1"/>
      <c r="Y92" s="5" t="s">
        <v>90</v>
      </c>
      <c r="Z92" s="1"/>
      <c r="AA92" s="1"/>
    </row>
    <row r="93" spans="1:27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1.25" customHeight="1">
      <c r="A94" s="1"/>
      <c r="B94" s="1"/>
      <c r="C94" s="8" t="s">
        <v>1412</v>
      </c>
      <c r="D94" s="18"/>
      <c r="E94" s="1"/>
      <c r="F94" s="1"/>
      <c r="G94" s="1"/>
      <c r="H94" s="8" t="s">
        <v>1413</v>
      </c>
      <c r="I94" s="18"/>
      <c r="J94" s="18"/>
      <c r="K94" s="18"/>
      <c r="L94" s="1"/>
      <c r="M94" s="1"/>
      <c r="N94" s="1"/>
      <c r="O94" s="1"/>
      <c r="P94" s="1"/>
      <c r="Q94" s="1"/>
      <c r="R94" s="1"/>
      <c r="S94" s="1"/>
      <c r="T94" s="1"/>
      <c r="U94" s="8" t="s">
        <v>26</v>
      </c>
      <c r="V94" s="18"/>
      <c r="W94" s="1"/>
      <c r="X94" s="1"/>
      <c r="Y94" s="5" t="s">
        <v>90</v>
      </c>
      <c r="Z94" s="1"/>
      <c r="AA94" s="1"/>
    </row>
    <row r="95" spans="1:27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1.25" customHeight="1">
      <c r="A96" s="1"/>
      <c r="B96" s="1"/>
      <c r="C96" s="8" t="s">
        <v>1414</v>
      </c>
      <c r="D96" s="18"/>
      <c r="E96" s="1"/>
      <c r="F96" s="1"/>
      <c r="G96" s="1"/>
      <c r="H96" s="8" t="s">
        <v>1188</v>
      </c>
      <c r="I96" s="1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8" t="s">
        <v>26</v>
      </c>
      <c r="V96" s="18"/>
      <c r="W96" s="1"/>
      <c r="X96" s="1"/>
      <c r="Y96" s="5" t="s">
        <v>817</v>
      </c>
      <c r="Z96" s="1"/>
      <c r="AA96" s="1"/>
    </row>
    <row r="97" spans="1:27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1.25" customHeight="1">
      <c r="A98" s="1"/>
      <c r="B98" s="1"/>
      <c r="C98" s="8" t="s">
        <v>1415</v>
      </c>
      <c r="D98" s="18"/>
      <c r="E98" s="1"/>
      <c r="F98" s="1"/>
      <c r="G98" s="1"/>
      <c r="H98" s="8" t="s">
        <v>1188</v>
      </c>
      <c r="I98" s="1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8" t="s">
        <v>26</v>
      </c>
      <c r="V98" s="18"/>
      <c r="W98" s="1"/>
      <c r="X98" s="1"/>
      <c r="Y98" s="5" t="s">
        <v>521</v>
      </c>
      <c r="Z98" s="1"/>
      <c r="AA98" s="1"/>
    </row>
    <row r="99" spans="1:27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1.25" customHeight="1">
      <c r="A100" s="1"/>
      <c r="B100" s="1"/>
      <c r="C100" s="8" t="s">
        <v>1416</v>
      </c>
      <c r="D100" s="18"/>
      <c r="E100" s="1"/>
      <c r="F100" s="1"/>
      <c r="G100" s="1"/>
      <c r="H100" s="8" t="s">
        <v>1417</v>
      </c>
      <c r="I100" s="18"/>
      <c r="J100" s="18"/>
      <c r="K100" s="18"/>
      <c r="L100" s="1"/>
      <c r="M100" s="1"/>
      <c r="N100" s="1"/>
      <c r="O100" s="1"/>
      <c r="P100" s="1"/>
      <c r="Q100" s="1"/>
      <c r="R100" s="1"/>
      <c r="S100" s="1"/>
      <c r="T100" s="1"/>
      <c r="U100" s="8" t="s">
        <v>26</v>
      </c>
      <c r="V100" s="18"/>
      <c r="W100" s="1"/>
      <c r="X100" s="1"/>
      <c r="Y100" s="5" t="s">
        <v>817</v>
      </c>
      <c r="Z100" s="1"/>
      <c r="AA100" s="1"/>
    </row>
    <row r="101" spans="1:27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"/>
      <c r="S104" s="1"/>
      <c r="T104" s="1"/>
      <c r="U104" s="1"/>
      <c r="V104" s="1"/>
      <c r="W104" s="1"/>
      <c r="X104" s="8" t="s">
        <v>1418</v>
      </c>
      <c r="Y104" s="18"/>
      <c r="Z104" s="18"/>
      <c r="AA104" s="1"/>
    </row>
    <row r="105" spans="1:27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</sheetData>
  <mergeCells count="149">
    <mergeCell ref="B2:F4"/>
    <mergeCell ref="G2:S4"/>
    <mergeCell ref="T2:U4"/>
    <mergeCell ref="X3:Z3"/>
    <mergeCell ref="C8:D8"/>
    <mergeCell ref="H8:I8"/>
    <mergeCell ref="U8:V8"/>
    <mergeCell ref="C10:D10"/>
    <mergeCell ref="H10:I10"/>
    <mergeCell ref="U10:V10"/>
    <mergeCell ref="U6:V6"/>
    <mergeCell ref="C12:D12"/>
    <mergeCell ref="H12:J12"/>
    <mergeCell ref="U12:V12"/>
    <mergeCell ref="C14:D14"/>
    <mergeCell ref="H14:J14"/>
    <mergeCell ref="U14:V14"/>
    <mergeCell ref="C16:D16"/>
    <mergeCell ref="H16:J16"/>
    <mergeCell ref="U16:V16"/>
    <mergeCell ref="C18:D18"/>
    <mergeCell ref="H18:J18"/>
    <mergeCell ref="U18:V18"/>
    <mergeCell ref="C20:E20"/>
    <mergeCell ref="H20:J20"/>
    <mergeCell ref="U20:V20"/>
    <mergeCell ref="C22:D22"/>
    <mergeCell ref="H22:J22"/>
    <mergeCell ref="U22:V22"/>
    <mergeCell ref="C24:D24"/>
    <mergeCell ref="H24:J24"/>
    <mergeCell ref="U24:V24"/>
    <mergeCell ref="C26:D26"/>
    <mergeCell ref="H26:K26"/>
    <mergeCell ref="U26:V26"/>
    <mergeCell ref="C28:D28"/>
    <mergeCell ref="H28:N28"/>
    <mergeCell ref="U28:V28"/>
    <mergeCell ref="C30:D30"/>
    <mergeCell ref="H30:N30"/>
    <mergeCell ref="U30:V30"/>
    <mergeCell ref="C32:D32"/>
    <mergeCell ref="H32:P32"/>
    <mergeCell ref="U32:V32"/>
    <mergeCell ref="C34:D34"/>
    <mergeCell ref="H34:M34"/>
    <mergeCell ref="U34:V34"/>
    <mergeCell ref="C36:D36"/>
    <mergeCell ref="H36:K36"/>
    <mergeCell ref="U36:V36"/>
    <mergeCell ref="C38:D38"/>
    <mergeCell ref="H38:I38"/>
    <mergeCell ref="U38:V38"/>
    <mergeCell ref="C40:D40"/>
    <mergeCell ref="H40:I40"/>
    <mergeCell ref="U40:V40"/>
    <mergeCell ref="C42:D42"/>
    <mergeCell ref="H42:K42"/>
    <mergeCell ref="U42:V42"/>
    <mergeCell ref="C44:D44"/>
    <mergeCell ref="H44:N44"/>
    <mergeCell ref="U44:V44"/>
    <mergeCell ref="C46:D46"/>
    <mergeCell ref="H46:N46"/>
    <mergeCell ref="U46:V46"/>
    <mergeCell ref="C48:D48"/>
    <mergeCell ref="H48:L48"/>
    <mergeCell ref="U48:V48"/>
    <mergeCell ref="C50:D50"/>
    <mergeCell ref="H50:L50"/>
    <mergeCell ref="U50:V50"/>
    <mergeCell ref="C52:D52"/>
    <mergeCell ref="H52:N52"/>
    <mergeCell ref="U52:V52"/>
    <mergeCell ref="C54:D54"/>
    <mergeCell ref="H54:L54"/>
    <mergeCell ref="U54:V54"/>
    <mergeCell ref="C56:D56"/>
    <mergeCell ref="H56:L56"/>
    <mergeCell ref="U56:V56"/>
    <mergeCell ref="C58:D58"/>
    <mergeCell ref="H58:N58"/>
    <mergeCell ref="U58:V58"/>
    <mergeCell ref="C60:D60"/>
    <mergeCell ref="H60:K60"/>
    <mergeCell ref="U60:V60"/>
    <mergeCell ref="C62:D62"/>
    <mergeCell ref="H62:K62"/>
    <mergeCell ref="U62:V62"/>
    <mergeCell ref="C64:D64"/>
    <mergeCell ref="H64:L64"/>
    <mergeCell ref="U64:V64"/>
    <mergeCell ref="C66:E66"/>
    <mergeCell ref="H66:L66"/>
    <mergeCell ref="U66:V66"/>
    <mergeCell ref="C68:D68"/>
    <mergeCell ref="H68:M68"/>
    <mergeCell ref="U68:V68"/>
    <mergeCell ref="C70:D70"/>
    <mergeCell ref="H70:M70"/>
    <mergeCell ref="U70:V70"/>
    <mergeCell ref="C72:D72"/>
    <mergeCell ref="H72:O72"/>
    <mergeCell ref="U72:V72"/>
    <mergeCell ref="C74:D74"/>
    <mergeCell ref="H74:L74"/>
    <mergeCell ref="U74:V74"/>
    <mergeCell ref="C76:D76"/>
    <mergeCell ref="H76:O76"/>
    <mergeCell ref="U76:V76"/>
    <mergeCell ref="C78:D78"/>
    <mergeCell ref="H78:Q78"/>
    <mergeCell ref="U78:V78"/>
    <mergeCell ref="C80:D80"/>
    <mergeCell ref="H80:Q80"/>
    <mergeCell ref="U80:V80"/>
    <mergeCell ref="C82:D82"/>
    <mergeCell ref="H82:M82"/>
    <mergeCell ref="U82:V82"/>
    <mergeCell ref="C84:E84"/>
    <mergeCell ref="H84:N84"/>
    <mergeCell ref="U84:V84"/>
    <mergeCell ref="C86:D86"/>
    <mergeCell ref="H86:M86"/>
    <mergeCell ref="U86:V86"/>
    <mergeCell ref="C88:D88"/>
    <mergeCell ref="H88:O88"/>
    <mergeCell ref="U88:V88"/>
    <mergeCell ref="C90:D90"/>
    <mergeCell ref="H90:I90"/>
    <mergeCell ref="U90:V90"/>
    <mergeCell ref="C92:D92"/>
    <mergeCell ref="H92:I92"/>
    <mergeCell ref="U92:V92"/>
    <mergeCell ref="C94:D94"/>
    <mergeCell ref="H94:K94"/>
    <mergeCell ref="U94:V94"/>
    <mergeCell ref="I102:R102"/>
    <mergeCell ref="J104:Q104"/>
    <mergeCell ref="X104:Z104"/>
    <mergeCell ref="C96:D96"/>
    <mergeCell ref="H96:I96"/>
    <mergeCell ref="U96:V96"/>
    <mergeCell ref="C98:D98"/>
    <mergeCell ref="H98:I98"/>
    <mergeCell ref="U98:V98"/>
    <mergeCell ref="C100:D100"/>
    <mergeCell ref="H100:K100"/>
    <mergeCell ref="U100:V10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12.7109375" customWidth="1"/>
    <col min="4" max="4" width="3.28515625" customWidth="1"/>
    <col min="5" max="5" width="3.85546875" customWidth="1"/>
    <col min="6" max="6" width="3" customWidth="1"/>
    <col min="7" max="7" width="3.5703125" customWidth="1"/>
    <col min="8" max="8" width="4.5703125" customWidth="1"/>
    <col min="9" max="9" width="6.28515625" customWidth="1"/>
    <col min="10" max="10" width="0.140625" customWidth="1"/>
    <col min="11" max="11" width="3.7109375" customWidth="1"/>
    <col min="12" max="12" width="4" customWidth="1"/>
    <col min="13" max="13" width="5.28515625" customWidth="1"/>
    <col min="14" max="14" width="4.140625" customWidth="1"/>
    <col min="15" max="15" width="2" customWidth="1"/>
    <col min="16" max="16" width="0.5703125" customWidth="1"/>
    <col min="17" max="17" width="0.42578125" customWidth="1"/>
    <col min="18" max="18" width="1.140625" customWidth="1"/>
    <col min="19" max="19" width="1.42578125" customWidth="1"/>
    <col min="20" max="20" width="1" customWidth="1"/>
    <col min="21" max="21" width="0.28515625" customWidth="1"/>
    <col min="22" max="23" width="0.5703125" customWidth="1"/>
    <col min="24" max="24" width="0.85546875" customWidth="1"/>
    <col min="25" max="25" width="0.42578125" customWidth="1"/>
    <col min="26" max="26" width="2.5703125" customWidth="1"/>
    <col min="27" max="28" width="0.7109375" customWidth="1"/>
    <col min="29" max="29" width="2.42578125" customWidth="1"/>
    <col min="30" max="30" width="1.42578125" customWidth="1"/>
    <col min="31" max="31" width="0.85546875" customWidth="1"/>
    <col min="32" max="33" width="0.7109375" customWidth="1"/>
    <col min="34" max="34" width="4.85546875" customWidth="1"/>
    <col min="35" max="35" width="13.140625" customWidth="1"/>
    <col min="36" max="36" width="6.140625" customWidth="1"/>
    <col min="37" max="37" width="13.140625" customWidth="1"/>
    <col min="38" max="38" width="3.140625" customWidth="1"/>
    <col min="39" max="39" width="2.85546875" customWidth="1"/>
    <col min="40" max="40" width="0.42578125" customWidth="1"/>
    <col min="41" max="41" width="3.28515625" customWidth="1"/>
    <col min="42" max="42" width="0.42578125" customWidth="1"/>
    <col min="43" max="43" width="2.42578125" customWidth="1"/>
    <col min="44" max="45" width="1.28515625" customWidth="1"/>
    <col min="46" max="46" width="6.140625" customWidth="1"/>
    <col min="47" max="47" width="1" customWidth="1"/>
    <col min="48" max="48" width="3.85546875" customWidth="1"/>
  </cols>
  <sheetData>
    <row r="1" spans="1:48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"/>
      <c r="AO1" s="1"/>
      <c r="AP1" s="1"/>
      <c r="AQ1" s="1"/>
      <c r="AR1" s="1"/>
      <c r="AS1" s="1"/>
      <c r="AT1" s="1"/>
      <c r="AU1" s="1"/>
      <c r="AV1" s="1"/>
    </row>
    <row r="2" spans="1:48" ht="1.7" customHeight="1">
      <c r="A2" s="3"/>
      <c r="B2" s="19" t="s">
        <v>0</v>
      </c>
      <c r="C2" s="10"/>
      <c r="D2" s="10"/>
      <c r="E2" s="10"/>
      <c r="F2" s="10"/>
      <c r="G2" s="10"/>
      <c r="H2" s="10"/>
      <c r="I2" s="11"/>
      <c r="J2" s="19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19" t="s">
        <v>2</v>
      </c>
      <c r="AM2" s="11"/>
      <c r="AN2" s="4"/>
      <c r="AO2" s="1"/>
      <c r="AP2" s="1"/>
      <c r="AQ2" s="1"/>
      <c r="AR2" s="1"/>
      <c r="AS2" s="1"/>
      <c r="AT2" s="1"/>
      <c r="AU2" s="1"/>
      <c r="AV2" s="1"/>
    </row>
    <row r="3" spans="1:48" ht="11.25" customHeight="1">
      <c r="A3" s="3"/>
      <c r="B3" s="12"/>
      <c r="C3" s="13"/>
      <c r="D3" s="13"/>
      <c r="E3" s="13"/>
      <c r="F3" s="13"/>
      <c r="G3" s="13"/>
      <c r="H3" s="13"/>
      <c r="I3" s="14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4"/>
      <c r="AL3" s="12"/>
      <c r="AM3" s="14"/>
      <c r="AN3" s="4"/>
      <c r="AO3" s="1"/>
      <c r="AP3" s="8" t="s">
        <v>3</v>
      </c>
      <c r="AQ3" s="18"/>
      <c r="AR3" s="18"/>
      <c r="AS3" s="18"/>
      <c r="AT3" s="18"/>
      <c r="AU3" s="18"/>
      <c r="AV3" s="1"/>
    </row>
    <row r="4" spans="1:48" ht="5.0999999999999996" customHeight="1">
      <c r="A4" s="3"/>
      <c r="B4" s="15"/>
      <c r="C4" s="16"/>
      <c r="D4" s="16"/>
      <c r="E4" s="16"/>
      <c r="F4" s="16"/>
      <c r="G4" s="16"/>
      <c r="H4" s="16"/>
      <c r="I4" s="17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7"/>
      <c r="AL4" s="15"/>
      <c r="AM4" s="17"/>
      <c r="AN4" s="4"/>
      <c r="AO4" s="1"/>
      <c r="AP4" s="1"/>
      <c r="AQ4" s="1"/>
      <c r="AR4" s="1"/>
      <c r="AS4" s="1"/>
      <c r="AT4" s="1"/>
      <c r="AU4" s="1"/>
      <c r="AV4" s="1"/>
    </row>
    <row r="5" spans="1:48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1"/>
      <c r="AO5" s="1"/>
      <c r="AP5" s="1"/>
      <c r="AQ5" s="1"/>
      <c r="AR5" s="1"/>
      <c r="AS5" s="1"/>
      <c r="AT5" s="1"/>
      <c r="AU5" s="1"/>
      <c r="AV5" s="1"/>
    </row>
    <row r="6" spans="1:48" ht="11.25" customHeight="1">
      <c r="A6" s="1"/>
      <c r="B6" s="1"/>
      <c r="C6" s="1" t="s">
        <v>2232</v>
      </c>
      <c r="D6" s="1"/>
      <c r="E6" s="1"/>
      <c r="F6" s="1"/>
      <c r="G6" s="1"/>
      <c r="H6" s="1"/>
      <c r="I6" s="1"/>
      <c r="J6" s="1"/>
      <c r="K6" s="1" t="s">
        <v>2233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8" t="s">
        <v>26</v>
      </c>
      <c r="AN6" s="18"/>
      <c r="AO6" s="1"/>
      <c r="AP6" s="1"/>
      <c r="AQ6" s="1"/>
      <c r="AR6" s="1"/>
      <c r="AS6" s="8" t="s">
        <v>23</v>
      </c>
      <c r="AT6" s="18"/>
      <c r="AU6" s="1"/>
      <c r="AV6" s="1"/>
    </row>
    <row r="7" spans="1:48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11.25" customHeight="1">
      <c r="A8" s="1"/>
      <c r="B8" s="1"/>
      <c r="C8" s="8" t="s">
        <v>1419</v>
      </c>
      <c r="D8" s="18"/>
      <c r="E8" s="18"/>
      <c r="F8" s="1"/>
      <c r="G8" s="1"/>
      <c r="H8" s="1"/>
      <c r="I8" s="1"/>
      <c r="J8" s="1"/>
      <c r="K8" s="8" t="s">
        <v>1193</v>
      </c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8" t="s">
        <v>26</v>
      </c>
      <c r="AN8" s="18"/>
      <c r="AO8" s="1"/>
      <c r="AP8" s="1"/>
      <c r="AQ8" s="1"/>
      <c r="AR8" s="8" t="s">
        <v>1420</v>
      </c>
      <c r="AS8" s="18"/>
      <c r="AT8" s="18"/>
      <c r="AU8" s="1"/>
      <c r="AV8" s="1"/>
    </row>
    <row r="9" spans="1:48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11.25" customHeight="1">
      <c r="A10" s="1"/>
      <c r="B10" s="1"/>
      <c r="C10" s="8" t="s">
        <v>1421</v>
      </c>
      <c r="D10" s="18"/>
      <c r="E10" s="18"/>
      <c r="F10" s="1"/>
      <c r="G10" s="1"/>
      <c r="H10" s="1"/>
      <c r="I10" s="1"/>
      <c r="J10" s="1"/>
      <c r="K10" s="8" t="s">
        <v>1199</v>
      </c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8" t="s">
        <v>26</v>
      </c>
      <c r="AN10" s="18"/>
      <c r="AO10" s="1"/>
      <c r="AP10" s="1"/>
      <c r="AQ10" s="1"/>
      <c r="AR10" s="8" t="s">
        <v>1422</v>
      </c>
      <c r="AS10" s="18"/>
      <c r="AT10" s="18"/>
      <c r="AU10" s="1"/>
      <c r="AV10" s="1"/>
    </row>
    <row r="11" spans="1:48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ht="11.25" customHeight="1">
      <c r="A12" s="1"/>
      <c r="B12" s="1"/>
      <c r="C12" s="8" t="s">
        <v>1423</v>
      </c>
      <c r="D12" s="18"/>
      <c r="E12" s="18"/>
      <c r="F12" s="1"/>
      <c r="G12" s="1"/>
      <c r="H12" s="1"/>
      <c r="I12" s="1"/>
      <c r="J12" s="1"/>
      <c r="K12" s="8" t="s">
        <v>1199</v>
      </c>
      <c r="L12" s="1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8" t="s">
        <v>26</v>
      </c>
      <c r="AN12" s="18"/>
      <c r="AO12" s="1"/>
      <c r="AP12" s="1"/>
      <c r="AQ12" s="1"/>
      <c r="AR12" s="8" t="s">
        <v>1424</v>
      </c>
      <c r="AS12" s="18"/>
      <c r="AT12" s="18"/>
      <c r="AU12" s="1"/>
      <c r="AV12" s="1"/>
    </row>
    <row r="13" spans="1:48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t="11.25" customHeight="1">
      <c r="A14" s="1"/>
      <c r="B14" s="1"/>
      <c r="C14" s="8" t="s">
        <v>1425</v>
      </c>
      <c r="D14" s="18"/>
      <c r="E14" s="18"/>
      <c r="F14" s="1"/>
      <c r="G14" s="1"/>
      <c r="H14" s="1"/>
      <c r="I14" s="1"/>
      <c r="J14" s="1"/>
      <c r="K14" s="8" t="s">
        <v>1426</v>
      </c>
      <c r="L14" s="18"/>
      <c r="M14" s="18"/>
      <c r="N14" s="18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8" t="s">
        <v>26</v>
      </c>
      <c r="AN14" s="18"/>
      <c r="AO14" s="1"/>
      <c r="AP14" s="1"/>
      <c r="AQ14" s="1"/>
      <c r="AR14" s="1"/>
      <c r="AS14" s="8" t="s">
        <v>414</v>
      </c>
      <c r="AT14" s="18"/>
      <c r="AU14" s="1"/>
      <c r="AV14" s="1"/>
    </row>
    <row r="15" spans="1:48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t="11.25" customHeight="1">
      <c r="A16" s="1"/>
      <c r="B16" s="1"/>
      <c r="C16" s="8" t="s">
        <v>1427</v>
      </c>
      <c r="D16" s="18"/>
      <c r="E16" s="18"/>
      <c r="F16" s="1"/>
      <c r="G16" s="1"/>
      <c r="H16" s="1"/>
      <c r="I16" s="1"/>
      <c r="J16" s="1"/>
      <c r="K16" s="8" t="s">
        <v>1428</v>
      </c>
      <c r="L16" s="18"/>
      <c r="M16" s="18"/>
      <c r="N16" s="1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8" t="s">
        <v>26</v>
      </c>
      <c r="AN16" s="18"/>
      <c r="AO16" s="1"/>
      <c r="AP16" s="1"/>
      <c r="AQ16" s="1"/>
      <c r="AR16" s="8" t="s">
        <v>1429</v>
      </c>
      <c r="AS16" s="18"/>
      <c r="AT16" s="18"/>
      <c r="AU16" s="1"/>
      <c r="AV16" s="1"/>
    </row>
    <row r="17" spans="1:48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ht="11.25" customHeight="1">
      <c r="A18" s="1"/>
      <c r="B18" s="1"/>
      <c r="C18" s="8" t="s">
        <v>1430</v>
      </c>
      <c r="D18" s="18"/>
      <c r="E18" s="18"/>
      <c r="F18" s="18"/>
      <c r="G18" s="1"/>
      <c r="H18" s="1"/>
      <c r="I18" s="1"/>
      <c r="J18" s="1"/>
      <c r="K18" s="8" t="s">
        <v>1431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8" t="s">
        <v>26</v>
      </c>
      <c r="AN18" s="18"/>
      <c r="AO18" s="1"/>
      <c r="AP18" s="1"/>
      <c r="AQ18" s="1"/>
      <c r="AR18" s="8" t="s">
        <v>1429</v>
      </c>
      <c r="AS18" s="18"/>
      <c r="AT18" s="18"/>
      <c r="AU18" s="1"/>
      <c r="AV18" s="1"/>
    </row>
    <row r="19" spans="1:48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1.25" customHeight="1">
      <c r="A20" s="1"/>
      <c r="B20" s="1"/>
      <c r="C20" s="8" t="s">
        <v>1432</v>
      </c>
      <c r="D20" s="18"/>
      <c r="E20" s="18"/>
      <c r="F20" s="1"/>
      <c r="G20" s="1"/>
      <c r="H20" s="1"/>
      <c r="I20" s="1"/>
      <c r="J20" s="1"/>
      <c r="K20" s="8" t="s">
        <v>1428</v>
      </c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8" t="s">
        <v>26</v>
      </c>
      <c r="AN20" s="18"/>
      <c r="AO20" s="1"/>
      <c r="AP20" s="1"/>
      <c r="AQ20" s="1"/>
      <c r="AR20" s="8" t="s">
        <v>102</v>
      </c>
      <c r="AS20" s="18"/>
      <c r="AT20" s="18"/>
      <c r="AU20" s="1"/>
      <c r="AV20" s="1"/>
    </row>
    <row r="21" spans="1:48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1.25" customHeight="1">
      <c r="A22" s="1"/>
      <c r="B22" s="1"/>
      <c r="C22" s="8" t="s">
        <v>1433</v>
      </c>
      <c r="D22" s="18"/>
      <c r="E22" s="18"/>
      <c r="F22" s="1"/>
      <c r="G22" s="1"/>
      <c r="H22" s="1"/>
      <c r="I22" s="1"/>
      <c r="J22" s="1"/>
      <c r="K22" s="8" t="s">
        <v>1434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8" t="s">
        <v>26</v>
      </c>
      <c r="AN22" s="18"/>
      <c r="AO22" s="1"/>
      <c r="AP22" s="1"/>
      <c r="AQ22" s="1"/>
      <c r="AR22" s="8" t="s">
        <v>1435</v>
      </c>
      <c r="AS22" s="18"/>
      <c r="AT22" s="18"/>
      <c r="AU22" s="1"/>
      <c r="AV22" s="1"/>
    </row>
    <row r="23" spans="1:48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11.25" customHeight="1">
      <c r="A24" s="1"/>
      <c r="B24" s="1"/>
      <c r="C24" s="8" t="s">
        <v>1436</v>
      </c>
      <c r="D24" s="18"/>
      <c r="E24" s="18"/>
      <c r="F24" s="1"/>
      <c r="G24" s="1"/>
      <c r="H24" s="1"/>
      <c r="I24" s="1"/>
      <c r="J24" s="1"/>
      <c r="K24" s="8" t="s">
        <v>1437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8" t="s">
        <v>26</v>
      </c>
      <c r="AN24" s="18"/>
      <c r="AO24" s="1"/>
      <c r="AP24" s="1"/>
      <c r="AQ24" s="1"/>
      <c r="AR24" s="1"/>
      <c r="AS24" s="8" t="s">
        <v>496</v>
      </c>
      <c r="AT24" s="18"/>
      <c r="AU24" s="1"/>
      <c r="AV24" s="1"/>
    </row>
    <row r="25" spans="1:48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1.25" customHeight="1">
      <c r="A26" s="1"/>
      <c r="B26" s="1"/>
      <c r="C26" s="8" t="s">
        <v>1438</v>
      </c>
      <c r="D26" s="18"/>
      <c r="E26" s="18"/>
      <c r="F26" s="18"/>
      <c r="G26" s="1"/>
      <c r="H26" s="1"/>
      <c r="I26" s="1"/>
      <c r="J26" s="1"/>
      <c r="K26" s="8" t="s">
        <v>1439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"/>
      <c r="AH26" s="1"/>
      <c r="AI26" s="1"/>
      <c r="AJ26" s="1"/>
      <c r="AK26" s="1"/>
      <c r="AL26" s="1"/>
      <c r="AM26" s="8" t="s">
        <v>26</v>
      </c>
      <c r="AN26" s="18"/>
      <c r="AO26" s="1"/>
      <c r="AP26" s="1"/>
      <c r="AQ26" s="1"/>
      <c r="AR26" s="1"/>
      <c r="AS26" s="8" t="s">
        <v>496</v>
      </c>
      <c r="AT26" s="18"/>
      <c r="AU26" s="1"/>
      <c r="AV26" s="1"/>
    </row>
    <row r="27" spans="1:48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1.25" customHeight="1">
      <c r="A28" s="1"/>
      <c r="B28" s="1"/>
      <c r="C28" s="8" t="s">
        <v>1440</v>
      </c>
      <c r="D28" s="18"/>
      <c r="E28" s="18"/>
      <c r="F28" s="1"/>
      <c r="G28" s="1"/>
      <c r="H28" s="1"/>
      <c r="I28" s="1"/>
      <c r="J28" s="1"/>
      <c r="K28" s="8" t="s">
        <v>1437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8" t="s">
        <v>26</v>
      </c>
      <c r="AN28" s="18"/>
      <c r="AO28" s="1"/>
      <c r="AP28" s="1"/>
      <c r="AQ28" s="1"/>
      <c r="AR28" s="1"/>
      <c r="AS28" s="8" t="s">
        <v>604</v>
      </c>
      <c r="AT28" s="18"/>
      <c r="AU28" s="1"/>
      <c r="AV28" s="1"/>
    </row>
    <row r="29" spans="1:48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1.25" customHeight="1">
      <c r="A30" s="1"/>
      <c r="B30" s="1"/>
      <c r="C30" s="8" t="s">
        <v>1441</v>
      </c>
      <c r="D30" s="18"/>
      <c r="E30" s="18"/>
      <c r="F30" s="1"/>
      <c r="G30" s="1"/>
      <c r="H30" s="1"/>
      <c r="I30" s="1"/>
      <c r="J30" s="1"/>
      <c r="K30" s="8" t="s">
        <v>1442</v>
      </c>
      <c r="L30" s="18"/>
      <c r="M30" s="18"/>
      <c r="N30" s="1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8" t="s">
        <v>26</v>
      </c>
      <c r="AN30" s="18"/>
      <c r="AO30" s="1"/>
      <c r="AP30" s="1"/>
      <c r="AQ30" s="1"/>
      <c r="AR30" s="1"/>
      <c r="AS30" s="8" t="s">
        <v>166</v>
      </c>
      <c r="AT30" s="18"/>
      <c r="AU30" s="1"/>
      <c r="AV30" s="1"/>
    </row>
    <row r="31" spans="1:48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t="11.25" customHeight="1">
      <c r="A32" s="1"/>
      <c r="B32" s="1"/>
      <c r="C32" s="8" t="s">
        <v>1443</v>
      </c>
      <c r="D32" s="18"/>
      <c r="E32" s="18"/>
      <c r="F32" s="18"/>
      <c r="G32" s="1"/>
      <c r="H32" s="1"/>
      <c r="I32" s="1"/>
      <c r="J32" s="1"/>
      <c r="K32" s="8" t="s">
        <v>1444</v>
      </c>
      <c r="L32" s="18"/>
      <c r="M32" s="18"/>
      <c r="N32" s="18"/>
      <c r="O32" s="18"/>
      <c r="P32" s="18"/>
      <c r="Q32" s="18"/>
      <c r="R32" s="18"/>
      <c r="S32" s="18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8" t="s">
        <v>26</v>
      </c>
      <c r="AN32" s="18"/>
      <c r="AO32" s="1"/>
      <c r="AP32" s="1"/>
      <c r="AQ32" s="1"/>
      <c r="AR32" s="1"/>
      <c r="AS32" s="8" t="s">
        <v>166</v>
      </c>
      <c r="AT32" s="18"/>
      <c r="AU32" s="1"/>
      <c r="AV32" s="1"/>
    </row>
    <row r="33" spans="1:48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ht="11.25" customHeight="1">
      <c r="A34" s="1"/>
      <c r="B34" s="1"/>
      <c r="C34" s="8" t="s">
        <v>1445</v>
      </c>
      <c r="D34" s="18"/>
      <c r="E34" s="18"/>
      <c r="F34" s="1"/>
      <c r="G34" s="1"/>
      <c r="H34" s="1"/>
      <c r="I34" s="1"/>
      <c r="J34" s="1"/>
      <c r="K34" s="8" t="s">
        <v>1442</v>
      </c>
      <c r="L34" s="18"/>
      <c r="M34" s="18"/>
      <c r="N34" s="1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8" t="s">
        <v>26</v>
      </c>
      <c r="AN34" s="18"/>
      <c r="AO34" s="1"/>
      <c r="AP34" s="1"/>
      <c r="AQ34" s="1"/>
      <c r="AR34" s="1"/>
      <c r="AS34" s="8" t="s">
        <v>1194</v>
      </c>
      <c r="AT34" s="18"/>
      <c r="AU34" s="1"/>
      <c r="AV34" s="1"/>
    </row>
    <row r="35" spans="1:48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t="11.25" customHeight="1">
      <c r="A36" s="1"/>
      <c r="B36" s="1"/>
      <c r="C36" s="8" t="s">
        <v>1446</v>
      </c>
      <c r="D36" s="18"/>
      <c r="E36" s="18"/>
      <c r="F36" s="1"/>
      <c r="G36" s="1"/>
      <c r="H36" s="1"/>
      <c r="I36" s="1"/>
      <c r="J36" s="1"/>
      <c r="K36" s="8" t="s">
        <v>1447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8" t="s">
        <v>26</v>
      </c>
      <c r="AN36" s="18"/>
      <c r="AO36" s="1"/>
      <c r="AP36" s="1"/>
      <c r="AQ36" s="1"/>
      <c r="AR36" s="1"/>
      <c r="AS36" s="8" t="s">
        <v>964</v>
      </c>
      <c r="AT36" s="18"/>
      <c r="AU36" s="1"/>
      <c r="AV36" s="1"/>
    </row>
    <row r="37" spans="1:48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ht="11.25" customHeight="1">
      <c r="A38" s="1"/>
      <c r="B38" s="1"/>
      <c r="C38" s="8" t="s">
        <v>1448</v>
      </c>
      <c r="D38" s="18"/>
      <c r="E38" s="18"/>
      <c r="F38" s="1"/>
      <c r="G38" s="1"/>
      <c r="H38" s="1"/>
      <c r="I38" s="1"/>
      <c r="J38" s="1"/>
      <c r="K38" s="8" t="s">
        <v>1449</v>
      </c>
      <c r="L38" s="18"/>
      <c r="M38" s="18"/>
      <c r="N38" s="18"/>
      <c r="O38" s="18"/>
      <c r="P38" s="18"/>
      <c r="Q38" s="18"/>
      <c r="R38" s="18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8" t="s">
        <v>26</v>
      </c>
      <c r="AN38" s="18"/>
      <c r="AO38" s="1"/>
      <c r="AP38" s="1"/>
      <c r="AQ38" s="1"/>
      <c r="AR38" s="8" t="s">
        <v>1450</v>
      </c>
      <c r="AS38" s="18"/>
      <c r="AT38" s="18"/>
      <c r="AU38" s="1"/>
      <c r="AV38" s="1"/>
    </row>
    <row r="39" spans="1:48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11.25" customHeight="1">
      <c r="A40" s="1"/>
      <c r="B40" s="1"/>
      <c r="C40" s="8" t="s">
        <v>1451</v>
      </c>
      <c r="D40" s="18"/>
      <c r="E40" s="18"/>
      <c r="F40" s="1"/>
      <c r="G40" s="1"/>
      <c r="H40" s="1"/>
      <c r="I40" s="1"/>
      <c r="J40" s="1"/>
      <c r="K40" s="8" t="s">
        <v>1452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8" t="s">
        <v>26</v>
      </c>
      <c r="AN40" s="18"/>
      <c r="AO40" s="1"/>
      <c r="AP40" s="1"/>
      <c r="AQ40" s="1"/>
      <c r="AR40" s="1"/>
      <c r="AS40" s="8" t="s">
        <v>637</v>
      </c>
      <c r="AT40" s="18"/>
      <c r="AU40" s="1"/>
      <c r="AV40" s="1"/>
    </row>
    <row r="41" spans="1:48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t="11.25" customHeight="1">
      <c r="A42" s="1"/>
      <c r="B42" s="1"/>
      <c r="C42" s="8" t="s">
        <v>1453</v>
      </c>
      <c r="D42" s="18"/>
      <c r="E42" s="18"/>
      <c r="F42" s="1"/>
      <c r="G42" s="1"/>
      <c r="H42" s="1"/>
      <c r="I42" s="1"/>
      <c r="J42" s="1"/>
      <c r="K42" s="8" t="s">
        <v>1452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8" t="s">
        <v>26</v>
      </c>
      <c r="AN42" s="18"/>
      <c r="AO42" s="1"/>
      <c r="AP42" s="1"/>
      <c r="AQ42" s="1"/>
      <c r="AR42" s="1"/>
      <c r="AS42" s="8" t="s">
        <v>540</v>
      </c>
      <c r="AT42" s="18"/>
      <c r="AU42" s="1"/>
      <c r="AV42" s="1"/>
    </row>
    <row r="43" spans="1:48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ht="11.25" customHeight="1">
      <c r="A44" s="1"/>
      <c r="B44" s="1"/>
      <c r="C44" s="8" t="s">
        <v>1454</v>
      </c>
      <c r="D44" s="18"/>
      <c r="E44" s="18"/>
      <c r="F44" s="18"/>
      <c r="G44" s="1"/>
      <c r="H44" s="1"/>
      <c r="I44" s="1"/>
      <c r="J44" s="1"/>
      <c r="K44" s="8" t="s">
        <v>1455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8" t="s">
        <v>26</v>
      </c>
      <c r="AN44" s="18"/>
      <c r="AO44" s="1"/>
      <c r="AP44" s="1"/>
      <c r="AQ44" s="1"/>
      <c r="AR44" s="1"/>
      <c r="AS44" s="8" t="s">
        <v>540</v>
      </c>
      <c r="AT44" s="18"/>
      <c r="AU44" s="1"/>
      <c r="AV44" s="1"/>
    </row>
    <row r="45" spans="1:48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ht="11.25" customHeight="1">
      <c r="A46" s="1"/>
      <c r="B46" s="1"/>
      <c r="C46" s="8" t="s">
        <v>1456</v>
      </c>
      <c r="D46" s="18"/>
      <c r="E46" s="18"/>
      <c r="F46" s="1"/>
      <c r="G46" s="1"/>
      <c r="H46" s="1"/>
      <c r="I46" s="1"/>
      <c r="J46" s="1"/>
      <c r="K46" s="8" t="s">
        <v>1457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"/>
      <c r="AE46" s="1"/>
      <c r="AF46" s="1"/>
      <c r="AG46" s="1"/>
      <c r="AH46" s="1"/>
      <c r="AI46" s="1"/>
      <c r="AJ46" s="1"/>
      <c r="AK46" s="1"/>
      <c r="AL46" s="1"/>
      <c r="AM46" s="8" t="s">
        <v>26</v>
      </c>
      <c r="AN46" s="18"/>
      <c r="AO46" s="1"/>
      <c r="AP46" s="1"/>
      <c r="AQ46" s="1"/>
      <c r="AR46" s="1"/>
      <c r="AS46" s="8" t="s">
        <v>364</v>
      </c>
      <c r="AT46" s="18"/>
      <c r="AU46" s="1"/>
      <c r="AV46" s="1"/>
    </row>
    <row r="47" spans="1:48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ht="11.25" customHeight="1">
      <c r="A48" s="1"/>
      <c r="B48" s="1"/>
      <c r="C48" s="8" t="s">
        <v>1458</v>
      </c>
      <c r="D48" s="18"/>
      <c r="E48" s="18"/>
      <c r="F48" s="18"/>
      <c r="G48" s="1"/>
      <c r="H48" s="1"/>
      <c r="I48" s="1"/>
      <c r="J48" s="1"/>
      <c r="K48" s="8" t="s">
        <v>1459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"/>
      <c r="AG48" s="1"/>
      <c r="AH48" s="1"/>
      <c r="AI48" s="1"/>
      <c r="AJ48" s="1"/>
      <c r="AK48" s="1"/>
      <c r="AL48" s="1"/>
      <c r="AM48" s="8" t="s">
        <v>26</v>
      </c>
      <c r="AN48" s="18"/>
      <c r="AO48" s="1"/>
      <c r="AP48" s="1"/>
      <c r="AQ48" s="1"/>
      <c r="AR48" s="1"/>
      <c r="AS48" s="8" t="s">
        <v>364</v>
      </c>
      <c r="AT48" s="18"/>
      <c r="AU48" s="1"/>
      <c r="AV48" s="1"/>
    </row>
    <row r="49" spans="1:48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t="11.25" customHeight="1">
      <c r="A50" s="1"/>
      <c r="B50" s="1"/>
      <c r="C50" s="8" t="s">
        <v>1460</v>
      </c>
      <c r="D50" s="18"/>
      <c r="E50" s="18"/>
      <c r="F50" s="1"/>
      <c r="G50" s="1"/>
      <c r="H50" s="1"/>
      <c r="I50" s="1"/>
      <c r="J50" s="1"/>
      <c r="K50" s="8" t="s">
        <v>1461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"/>
      <c r="AF50" s="1"/>
      <c r="AG50" s="1"/>
      <c r="AH50" s="1"/>
      <c r="AI50" s="1"/>
      <c r="AJ50" s="1"/>
      <c r="AK50" s="1"/>
      <c r="AL50" s="1"/>
      <c r="AM50" s="8" t="s">
        <v>26</v>
      </c>
      <c r="AN50" s="18"/>
      <c r="AO50" s="1"/>
      <c r="AP50" s="1"/>
      <c r="AQ50" s="1"/>
      <c r="AR50" s="1"/>
      <c r="AS50" s="8" t="s">
        <v>323</v>
      </c>
      <c r="AT50" s="18"/>
      <c r="AU50" s="1"/>
      <c r="AV50" s="1"/>
    </row>
    <row r="51" spans="1:48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ht="11.25" customHeight="1">
      <c r="A52" s="1"/>
      <c r="B52" s="1"/>
      <c r="C52" s="8" t="s">
        <v>1462</v>
      </c>
      <c r="D52" s="18"/>
      <c r="E52" s="18"/>
      <c r="F52" s="18"/>
      <c r="G52" s="18"/>
      <c r="H52" s="18"/>
      <c r="I52" s="1"/>
      <c r="J52" s="1"/>
      <c r="K52" s="8" t="s">
        <v>1461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"/>
      <c r="AF52" s="1"/>
      <c r="AG52" s="1"/>
      <c r="AH52" s="1"/>
      <c r="AI52" s="1"/>
      <c r="AJ52" s="1"/>
      <c r="AK52" s="1"/>
      <c r="AL52" s="1"/>
      <c r="AM52" s="8" t="s">
        <v>26</v>
      </c>
      <c r="AN52" s="18"/>
      <c r="AO52" s="1"/>
      <c r="AP52" s="1"/>
      <c r="AQ52" s="1"/>
      <c r="AR52" s="1"/>
      <c r="AS52" s="8" t="s">
        <v>528</v>
      </c>
      <c r="AT52" s="18"/>
      <c r="AU52" s="1"/>
      <c r="AV52" s="1"/>
    </row>
    <row r="53" spans="1:48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ht="11.25" customHeight="1">
      <c r="A54" s="1"/>
      <c r="B54" s="1"/>
      <c r="C54" s="8" t="s">
        <v>1463</v>
      </c>
      <c r="D54" s="18"/>
      <c r="E54" s="18"/>
      <c r="F54" s="1"/>
      <c r="G54" s="1"/>
      <c r="H54" s="1"/>
      <c r="I54" s="1"/>
      <c r="J54" s="1"/>
      <c r="K54" s="8" t="s">
        <v>1464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8" t="s">
        <v>26</v>
      </c>
      <c r="AN54" s="18"/>
      <c r="AO54" s="1"/>
      <c r="AP54" s="1"/>
      <c r="AQ54" s="1"/>
      <c r="AR54" s="1"/>
      <c r="AS54" s="8" t="s">
        <v>762</v>
      </c>
      <c r="AT54" s="18"/>
      <c r="AU54" s="1"/>
      <c r="AV54" s="1"/>
    </row>
    <row r="55" spans="1:48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ht="11.25" customHeight="1">
      <c r="A56" s="1"/>
      <c r="B56" s="1"/>
      <c r="C56" s="8" t="s">
        <v>1465</v>
      </c>
      <c r="D56" s="18"/>
      <c r="E56" s="18"/>
      <c r="F56" s="1"/>
      <c r="G56" s="1"/>
      <c r="H56" s="1"/>
      <c r="I56" s="1"/>
      <c r="J56" s="1"/>
      <c r="K56" s="8" t="s">
        <v>1464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8" t="s">
        <v>26</v>
      </c>
      <c r="AN56" s="18"/>
      <c r="AO56" s="1"/>
      <c r="AP56" s="1"/>
      <c r="AQ56" s="1"/>
      <c r="AR56" s="1"/>
      <c r="AS56" s="8" t="s">
        <v>398</v>
      </c>
      <c r="AT56" s="18"/>
      <c r="AU56" s="1"/>
      <c r="AV56" s="1"/>
    </row>
    <row r="57" spans="1:48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ht="11.25" customHeight="1">
      <c r="A58" s="1"/>
      <c r="B58" s="1"/>
      <c r="C58" s="8" t="s">
        <v>1466</v>
      </c>
      <c r="D58" s="18"/>
      <c r="E58" s="18"/>
      <c r="F58" s="18"/>
      <c r="G58" s="18"/>
      <c r="H58" s="1"/>
      <c r="I58" s="1"/>
      <c r="J58" s="1"/>
      <c r="K58" s="8" t="s">
        <v>1467</v>
      </c>
      <c r="L58" s="18"/>
      <c r="M58" s="18"/>
      <c r="N58" s="1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8" t="s">
        <v>26</v>
      </c>
      <c r="AN58" s="18"/>
      <c r="AO58" s="1"/>
      <c r="AP58" s="1"/>
      <c r="AQ58" s="1"/>
      <c r="AR58" s="1"/>
      <c r="AS58" s="8" t="s">
        <v>770</v>
      </c>
      <c r="AT58" s="18"/>
      <c r="AU58" s="1"/>
      <c r="AV58" s="1"/>
    </row>
    <row r="59" spans="1:48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ht="11.25" customHeight="1">
      <c r="A60" s="1"/>
      <c r="B60" s="1"/>
      <c r="C60" s="8" t="s">
        <v>1468</v>
      </c>
      <c r="D60" s="18"/>
      <c r="E60" s="18"/>
      <c r="F60" s="18"/>
      <c r="G60" s="1"/>
      <c r="H60" s="1"/>
      <c r="I60" s="1"/>
      <c r="J60" s="1"/>
      <c r="K60" s="8" t="s">
        <v>1467</v>
      </c>
      <c r="L60" s="18"/>
      <c r="M60" s="18"/>
      <c r="N60" s="1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8" t="s">
        <v>26</v>
      </c>
      <c r="AN60" s="18"/>
      <c r="AO60" s="1"/>
      <c r="AP60" s="1"/>
      <c r="AQ60" s="1"/>
      <c r="AR60" s="1"/>
      <c r="AS60" s="8" t="s">
        <v>770</v>
      </c>
      <c r="AT60" s="18"/>
      <c r="AU60" s="1"/>
      <c r="AV60" s="1"/>
    </row>
    <row r="61" spans="1:48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ht="11.25" customHeight="1">
      <c r="A62" s="1"/>
      <c r="B62" s="1"/>
      <c r="C62" s="8" t="s">
        <v>1469</v>
      </c>
      <c r="D62" s="18"/>
      <c r="E62" s="18"/>
      <c r="F62" s="1"/>
      <c r="G62" s="1"/>
      <c r="H62" s="1"/>
      <c r="I62" s="1"/>
      <c r="J62" s="1"/>
      <c r="K62" s="8" t="s">
        <v>1470</v>
      </c>
      <c r="L62" s="18"/>
      <c r="M62" s="18"/>
      <c r="N62" s="1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8" t="s">
        <v>26</v>
      </c>
      <c r="AN62" s="18"/>
      <c r="AO62" s="1"/>
      <c r="AP62" s="1"/>
      <c r="AQ62" s="1"/>
      <c r="AR62" s="1"/>
      <c r="AS62" s="1"/>
      <c r="AT62" s="5" t="s">
        <v>392</v>
      </c>
      <c r="AU62" s="1"/>
      <c r="AV62" s="1"/>
    </row>
    <row r="63" spans="1:48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ht="11.25" customHeight="1">
      <c r="A64" s="1"/>
      <c r="B64" s="1"/>
      <c r="C64" s="8" t="s">
        <v>1471</v>
      </c>
      <c r="D64" s="18"/>
      <c r="E64" s="18"/>
      <c r="F64" s="1"/>
      <c r="G64" s="1"/>
      <c r="H64" s="1"/>
      <c r="I64" s="1"/>
      <c r="J64" s="1"/>
      <c r="K64" s="8" t="s">
        <v>1470</v>
      </c>
      <c r="L64" s="18"/>
      <c r="M64" s="18"/>
      <c r="N64" s="1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8" t="s">
        <v>26</v>
      </c>
      <c r="AN64" s="18"/>
      <c r="AO64" s="1"/>
      <c r="AP64" s="1"/>
      <c r="AQ64" s="1"/>
      <c r="AR64" s="1"/>
      <c r="AS64" s="8" t="s">
        <v>389</v>
      </c>
      <c r="AT64" s="18"/>
      <c r="AU64" s="1"/>
      <c r="AV64" s="1"/>
    </row>
    <row r="65" spans="1:48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ht="11.25" customHeight="1">
      <c r="A66" s="1"/>
      <c r="B66" s="1"/>
      <c r="C66" s="8" t="s">
        <v>1472</v>
      </c>
      <c r="D66" s="18"/>
      <c r="E66" s="18"/>
      <c r="F66" s="1"/>
      <c r="G66" s="1"/>
      <c r="H66" s="1"/>
      <c r="I66" s="1"/>
      <c r="J66" s="1"/>
      <c r="K66" s="8" t="s">
        <v>1473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8" t="s">
        <v>26</v>
      </c>
      <c r="AN66" s="18"/>
      <c r="AO66" s="1"/>
      <c r="AP66" s="1"/>
      <c r="AQ66" s="1"/>
      <c r="AR66" s="1"/>
      <c r="AS66" s="1"/>
      <c r="AT66" s="5" t="s">
        <v>27</v>
      </c>
      <c r="AU66" s="1"/>
      <c r="AV66" s="1"/>
    </row>
    <row r="67" spans="1:48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ht="11.25" customHeight="1">
      <c r="A68" s="1"/>
      <c r="B68" s="1"/>
      <c r="C68" s="8" t="s">
        <v>1474</v>
      </c>
      <c r="D68" s="18"/>
      <c r="E68" s="18"/>
      <c r="F68" s="1"/>
      <c r="G68" s="1"/>
      <c r="H68" s="1"/>
      <c r="I68" s="1"/>
      <c r="J68" s="1"/>
      <c r="K68" s="8" t="s">
        <v>1475</v>
      </c>
      <c r="L68" s="18"/>
      <c r="M68" s="18"/>
      <c r="N68" s="18"/>
      <c r="O68" s="18"/>
      <c r="P68" s="18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8" t="s">
        <v>26</v>
      </c>
      <c r="AN68" s="18"/>
      <c r="AO68" s="1"/>
      <c r="AP68" s="1"/>
      <c r="AQ68" s="1"/>
      <c r="AR68" s="1"/>
      <c r="AS68" s="8" t="s">
        <v>790</v>
      </c>
      <c r="AT68" s="18"/>
      <c r="AU68" s="1"/>
      <c r="AV68" s="1"/>
    </row>
    <row r="69" spans="1:48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ht="11.25" customHeight="1">
      <c r="A70" s="1"/>
      <c r="B70" s="1"/>
      <c r="C70" s="8" t="s">
        <v>1476</v>
      </c>
      <c r="D70" s="18"/>
      <c r="E70" s="18"/>
      <c r="F70" s="1"/>
      <c r="G70" s="1"/>
      <c r="H70" s="1"/>
      <c r="I70" s="1"/>
      <c r="J70" s="1"/>
      <c r="K70" s="8" t="s">
        <v>1475</v>
      </c>
      <c r="L70" s="18"/>
      <c r="M70" s="18"/>
      <c r="N70" s="18"/>
      <c r="O70" s="18"/>
      <c r="P70" s="18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8" t="s">
        <v>26</v>
      </c>
      <c r="AN70" s="18"/>
      <c r="AO70" s="1"/>
      <c r="AP70" s="1"/>
      <c r="AQ70" s="1"/>
      <c r="AR70" s="1"/>
      <c r="AS70" s="8" t="s">
        <v>518</v>
      </c>
      <c r="AT70" s="18"/>
      <c r="AU70" s="1"/>
      <c r="AV70" s="1"/>
    </row>
    <row r="71" spans="1:48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ht="11.25" customHeight="1">
      <c r="A72" s="1"/>
      <c r="B72" s="1"/>
      <c r="C72" s="8" t="s">
        <v>1477</v>
      </c>
      <c r="D72" s="18"/>
      <c r="E72" s="18"/>
      <c r="F72" s="1"/>
      <c r="G72" s="1"/>
      <c r="H72" s="1"/>
      <c r="I72" s="1"/>
      <c r="J72" s="1"/>
      <c r="K72" s="8" t="s">
        <v>1478</v>
      </c>
      <c r="L72" s="18"/>
      <c r="M72" s="18"/>
      <c r="N72" s="18"/>
      <c r="O72" s="18"/>
      <c r="P72" s="18"/>
      <c r="Q72" s="18"/>
      <c r="R72" s="18"/>
      <c r="S72" s="18"/>
      <c r="T72" s="1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8" t="s">
        <v>26</v>
      </c>
      <c r="AN72" s="18"/>
      <c r="AO72" s="1"/>
      <c r="AP72" s="1"/>
      <c r="AQ72" s="1"/>
      <c r="AR72" s="1"/>
      <c r="AS72" s="8" t="s">
        <v>33</v>
      </c>
      <c r="AT72" s="18"/>
      <c r="AU72" s="1"/>
      <c r="AV72" s="1"/>
    </row>
    <row r="73" spans="1:48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ht="11.25" customHeight="1">
      <c r="A74" s="1"/>
      <c r="B74" s="1"/>
      <c r="C74" s="8" t="s">
        <v>1479</v>
      </c>
      <c r="D74" s="18"/>
      <c r="E74" s="18"/>
      <c r="F74" s="1"/>
      <c r="G74" s="1"/>
      <c r="H74" s="1"/>
      <c r="I74" s="1"/>
      <c r="J74" s="1"/>
      <c r="K74" s="8" t="s">
        <v>1480</v>
      </c>
      <c r="L74" s="18"/>
      <c r="M74" s="1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8" t="s">
        <v>26</v>
      </c>
      <c r="AN74" s="18"/>
      <c r="AO74" s="1"/>
      <c r="AP74" s="1"/>
      <c r="AQ74" s="1"/>
      <c r="AR74" s="1"/>
      <c r="AS74" s="8" t="s">
        <v>110</v>
      </c>
      <c r="AT74" s="18"/>
      <c r="AU74" s="1"/>
      <c r="AV74" s="1"/>
    </row>
    <row r="75" spans="1:48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ht="11.25" customHeight="1">
      <c r="A76" s="1"/>
      <c r="B76" s="1"/>
      <c r="C76" s="8" t="s">
        <v>1481</v>
      </c>
      <c r="D76" s="18"/>
      <c r="E76" s="18"/>
      <c r="F76" s="1"/>
      <c r="G76" s="1"/>
      <c r="H76" s="1"/>
      <c r="I76" s="1"/>
      <c r="J76" s="1"/>
      <c r="K76" s="8" t="s">
        <v>1482</v>
      </c>
      <c r="L76" s="18"/>
      <c r="M76" s="18"/>
      <c r="N76" s="1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8" t="s">
        <v>26</v>
      </c>
      <c r="AN76" s="18"/>
      <c r="AO76" s="1"/>
      <c r="AP76" s="1"/>
      <c r="AQ76" s="1"/>
      <c r="AR76" s="1"/>
      <c r="AS76" s="8" t="s">
        <v>192</v>
      </c>
      <c r="AT76" s="18"/>
      <c r="AU76" s="1"/>
      <c r="AV76" s="1"/>
    </row>
    <row r="77" spans="1:48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ht="11.25" customHeight="1">
      <c r="A78" s="1"/>
      <c r="B78" s="1"/>
      <c r="C78" s="8" t="s">
        <v>1483</v>
      </c>
      <c r="D78" s="18"/>
      <c r="E78" s="1"/>
      <c r="F78" s="1"/>
      <c r="G78" s="1"/>
      <c r="H78" s="1"/>
      <c r="I78" s="1"/>
      <c r="J78" s="1"/>
      <c r="K78" s="8" t="s">
        <v>1484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"/>
      <c r="AI78" s="1"/>
      <c r="AJ78" s="1"/>
      <c r="AK78" s="1"/>
      <c r="AL78" s="1"/>
      <c r="AM78" s="8" t="s">
        <v>26</v>
      </c>
      <c r="AN78" s="18"/>
      <c r="AO78" s="1"/>
      <c r="AP78" s="1"/>
      <c r="AQ78" s="1"/>
      <c r="AR78" s="1"/>
      <c r="AS78" s="8" t="s">
        <v>964</v>
      </c>
      <c r="AT78" s="18"/>
      <c r="AU78" s="1"/>
      <c r="AV78" s="1"/>
    </row>
    <row r="79" spans="1:48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ht="11.25" customHeight="1">
      <c r="A80" s="1"/>
      <c r="B80" s="1"/>
      <c r="C80" s="8" t="s">
        <v>1485</v>
      </c>
      <c r="D80" s="18"/>
      <c r="E80" s="18"/>
      <c r="F80" s="1"/>
      <c r="G80" s="1"/>
      <c r="H80" s="1"/>
      <c r="I80" s="1"/>
      <c r="J80" s="1"/>
      <c r="K80" s="8" t="s">
        <v>1486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8" t="s">
        <v>26</v>
      </c>
      <c r="AN80" s="18"/>
      <c r="AO80" s="1"/>
      <c r="AP80" s="1"/>
      <c r="AQ80" s="1"/>
      <c r="AR80" s="1"/>
      <c r="AS80" s="8" t="s">
        <v>528</v>
      </c>
      <c r="AT80" s="18"/>
      <c r="AU80" s="1"/>
      <c r="AV80" s="1"/>
    </row>
    <row r="81" spans="1:48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1.25" customHeight="1">
      <c r="A82" s="1"/>
      <c r="B82" s="1"/>
      <c r="C82" s="8" t="s">
        <v>1487</v>
      </c>
      <c r="D82" s="18"/>
      <c r="E82" s="18"/>
      <c r="F82" s="1"/>
      <c r="G82" s="1"/>
      <c r="H82" s="1"/>
      <c r="I82" s="1"/>
      <c r="J82" s="1"/>
      <c r="K82" s="8" t="s">
        <v>1488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"/>
      <c r="AJ82" s="1"/>
      <c r="AK82" s="1"/>
      <c r="AL82" s="1"/>
      <c r="AM82" s="8" t="s">
        <v>26</v>
      </c>
      <c r="AN82" s="18"/>
      <c r="AO82" s="1"/>
      <c r="AP82" s="1"/>
      <c r="AQ82" s="1"/>
      <c r="AR82" s="1"/>
      <c r="AS82" s="8" t="s">
        <v>521</v>
      </c>
      <c r="AT82" s="18"/>
      <c r="AU82" s="1"/>
      <c r="AV82" s="1"/>
    </row>
    <row r="83" spans="1:48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1.25" customHeight="1">
      <c r="A84" s="1"/>
      <c r="B84" s="1"/>
      <c r="C84" s="8" t="s">
        <v>1489</v>
      </c>
      <c r="D84" s="18"/>
      <c r="E84" s="18"/>
      <c r="F84" s="1"/>
      <c r="G84" s="1"/>
      <c r="H84" s="1"/>
      <c r="I84" s="1"/>
      <c r="J84" s="1"/>
      <c r="K84" s="8" t="s">
        <v>1490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8" t="s">
        <v>26</v>
      </c>
      <c r="AN84" s="18"/>
      <c r="AO84" s="1"/>
      <c r="AP84" s="1"/>
      <c r="AQ84" s="1"/>
      <c r="AR84" s="1"/>
      <c r="AS84" s="8" t="s">
        <v>540</v>
      </c>
      <c r="AT84" s="18"/>
      <c r="AU84" s="1"/>
      <c r="AV84" s="1"/>
    </row>
    <row r="85" spans="1:48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1.25" customHeight="1">
      <c r="A86" s="1"/>
      <c r="B86" s="1"/>
      <c r="C86" s="8" t="s">
        <v>1491</v>
      </c>
      <c r="D86" s="18"/>
      <c r="E86" s="18"/>
      <c r="F86" s="1"/>
      <c r="G86" s="1"/>
      <c r="H86" s="1"/>
      <c r="I86" s="1"/>
      <c r="J86" s="1"/>
      <c r="K86" s="8" t="s">
        <v>1490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8" t="s">
        <v>26</v>
      </c>
      <c r="AN86" s="18"/>
      <c r="AO86" s="1"/>
      <c r="AP86" s="1"/>
      <c r="AQ86" s="1"/>
      <c r="AR86" s="1"/>
      <c r="AS86" s="8" t="s">
        <v>1408</v>
      </c>
      <c r="AT86" s="18"/>
      <c r="AU86" s="1"/>
      <c r="AV86" s="1"/>
    </row>
    <row r="87" spans="1:48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1.25" customHeight="1">
      <c r="A88" s="1"/>
      <c r="B88" s="1"/>
      <c r="C88" s="8" t="s">
        <v>1492</v>
      </c>
      <c r="D88" s="18"/>
      <c r="E88" s="18"/>
      <c r="F88" s="1"/>
      <c r="G88" s="1"/>
      <c r="H88" s="1"/>
      <c r="I88" s="1"/>
      <c r="J88" s="1"/>
      <c r="K88" s="8" t="s">
        <v>1493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8" t="s">
        <v>26</v>
      </c>
      <c r="AN88" s="18"/>
      <c r="AO88" s="1"/>
      <c r="AP88" s="1"/>
      <c r="AQ88" s="1"/>
      <c r="AR88" s="1"/>
      <c r="AS88" s="8" t="s">
        <v>1158</v>
      </c>
      <c r="AT88" s="18"/>
      <c r="AU88" s="1"/>
      <c r="AV88" s="1"/>
    </row>
    <row r="89" spans="1:48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1.25" customHeight="1">
      <c r="A90" s="1"/>
      <c r="B90" s="1"/>
      <c r="C90" s="8" t="s">
        <v>1494</v>
      </c>
      <c r="D90" s="18"/>
      <c r="E90" s="18"/>
      <c r="F90" s="1"/>
      <c r="G90" s="1"/>
      <c r="H90" s="1"/>
      <c r="I90" s="1"/>
      <c r="J90" s="1"/>
      <c r="K90" s="8" t="s">
        <v>1495</v>
      </c>
      <c r="L90" s="18"/>
      <c r="M90" s="18"/>
      <c r="N90" s="18"/>
      <c r="O90" s="18"/>
      <c r="P90" s="18"/>
      <c r="Q90" s="18"/>
      <c r="R90" s="18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8" t="s">
        <v>26</v>
      </c>
      <c r="AN90" s="18"/>
      <c r="AO90" s="1"/>
      <c r="AP90" s="1"/>
      <c r="AQ90" s="1"/>
      <c r="AR90" s="1"/>
      <c r="AS90" s="8" t="s">
        <v>1054</v>
      </c>
      <c r="AT90" s="18"/>
      <c r="AU90" s="1"/>
      <c r="AV90" s="1"/>
    </row>
    <row r="91" spans="1:48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1.25" customHeight="1">
      <c r="A92" s="1"/>
      <c r="B92" s="1"/>
      <c r="C92" s="8" t="s">
        <v>1496</v>
      </c>
      <c r="D92" s="18"/>
      <c r="E92" s="18"/>
      <c r="F92" s="1"/>
      <c r="G92" s="1"/>
      <c r="H92" s="1"/>
      <c r="I92" s="1"/>
      <c r="J92" s="1"/>
      <c r="K92" s="8" t="s">
        <v>1495</v>
      </c>
      <c r="L92" s="18"/>
      <c r="M92" s="18"/>
      <c r="N92" s="18"/>
      <c r="O92" s="18"/>
      <c r="P92" s="18"/>
      <c r="Q92" s="18"/>
      <c r="R92" s="18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8" t="s">
        <v>26</v>
      </c>
      <c r="AN92" s="18"/>
      <c r="AO92" s="1"/>
      <c r="AP92" s="1"/>
      <c r="AQ92" s="1"/>
      <c r="AR92" s="1"/>
      <c r="AS92" s="8" t="s">
        <v>1408</v>
      </c>
      <c r="AT92" s="18"/>
      <c r="AU92" s="1"/>
      <c r="AV92" s="1"/>
    </row>
    <row r="93" spans="1:48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1.25" customHeight="1">
      <c r="A94" s="1"/>
      <c r="B94" s="1"/>
      <c r="C94" s="8" t="s">
        <v>1497</v>
      </c>
      <c r="D94" s="18"/>
      <c r="E94" s="18"/>
      <c r="F94" s="1"/>
      <c r="G94" s="1"/>
      <c r="H94" s="1"/>
      <c r="I94" s="1"/>
      <c r="J94" s="1"/>
      <c r="K94" s="8" t="s">
        <v>1498</v>
      </c>
      <c r="L94" s="18"/>
      <c r="M94" s="18"/>
      <c r="N94" s="18"/>
      <c r="O94" s="18"/>
      <c r="P94" s="18"/>
      <c r="Q94" s="18"/>
      <c r="R94" s="18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8" t="s">
        <v>26</v>
      </c>
      <c r="AN94" s="18"/>
      <c r="AO94" s="1"/>
      <c r="AP94" s="1"/>
      <c r="AQ94" s="1"/>
      <c r="AR94" s="1"/>
      <c r="AS94" s="8" t="s">
        <v>1343</v>
      </c>
      <c r="AT94" s="18"/>
      <c r="AU94" s="1"/>
      <c r="AV94" s="1"/>
    </row>
    <row r="95" spans="1:48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1.25" customHeight="1">
      <c r="A96" s="1"/>
      <c r="B96" s="1"/>
      <c r="C96" s="8" t="s">
        <v>1499</v>
      </c>
      <c r="D96" s="18"/>
      <c r="E96" s="18"/>
      <c r="F96" s="1"/>
      <c r="G96" s="1"/>
      <c r="H96" s="1"/>
      <c r="I96" s="1"/>
      <c r="J96" s="1"/>
      <c r="K96" s="8" t="s">
        <v>1500</v>
      </c>
      <c r="L96" s="18"/>
      <c r="M96" s="18"/>
      <c r="N96" s="18"/>
      <c r="O96" s="18"/>
      <c r="P96" s="18"/>
      <c r="Q96" s="18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8" t="s">
        <v>26</v>
      </c>
      <c r="AN96" s="18"/>
      <c r="AO96" s="1"/>
      <c r="AP96" s="1"/>
      <c r="AQ96" s="1"/>
      <c r="AR96" s="1"/>
      <c r="AS96" s="8" t="s">
        <v>290</v>
      </c>
      <c r="AT96" s="18"/>
      <c r="AU96" s="1"/>
      <c r="AV96" s="1"/>
    </row>
    <row r="97" spans="1:48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1.25" customHeight="1">
      <c r="A98" s="1"/>
      <c r="B98" s="1"/>
      <c r="C98" s="8" t="s">
        <v>1501</v>
      </c>
      <c r="D98" s="18"/>
      <c r="E98" s="18"/>
      <c r="F98" s="1"/>
      <c r="G98" s="1"/>
      <c r="H98" s="1"/>
      <c r="I98" s="1"/>
      <c r="J98" s="1"/>
      <c r="K98" s="8" t="s">
        <v>1500</v>
      </c>
      <c r="L98" s="18"/>
      <c r="M98" s="18"/>
      <c r="N98" s="18"/>
      <c r="O98" s="18"/>
      <c r="P98" s="18"/>
      <c r="Q98" s="18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8" t="s">
        <v>26</v>
      </c>
      <c r="AN98" s="18"/>
      <c r="AO98" s="1"/>
      <c r="AP98" s="1"/>
      <c r="AQ98" s="1"/>
      <c r="AR98" s="1"/>
      <c r="AS98" s="8" t="s">
        <v>1144</v>
      </c>
      <c r="AT98" s="18"/>
      <c r="AU98" s="1"/>
      <c r="AV98" s="1"/>
    </row>
    <row r="99" spans="1:48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1.25" customHeight="1">
      <c r="A100" s="1"/>
      <c r="B100" s="1"/>
      <c r="C100" s="8" t="s">
        <v>1502</v>
      </c>
      <c r="D100" s="18"/>
      <c r="E100" s="18"/>
      <c r="F100" s="1"/>
      <c r="G100" s="1"/>
      <c r="H100" s="1"/>
      <c r="I100" s="1"/>
      <c r="J100" s="1"/>
      <c r="K100" s="8" t="s">
        <v>1503</v>
      </c>
      <c r="L100" s="18"/>
      <c r="M100" s="18"/>
      <c r="N100" s="18"/>
      <c r="O100" s="18"/>
      <c r="P100" s="18"/>
      <c r="Q100" s="18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8" t="s">
        <v>26</v>
      </c>
      <c r="AN100" s="18"/>
      <c r="AO100" s="1"/>
      <c r="AP100" s="1"/>
      <c r="AQ100" s="1"/>
      <c r="AR100" s="1"/>
      <c r="AS100" s="8" t="s">
        <v>597</v>
      </c>
      <c r="AT100" s="18"/>
      <c r="AU100" s="1"/>
      <c r="AV100" s="1"/>
    </row>
    <row r="101" spans="1:48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0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8" t="s">
        <v>133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1"/>
      <c r="K104" s="1"/>
      <c r="L104" s="1"/>
      <c r="M104" s="8" t="s">
        <v>135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"/>
      <c r="AK104" s="1"/>
      <c r="AL104" s="1"/>
      <c r="AM104" s="1"/>
      <c r="AN104" s="1"/>
      <c r="AO104" s="1"/>
      <c r="AP104" s="1"/>
      <c r="AQ104" s="8" t="s">
        <v>1504</v>
      </c>
      <c r="AR104" s="18"/>
      <c r="AS104" s="18"/>
      <c r="AT104" s="18"/>
      <c r="AU104" s="18"/>
      <c r="AV104" s="1"/>
    </row>
    <row r="105" spans="1:48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</sheetData>
  <mergeCells count="195">
    <mergeCell ref="B2:I4"/>
    <mergeCell ref="J2:AK4"/>
    <mergeCell ref="AL2:AM4"/>
    <mergeCell ref="AP3:AU3"/>
    <mergeCell ref="AS6:AT6"/>
    <mergeCell ref="C8:E8"/>
    <mergeCell ref="K8:L8"/>
    <mergeCell ref="AM8:AN8"/>
    <mergeCell ref="AR8:AT8"/>
    <mergeCell ref="AM6:AN6"/>
    <mergeCell ref="C10:E10"/>
    <mergeCell ref="K10:L10"/>
    <mergeCell ref="AM10:AN10"/>
    <mergeCell ref="AR10:AT10"/>
    <mergeCell ref="C12:E12"/>
    <mergeCell ref="K12:L12"/>
    <mergeCell ref="AM12:AN12"/>
    <mergeCell ref="AR12:AT12"/>
    <mergeCell ref="C14:E14"/>
    <mergeCell ref="K14:O14"/>
    <mergeCell ref="AM14:AN14"/>
    <mergeCell ref="AS14:AT14"/>
    <mergeCell ref="C16:E16"/>
    <mergeCell ref="K16:N16"/>
    <mergeCell ref="AM16:AN16"/>
    <mergeCell ref="AR16:AT16"/>
    <mergeCell ref="C18:F18"/>
    <mergeCell ref="K18:U18"/>
    <mergeCell ref="AM18:AN18"/>
    <mergeCell ref="AR18:AT18"/>
    <mergeCell ref="C20:E20"/>
    <mergeCell ref="K20:N20"/>
    <mergeCell ref="AM20:AN20"/>
    <mergeCell ref="AR20:AT20"/>
    <mergeCell ref="C22:E22"/>
    <mergeCell ref="K22:X22"/>
    <mergeCell ref="AM22:AN22"/>
    <mergeCell ref="AR22:AT22"/>
    <mergeCell ref="C24:E24"/>
    <mergeCell ref="K24:AB24"/>
    <mergeCell ref="AM24:AN24"/>
    <mergeCell ref="AS24:AT24"/>
    <mergeCell ref="C26:F26"/>
    <mergeCell ref="K26:AF26"/>
    <mergeCell ref="AM26:AN26"/>
    <mergeCell ref="AS26:AT26"/>
    <mergeCell ref="C28:E28"/>
    <mergeCell ref="K28:AB28"/>
    <mergeCell ref="AM28:AN28"/>
    <mergeCell ref="AS28:AT28"/>
    <mergeCell ref="C30:E30"/>
    <mergeCell ref="K30:N30"/>
    <mergeCell ref="AM30:AN30"/>
    <mergeCell ref="AS30:AT30"/>
    <mergeCell ref="C32:F32"/>
    <mergeCell ref="K32:S32"/>
    <mergeCell ref="AM32:AN32"/>
    <mergeCell ref="AS32:AT32"/>
    <mergeCell ref="C34:E34"/>
    <mergeCell ref="K34:N34"/>
    <mergeCell ref="AM34:AN34"/>
    <mergeCell ref="AS34:AT34"/>
    <mergeCell ref="C36:E36"/>
    <mergeCell ref="K36:V36"/>
    <mergeCell ref="AM36:AN36"/>
    <mergeCell ref="AS36:AT36"/>
    <mergeCell ref="C38:E38"/>
    <mergeCell ref="K38:R38"/>
    <mergeCell ref="AM38:AN38"/>
    <mergeCell ref="AR38:AT38"/>
    <mergeCell ref="C40:E40"/>
    <mergeCell ref="K40:Y40"/>
    <mergeCell ref="AM40:AN40"/>
    <mergeCell ref="AS40:AT40"/>
    <mergeCell ref="C42:E42"/>
    <mergeCell ref="K42:Y42"/>
    <mergeCell ref="AM42:AN42"/>
    <mergeCell ref="AS42:AT42"/>
    <mergeCell ref="C44:F44"/>
    <mergeCell ref="K44:AA44"/>
    <mergeCell ref="AM44:AN44"/>
    <mergeCell ref="AS44:AT44"/>
    <mergeCell ref="C46:E46"/>
    <mergeCell ref="K46:AC46"/>
    <mergeCell ref="AM46:AN46"/>
    <mergeCell ref="AS46:AT46"/>
    <mergeCell ref="C48:F48"/>
    <mergeCell ref="K48:AE48"/>
    <mergeCell ref="AM48:AN48"/>
    <mergeCell ref="AS48:AT48"/>
    <mergeCell ref="C50:E50"/>
    <mergeCell ref="K50:AD50"/>
    <mergeCell ref="AM50:AN50"/>
    <mergeCell ref="AS50:AT50"/>
    <mergeCell ref="C52:H52"/>
    <mergeCell ref="K52:AD52"/>
    <mergeCell ref="AM52:AN52"/>
    <mergeCell ref="AS52:AT52"/>
    <mergeCell ref="C54:E54"/>
    <mergeCell ref="K54:Y54"/>
    <mergeCell ref="AM54:AN54"/>
    <mergeCell ref="AS54:AT54"/>
    <mergeCell ref="C56:E56"/>
    <mergeCell ref="K56:Y56"/>
    <mergeCell ref="AM56:AN56"/>
    <mergeCell ref="AS56:AT56"/>
    <mergeCell ref="C58:G58"/>
    <mergeCell ref="K58:N58"/>
    <mergeCell ref="AM58:AN58"/>
    <mergeCell ref="AS58:AT58"/>
    <mergeCell ref="C60:F60"/>
    <mergeCell ref="K60:N60"/>
    <mergeCell ref="AM60:AN60"/>
    <mergeCell ref="AS60:AT60"/>
    <mergeCell ref="C62:E62"/>
    <mergeCell ref="K62:N62"/>
    <mergeCell ref="AM62:AN62"/>
    <mergeCell ref="C64:E64"/>
    <mergeCell ref="K64:N64"/>
    <mergeCell ref="AM64:AN64"/>
    <mergeCell ref="AS64:AT64"/>
    <mergeCell ref="C66:E66"/>
    <mergeCell ref="K66:V66"/>
    <mergeCell ref="AM66:AN66"/>
    <mergeCell ref="C68:E68"/>
    <mergeCell ref="K68:P68"/>
    <mergeCell ref="AM68:AN68"/>
    <mergeCell ref="AS68:AT68"/>
    <mergeCell ref="C70:E70"/>
    <mergeCell ref="K70:P70"/>
    <mergeCell ref="AM70:AN70"/>
    <mergeCell ref="AS70:AT70"/>
    <mergeCell ref="C72:E72"/>
    <mergeCell ref="K72:T72"/>
    <mergeCell ref="AM72:AN72"/>
    <mergeCell ref="AS72:AT72"/>
    <mergeCell ref="C74:E74"/>
    <mergeCell ref="K74:M74"/>
    <mergeCell ref="AM74:AN74"/>
    <mergeCell ref="AS74:AT74"/>
    <mergeCell ref="C76:E76"/>
    <mergeCell ref="K76:N76"/>
    <mergeCell ref="AM76:AN76"/>
    <mergeCell ref="AS76:AT76"/>
    <mergeCell ref="C78:D78"/>
    <mergeCell ref="K78:AG78"/>
    <mergeCell ref="AM78:AN78"/>
    <mergeCell ref="AS78:AT78"/>
    <mergeCell ref="C80:E80"/>
    <mergeCell ref="K80:Z80"/>
    <mergeCell ref="AM80:AN80"/>
    <mergeCell ref="AS80:AT80"/>
    <mergeCell ref="C82:E82"/>
    <mergeCell ref="K82:AH82"/>
    <mergeCell ref="AM82:AN82"/>
    <mergeCell ref="AS82:AT82"/>
    <mergeCell ref="C84:E84"/>
    <mergeCell ref="K84:W84"/>
    <mergeCell ref="AM84:AN84"/>
    <mergeCell ref="AS84:AT84"/>
    <mergeCell ref="C86:E86"/>
    <mergeCell ref="K86:W86"/>
    <mergeCell ref="AM86:AN86"/>
    <mergeCell ref="AS86:AT86"/>
    <mergeCell ref="C88:E88"/>
    <mergeCell ref="K88:AB88"/>
    <mergeCell ref="AM88:AN88"/>
    <mergeCell ref="AS88:AT88"/>
    <mergeCell ref="C90:E90"/>
    <mergeCell ref="K90:R90"/>
    <mergeCell ref="AM90:AN90"/>
    <mergeCell ref="AS90:AT90"/>
    <mergeCell ref="C92:E92"/>
    <mergeCell ref="K92:R92"/>
    <mergeCell ref="AM92:AN92"/>
    <mergeCell ref="AS92:AT92"/>
    <mergeCell ref="C100:E100"/>
    <mergeCell ref="K100:Q100"/>
    <mergeCell ref="AM100:AN100"/>
    <mergeCell ref="AS100:AT100"/>
    <mergeCell ref="L102:AJ102"/>
    <mergeCell ref="M104:AI104"/>
    <mergeCell ref="AQ104:AU104"/>
    <mergeCell ref="C94:E94"/>
    <mergeCell ref="K94:R94"/>
    <mergeCell ref="AM94:AN94"/>
    <mergeCell ref="AS94:AT94"/>
    <mergeCell ref="C96:E96"/>
    <mergeCell ref="K96:Q96"/>
    <mergeCell ref="AM96:AN96"/>
    <mergeCell ref="AS96:AT96"/>
    <mergeCell ref="C98:E98"/>
    <mergeCell ref="K98:Q98"/>
    <mergeCell ref="AM98:AN98"/>
    <mergeCell ref="AS98:AT9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7109375" customWidth="1"/>
    <col min="6" max="6" width="3.85546875" customWidth="1"/>
    <col min="7" max="7" width="13.7109375" customWidth="1"/>
    <col min="8" max="8" width="0.140625" customWidth="1"/>
    <col min="9" max="9" width="3.7109375" customWidth="1"/>
    <col min="10" max="10" width="6.140625" customWidth="1"/>
    <col min="11" max="11" width="6.5703125" customWidth="1"/>
    <col min="12" max="12" width="4" customWidth="1"/>
    <col min="13" max="13" width="4.28515625" customWidth="1"/>
    <col min="14" max="14" width="3.5703125" customWidth="1"/>
    <col min="15" max="15" width="3.42578125" customWidth="1"/>
    <col min="16" max="16" width="3" customWidth="1"/>
    <col min="17" max="17" width="3.28515625" customWidth="1"/>
    <col min="18" max="18" width="5.42578125" customWidth="1"/>
    <col min="19" max="19" width="3.140625" customWidth="1"/>
    <col min="20" max="20" width="2.5703125" customWidth="1"/>
    <col min="21" max="21" width="4" customWidth="1"/>
    <col min="22" max="23" width="3.85546875" customWidth="1"/>
    <col min="24" max="25" width="3.7109375" customWidth="1"/>
    <col min="26" max="26" width="5.42578125" customWidth="1"/>
    <col min="27" max="27" width="0.28515625" customWidth="1"/>
    <col min="28" max="28" width="3.140625" customWidth="1"/>
    <col min="29" max="29" width="2.85546875" customWidth="1"/>
    <col min="30" max="30" width="0.42578125" customWidth="1"/>
    <col min="31" max="31" width="3.7109375" customWidth="1"/>
    <col min="32" max="32" width="2.42578125" customWidth="1"/>
    <col min="33" max="34" width="1.28515625" customWidth="1"/>
    <col min="35" max="35" width="6.140625" customWidth="1"/>
    <col min="36" max="36" width="1" customWidth="1"/>
    <col min="37" max="37" width="3.85546875" customWidth="1"/>
  </cols>
  <sheetData>
    <row r="1" spans="1:37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  <c r="AE1" s="1"/>
      <c r="AF1" s="1"/>
      <c r="AG1" s="1"/>
      <c r="AH1" s="1"/>
      <c r="AI1" s="1"/>
      <c r="AJ1" s="1"/>
      <c r="AK1" s="1"/>
    </row>
    <row r="2" spans="1:37" ht="1.7" customHeight="1">
      <c r="A2" s="3"/>
      <c r="B2" s="19" t="s">
        <v>0</v>
      </c>
      <c r="C2" s="10"/>
      <c r="D2" s="10"/>
      <c r="E2" s="10"/>
      <c r="F2" s="10"/>
      <c r="G2" s="11"/>
      <c r="H2" s="19" t="s">
        <v>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  <c r="AB2" s="19" t="s">
        <v>2</v>
      </c>
      <c r="AC2" s="11"/>
      <c r="AD2" s="4"/>
      <c r="AE2" s="1"/>
      <c r="AF2" s="1"/>
      <c r="AG2" s="1"/>
      <c r="AH2" s="1"/>
      <c r="AI2" s="1"/>
      <c r="AJ2" s="1"/>
      <c r="AK2" s="1"/>
    </row>
    <row r="3" spans="1:37" ht="11.25" customHeight="1">
      <c r="A3" s="3"/>
      <c r="B3" s="12"/>
      <c r="C3" s="13"/>
      <c r="D3" s="13"/>
      <c r="E3" s="13"/>
      <c r="F3" s="13"/>
      <c r="G3" s="14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  <c r="AB3" s="12"/>
      <c r="AC3" s="14"/>
      <c r="AD3" s="4"/>
      <c r="AE3" s="1"/>
      <c r="AF3" s="8" t="s">
        <v>3</v>
      </c>
      <c r="AG3" s="18"/>
      <c r="AH3" s="18"/>
      <c r="AI3" s="18"/>
      <c r="AJ3" s="18"/>
      <c r="AK3" s="1"/>
    </row>
    <row r="4" spans="1:37" ht="5.0999999999999996" customHeight="1">
      <c r="A4" s="3"/>
      <c r="B4" s="15"/>
      <c r="C4" s="16"/>
      <c r="D4" s="16"/>
      <c r="E4" s="16"/>
      <c r="F4" s="16"/>
      <c r="G4" s="17"/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7"/>
      <c r="AB4" s="15"/>
      <c r="AC4" s="17"/>
      <c r="AD4" s="4"/>
      <c r="AE4" s="1"/>
      <c r="AF4" s="1"/>
      <c r="AG4" s="1"/>
      <c r="AH4" s="1"/>
      <c r="AI4" s="1"/>
      <c r="AJ4" s="1"/>
      <c r="AK4" s="1"/>
    </row>
    <row r="5" spans="1:37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1"/>
      <c r="AE5" s="1"/>
      <c r="AF5" s="1"/>
      <c r="AG5" s="1"/>
      <c r="AH5" s="1"/>
      <c r="AI5" s="1"/>
      <c r="AJ5" s="1"/>
      <c r="AK5" s="1"/>
    </row>
    <row r="6" spans="1:37" ht="11.25" customHeight="1">
      <c r="A6" s="1"/>
      <c r="B6" s="1"/>
      <c r="C6" s="1" t="s">
        <v>2234</v>
      </c>
      <c r="D6" s="1"/>
      <c r="E6" s="1"/>
      <c r="F6" s="1"/>
      <c r="G6" s="1"/>
      <c r="H6" s="1"/>
      <c r="I6" s="1" t="s">
        <v>2235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8" t="s">
        <v>26</v>
      </c>
      <c r="AD6" s="18"/>
      <c r="AE6" s="1"/>
      <c r="AF6" s="1"/>
      <c r="AG6" s="1"/>
      <c r="AH6" s="8" t="s">
        <v>414</v>
      </c>
      <c r="AI6" s="18"/>
      <c r="AJ6" s="1"/>
      <c r="AK6" s="1"/>
    </row>
    <row r="7" spans="1:37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1.25" customHeight="1">
      <c r="A8" s="1"/>
      <c r="B8" s="1"/>
      <c r="C8" s="8" t="s">
        <v>1505</v>
      </c>
      <c r="D8" s="18"/>
      <c r="E8" s="18"/>
      <c r="F8" s="1"/>
      <c r="G8" s="1"/>
      <c r="H8" s="1"/>
      <c r="I8" s="8" t="s">
        <v>1506</v>
      </c>
      <c r="J8" s="18"/>
      <c r="K8" s="18"/>
      <c r="L8" s="18"/>
      <c r="M8" s="18"/>
      <c r="N8" s="1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8" t="s">
        <v>26</v>
      </c>
      <c r="AD8" s="18"/>
      <c r="AE8" s="1"/>
      <c r="AF8" s="1"/>
      <c r="AG8" s="1"/>
      <c r="AH8" s="8" t="s">
        <v>126</v>
      </c>
      <c r="AI8" s="18"/>
      <c r="AJ8" s="1"/>
      <c r="AK8" s="1"/>
    </row>
    <row r="9" spans="1:37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1.25" customHeight="1">
      <c r="A10" s="1"/>
      <c r="B10" s="1"/>
      <c r="C10" s="8" t="s">
        <v>1507</v>
      </c>
      <c r="D10" s="18"/>
      <c r="E10" s="1"/>
      <c r="F10" s="1"/>
      <c r="G10" s="1"/>
      <c r="H10" s="1"/>
      <c r="I10" s="8" t="s">
        <v>1508</v>
      </c>
      <c r="J10" s="18"/>
      <c r="K10" s="18"/>
      <c r="L10" s="18"/>
      <c r="M10" s="18"/>
      <c r="N10" s="18"/>
      <c r="O10" s="18"/>
      <c r="P10" s="18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8" t="s">
        <v>26</v>
      </c>
      <c r="AD10" s="18"/>
      <c r="AE10" s="1"/>
      <c r="AF10" s="1"/>
      <c r="AG10" s="1"/>
      <c r="AH10" s="1"/>
      <c r="AI10" s="5" t="s">
        <v>132</v>
      </c>
      <c r="AJ10" s="1"/>
      <c r="AK10" s="1"/>
    </row>
    <row r="11" spans="1:37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1.25" customHeight="1">
      <c r="A12" s="1"/>
      <c r="B12" s="1"/>
      <c r="C12" s="8" t="s">
        <v>1509</v>
      </c>
      <c r="D12" s="18"/>
      <c r="E12" s="1"/>
      <c r="F12" s="1"/>
      <c r="G12" s="1"/>
      <c r="H12" s="1"/>
      <c r="I12" s="8" t="s">
        <v>1510</v>
      </c>
      <c r="J12" s="18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8" t="s">
        <v>26</v>
      </c>
      <c r="AD12" s="18"/>
      <c r="AE12" s="1"/>
      <c r="AF12" s="1"/>
      <c r="AG12" s="1"/>
      <c r="AH12" s="1"/>
      <c r="AI12" s="5" t="s">
        <v>137</v>
      </c>
      <c r="AJ12" s="1"/>
      <c r="AK12" s="1"/>
    </row>
    <row r="13" spans="1:37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1.25" customHeight="1">
      <c r="A14" s="1"/>
      <c r="B14" s="1"/>
      <c r="C14" s="8" t="s">
        <v>1511</v>
      </c>
      <c r="D14" s="18"/>
      <c r="E14" s="1"/>
      <c r="F14" s="1"/>
      <c r="G14" s="1"/>
      <c r="H14" s="1"/>
      <c r="I14" s="8" t="s">
        <v>1512</v>
      </c>
      <c r="J14" s="18"/>
      <c r="K14" s="18"/>
      <c r="L14" s="1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8" t="s">
        <v>7</v>
      </c>
      <c r="AB14" s="18"/>
      <c r="AC14" s="18"/>
      <c r="AD14" s="18"/>
      <c r="AE14" s="1"/>
      <c r="AF14" s="1"/>
      <c r="AG14" s="1"/>
      <c r="AH14" s="1"/>
      <c r="AI14" s="5" t="s">
        <v>137</v>
      </c>
      <c r="AJ14" s="1"/>
      <c r="AK14" s="1"/>
    </row>
    <row r="15" spans="1:37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1.25" customHeight="1">
      <c r="A16" s="1"/>
      <c r="B16" s="1"/>
      <c r="C16" s="8" t="s">
        <v>1513</v>
      </c>
      <c r="D16" s="18"/>
      <c r="E16" s="1"/>
      <c r="F16" s="1"/>
      <c r="G16" s="1"/>
      <c r="H16" s="1"/>
      <c r="I16" s="8" t="s">
        <v>1514</v>
      </c>
      <c r="J16" s="18"/>
      <c r="K16" s="18"/>
      <c r="L16" s="1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8" t="s">
        <v>26</v>
      </c>
      <c r="AD16" s="18"/>
      <c r="AE16" s="1"/>
      <c r="AF16" s="1"/>
      <c r="AG16" s="1"/>
      <c r="AH16" s="8" t="s">
        <v>812</v>
      </c>
      <c r="AI16" s="18"/>
      <c r="AJ16" s="1"/>
      <c r="AK16" s="1"/>
    </row>
    <row r="17" spans="1:37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1.25" customHeight="1">
      <c r="A18" s="1"/>
      <c r="B18" s="1"/>
      <c r="C18" s="8" t="s">
        <v>1515</v>
      </c>
      <c r="D18" s="18"/>
      <c r="E18" s="1"/>
      <c r="F18" s="1"/>
      <c r="G18" s="1"/>
      <c r="H18" s="1"/>
      <c r="I18" s="8" t="s">
        <v>1516</v>
      </c>
      <c r="J18" s="18"/>
      <c r="K18" s="18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8" t="s">
        <v>26</v>
      </c>
      <c r="AD18" s="18"/>
      <c r="AE18" s="1"/>
      <c r="AF18" s="1"/>
      <c r="AG18" s="8" t="s">
        <v>1517</v>
      </c>
      <c r="AH18" s="18"/>
      <c r="AI18" s="18"/>
      <c r="AJ18" s="1"/>
      <c r="AK18" s="1"/>
    </row>
    <row r="19" spans="1:37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1.25" customHeight="1">
      <c r="A20" s="1"/>
      <c r="B20" s="1"/>
      <c r="C20" s="8" t="s">
        <v>1518</v>
      </c>
      <c r="D20" s="18"/>
      <c r="E20" s="1"/>
      <c r="F20" s="1"/>
      <c r="G20" s="1"/>
      <c r="H20" s="1"/>
      <c r="I20" s="8" t="s">
        <v>1519</v>
      </c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8" t="s">
        <v>7</v>
      </c>
      <c r="AB20" s="18"/>
      <c r="AC20" s="18"/>
      <c r="AD20" s="18"/>
      <c r="AE20" s="1"/>
      <c r="AF20" s="1"/>
      <c r="AG20" s="1"/>
      <c r="AH20" s="8" t="s">
        <v>770</v>
      </c>
      <c r="AI20" s="18"/>
      <c r="AJ20" s="1"/>
      <c r="AK20" s="1"/>
    </row>
    <row r="21" spans="1:37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1.25" customHeight="1">
      <c r="A22" s="1"/>
      <c r="B22" s="1"/>
      <c r="C22" s="8" t="s">
        <v>1520</v>
      </c>
      <c r="D22" s="18"/>
      <c r="E22" s="1"/>
      <c r="F22" s="1"/>
      <c r="G22" s="1"/>
      <c r="H22" s="1"/>
      <c r="I22" s="8" t="s">
        <v>1521</v>
      </c>
      <c r="J22" s="18"/>
      <c r="K22" s="18"/>
      <c r="L22" s="1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8" t="s">
        <v>7</v>
      </c>
      <c r="AB22" s="18"/>
      <c r="AC22" s="18"/>
      <c r="AD22" s="18"/>
      <c r="AE22" s="1"/>
      <c r="AF22" s="1"/>
      <c r="AG22" s="1"/>
      <c r="AH22" s="1"/>
      <c r="AI22" s="5" t="s">
        <v>30</v>
      </c>
      <c r="AJ22" s="1"/>
      <c r="AK22" s="1"/>
    </row>
    <row r="23" spans="1:37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1.25" customHeight="1">
      <c r="A24" s="1"/>
      <c r="B24" s="1"/>
      <c r="C24" s="8" t="s">
        <v>1522</v>
      </c>
      <c r="D24" s="18"/>
      <c r="E24" s="1"/>
      <c r="F24" s="1"/>
      <c r="G24" s="1"/>
      <c r="H24" s="1"/>
      <c r="I24" s="8" t="s">
        <v>1523</v>
      </c>
      <c r="J24" s="18"/>
      <c r="K24" s="18"/>
      <c r="L24" s="18"/>
      <c r="M24" s="18"/>
      <c r="N24" s="18"/>
      <c r="O24" s="18"/>
      <c r="P24" s="18"/>
      <c r="Q24" s="18"/>
      <c r="R24" s="18"/>
      <c r="S24" s="1"/>
      <c r="T24" s="1"/>
      <c r="U24" s="1"/>
      <c r="V24" s="1"/>
      <c r="W24" s="1"/>
      <c r="X24" s="1"/>
      <c r="Y24" s="1"/>
      <c r="Z24" s="1"/>
      <c r="AA24" s="8" t="s">
        <v>7</v>
      </c>
      <c r="AB24" s="18"/>
      <c r="AC24" s="18"/>
      <c r="AD24" s="18"/>
      <c r="AE24" s="1"/>
      <c r="AF24" s="1"/>
      <c r="AG24" s="1"/>
      <c r="AH24" s="8" t="s">
        <v>496</v>
      </c>
      <c r="AI24" s="18"/>
      <c r="AJ24" s="1"/>
      <c r="AK24" s="1"/>
    </row>
    <row r="25" spans="1:37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1.25" customHeight="1">
      <c r="A26" s="1"/>
      <c r="B26" s="1"/>
      <c r="C26" s="8" t="s">
        <v>1524</v>
      </c>
      <c r="D26" s="18"/>
      <c r="E26" s="1"/>
      <c r="F26" s="1"/>
      <c r="G26" s="1"/>
      <c r="H26" s="1"/>
      <c r="I26" s="8" t="s">
        <v>1525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"/>
      <c r="U26" s="1"/>
      <c r="V26" s="1"/>
      <c r="W26" s="1"/>
      <c r="X26" s="1"/>
      <c r="Y26" s="1"/>
      <c r="Z26" s="1"/>
      <c r="AA26" s="8" t="s">
        <v>7</v>
      </c>
      <c r="AB26" s="18"/>
      <c r="AC26" s="18"/>
      <c r="AD26" s="18"/>
      <c r="AE26" s="1"/>
      <c r="AF26" s="1"/>
      <c r="AG26" s="8" t="s">
        <v>630</v>
      </c>
      <c r="AH26" s="18"/>
      <c r="AI26" s="18"/>
      <c r="AJ26" s="1"/>
      <c r="AK26" s="1"/>
    </row>
    <row r="27" spans="1:37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1.25" customHeight="1">
      <c r="A28" s="1"/>
      <c r="B28" s="1"/>
      <c r="C28" s="8" t="s">
        <v>1526</v>
      </c>
      <c r="D28" s="18"/>
      <c r="E28" s="1"/>
      <c r="F28" s="1"/>
      <c r="G28" s="1"/>
      <c r="H28" s="1"/>
      <c r="I28" s="8" t="s">
        <v>1527</v>
      </c>
      <c r="J28" s="18"/>
      <c r="K28" s="18"/>
      <c r="L28" s="18"/>
      <c r="M28" s="18"/>
      <c r="N28" s="18"/>
      <c r="O28" s="18"/>
      <c r="P28" s="18"/>
      <c r="Q28" s="18"/>
      <c r="R28" s="1"/>
      <c r="S28" s="1"/>
      <c r="T28" s="1"/>
      <c r="U28" s="1"/>
      <c r="V28" s="1"/>
      <c r="W28" s="1"/>
      <c r="X28" s="1"/>
      <c r="Y28" s="1"/>
      <c r="Z28" s="1"/>
      <c r="AA28" s="8" t="s">
        <v>607</v>
      </c>
      <c r="AB28" s="18"/>
      <c r="AC28" s="18"/>
      <c r="AD28" s="18"/>
      <c r="AE28" s="1"/>
      <c r="AF28" s="1"/>
      <c r="AG28" s="1"/>
      <c r="AH28" s="8" t="s">
        <v>290</v>
      </c>
      <c r="AI28" s="18"/>
      <c r="AJ28" s="1"/>
      <c r="AK28" s="1"/>
    </row>
    <row r="29" spans="1:37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1.25" customHeight="1">
      <c r="A30" s="1"/>
      <c r="B30" s="1"/>
      <c r="C30" s="8" t="s">
        <v>1528</v>
      </c>
      <c r="D30" s="18"/>
      <c r="E30" s="1"/>
      <c r="F30" s="1"/>
      <c r="G30" s="1"/>
      <c r="H30" s="1"/>
      <c r="I30" s="8" t="s">
        <v>1529</v>
      </c>
      <c r="J30" s="18"/>
      <c r="K30" s="1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" t="s">
        <v>26</v>
      </c>
      <c r="AD30" s="18"/>
      <c r="AE30" s="1"/>
      <c r="AF30" s="1"/>
      <c r="AG30" s="1"/>
      <c r="AH30" s="1"/>
      <c r="AI30" s="5" t="s">
        <v>183</v>
      </c>
      <c r="AJ30" s="1"/>
      <c r="AK30" s="1"/>
    </row>
    <row r="31" spans="1:37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1.25" customHeight="1">
      <c r="A32" s="1"/>
      <c r="B32" s="1"/>
      <c r="C32" s="8" t="s">
        <v>1530</v>
      </c>
      <c r="D32" s="18"/>
      <c r="E32" s="1"/>
      <c r="F32" s="1"/>
      <c r="G32" s="1"/>
      <c r="H32" s="1"/>
      <c r="I32" s="8" t="s">
        <v>1531</v>
      </c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8" t="s">
        <v>7</v>
      </c>
      <c r="AB32" s="18"/>
      <c r="AC32" s="18"/>
      <c r="AD32" s="18"/>
      <c r="AE32" s="1"/>
      <c r="AF32" s="1"/>
      <c r="AG32" s="1"/>
      <c r="AH32" s="8" t="s">
        <v>964</v>
      </c>
      <c r="AI32" s="18"/>
      <c r="AJ32" s="1"/>
      <c r="AK32" s="1"/>
    </row>
    <row r="33" spans="1:37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1.25" customHeight="1">
      <c r="A34" s="1"/>
      <c r="B34" s="1"/>
      <c r="C34" s="8" t="s">
        <v>1532</v>
      </c>
      <c r="D34" s="18"/>
      <c r="E34" s="1"/>
      <c r="F34" s="1"/>
      <c r="G34" s="1"/>
      <c r="H34" s="1"/>
      <c r="I34" s="8" t="s">
        <v>1533</v>
      </c>
      <c r="J34" s="18"/>
      <c r="K34" s="18"/>
      <c r="L34" s="1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8" t="s">
        <v>7</v>
      </c>
      <c r="AB34" s="18"/>
      <c r="AC34" s="18"/>
      <c r="AD34" s="18"/>
      <c r="AE34" s="1"/>
      <c r="AF34" s="1"/>
      <c r="AG34" s="1"/>
      <c r="AH34" s="1"/>
      <c r="AI34" s="5" t="s">
        <v>195</v>
      </c>
      <c r="AJ34" s="1"/>
      <c r="AK34" s="1"/>
    </row>
    <row r="35" spans="1:37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1.25" customHeight="1">
      <c r="A36" s="1"/>
      <c r="B36" s="1"/>
      <c r="C36" s="8" t="s">
        <v>1534</v>
      </c>
      <c r="D36" s="18"/>
      <c r="E36" s="1"/>
      <c r="F36" s="1"/>
      <c r="G36" s="1"/>
      <c r="H36" s="1"/>
      <c r="I36" s="8" t="s">
        <v>1535</v>
      </c>
      <c r="J36" s="18"/>
      <c r="K36" s="18"/>
      <c r="L36" s="1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8" t="s">
        <v>7</v>
      </c>
      <c r="AB36" s="18"/>
      <c r="AC36" s="18"/>
      <c r="AD36" s="18"/>
      <c r="AE36" s="1"/>
      <c r="AF36" s="1"/>
      <c r="AG36" s="1"/>
      <c r="AH36" s="1"/>
      <c r="AI36" s="5" t="s">
        <v>195</v>
      </c>
      <c r="AJ36" s="1"/>
      <c r="AK36" s="1"/>
    </row>
    <row r="37" spans="1:37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1.25" customHeight="1">
      <c r="A38" s="1"/>
      <c r="B38" s="1"/>
      <c r="C38" s="8" t="s">
        <v>1536</v>
      </c>
      <c r="D38" s="18"/>
      <c r="E38" s="1"/>
      <c r="F38" s="1"/>
      <c r="G38" s="1"/>
      <c r="H38" s="1"/>
      <c r="I38" s="8" t="s">
        <v>1537</v>
      </c>
      <c r="J38" s="18"/>
      <c r="K38" s="18"/>
      <c r="L38" s="1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8" t="s">
        <v>7</v>
      </c>
      <c r="AB38" s="18"/>
      <c r="AC38" s="18"/>
      <c r="AD38" s="18"/>
      <c r="AE38" s="1"/>
      <c r="AF38" s="1"/>
      <c r="AG38" s="1"/>
      <c r="AH38" s="1"/>
      <c r="AI38" s="5" t="s">
        <v>213</v>
      </c>
      <c r="AJ38" s="1"/>
      <c r="AK38" s="1"/>
    </row>
    <row r="39" spans="1:37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1.25" customHeight="1">
      <c r="A40" s="1"/>
      <c r="B40" s="1"/>
      <c r="C40" s="8" t="s">
        <v>1538</v>
      </c>
      <c r="D40" s="18"/>
      <c r="E40" s="18"/>
      <c r="F40" s="1"/>
      <c r="G40" s="1"/>
      <c r="H40" s="1"/>
      <c r="I40" s="8" t="s">
        <v>1539</v>
      </c>
      <c r="J40" s="18"/>
      <c r="K40" s="18"/>
      <c r="L40" s="18"/>
      <c r="M40" s="18"/>
      <c r="N40" s="18"/>
      <c r="O40" s="18"/>
      <c r="P40" s="18"/>
      <c r="Q40" s="18"/>
      <c r="R40" s="18"/>
      <c r="S40" s="1"/>
      <c r="T40" s="1"/>
      <c r="U40" s="1"/>
      <c r="V40" s="1"/>
      <c r="W40" s="1"/>
      <c r="X40" s="1"/>
      <c r="Y40" s="1"/>
      <c r="Z40" s="1"/>
      <c r="AA40" s="8" t="s">
        <v>7</v>
      </c>
      <c r="AB40" s="18"/>
      <c r="AC40" s="18"/>
      <c r="AD40" s="18"/>
      <c r="AE40" s="1"/>
      <c r="AF40" s="1"/>
      <c r="AG40" s="1"/>
      <c r="AH40" s="1"/>
      <c r="AI40" s="5" t="s">
        <v>137</v>
      </c>
      <c r="AJ40" s="1"/>
      <c r="AK40" s="1"/>
    </row>
    <row r="41" spans="1:37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1.25" customHeight="1">
      <c r="A42" s="1"/>
      <c r="B42" s="1"/>
      <c r="C42" s="8" t="s">
        <v>1540</v>
      </c>
      <c r="D42" s="18"/>
      <c r="E42" s="18"/>
      <c r="F42" s="1"/>
      <c r="G42" s="1"/>
      <c r="H42" s="1"/>
      <c r="I42" s="8" t="s">
        <v>1541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"/>
      <c r="W42" s="1"/>
      <c r="X42" s="1"/>
      <c r="Y42" s="1"/>
      <c r="Z42" s="1"/>
      <c r="AA42" s="8" t="s">
        <v>1542</v>
      </c>
      <c r="AB42" s="18"/>
      <c r="AC42" s="18"/>
      <c r="AD42" s="18"/>
      <c r="AE42" s="1"/>
      <c r="AF42" s="1"/>
      <c r="AG42" s="1"/>
      <c r="AH42" s="8" t="s">
        <v>218</v>
      </c>
      <c r="AI42" s="18"/>
      <c r="AJ42" s="1"/>
      <c r="AK42" s="1"/>
    </row>
    <row r="43" spans="1:37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1.25" customHeight="1">
      <c r="A44" s="1"/>
      <c r="B44" s="1"/>
      <c r="C44" s="8" t="s">
        <v>1543</v>
      </c>
      <c r="D44" s="18"/>
      <c r="E44" s="18"/>
      <c r="F44" s="1"/>
      <c r="G44" s="1"/>
      <c r="H44" s="1"/>
      <c r="I44" s="8" t="s">
        <v>1544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"/>
      <c r="V44" s="1"/>
      <c r="W44" s="1"/>
      <c r="X44" s="1"/>
      <c r="Y44" s="1"/>
      <c r="Z44" s="1"/>
      <c r="AA44" s="8" t="s">
        <v>7</v>
      </c>
      <c r="AB44" s="18"/>
      <c r="AC44" s="18"/>
      <c r="AD44" s="18"/>
      <c r="AE44" s="1"/>
      <c r="AF44" s="1"/>
      <c r="AG44" s="1"/>
      <c r="AH44" s="1"/>
      <c r="AI44" s="5" t="s">
        <v>195</v>
      </c>
      <c r="AJ44" s="1"/>
      <c r="AK44" s="1"/>
    </row>
    <row r="45" spans="1:37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1.25" customHeight="1">
      <c r="A46" s="1"/>
      <c r="B46" s="1"/>
      <c r="C46" s="8" t="s">
        <v>1545</v>
      </c>
      <c r="D46" s="18"/>
      <c r="E46" s="18"/>
      <c r="F46" s="1"/>
      <c r="G46" s="1"/>
      <c r="H46" s="1"/>
      <c r="I46" s="8" t="s">
        <v>1546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"/>
      <c r="X46" s="1"/>
      <c r="Y46" s="1"/>
      <c r="Z46" s="1"/>
      <c r="AA46" s="8" t="s">
        <v>1542</v>
      </c>
      <c r="AB46" s="18"/>
      <c r="AC46" s="18"/>
      <c r="AD46" s="18"/>
      <c r="AE46" s="1"/>
      <c r="AF46" s="1"/>
      <c r="AG46" s="1"/>
      <c r="AH46" s="8" t="s">
        <v>1343</v>
      </c>
      <c r="AI46" s="18"/>
      <c r="AJ46" s="1"/>
      <c r="AK46" s="1"/>
    </row>
    <row r="47" spans="1:37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1.25" customHeight="1">
      <c r="A48" s="1"/>
      <c r="B48" s="1"/>
      <c r="C48" s="8" t="s">
        <v>1547</v>
      </c>
      <c r="D48" s="18"/>
      <c r="E48" s="18"/>
      <c r="F48" s="1"/>
      <c r="G48" s="1"/>
      <c r="H48" s="1"/>
      <c r="I48" s="8" t="s">
        <v>1548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"/>
      <c r="X48" s="1"/>
      <c r="Y48" s="1"/>
      <c r="Z48" s="1"/>
      <c r="AA48" s="8" t="s">
        <v>1542</v>
      </c>
      <c r="AB48" s="18"/>
      <c r="AC48" s="18"/>
      <c r="AD48" s="18"/>
      <c r="AE48" s="1"/>
      <c r="AF48" s="1"/>
      <c r="AG48" s="1"/>
      <c r="AH48" s="8" t="s">
        <v>453</v>
      </c>
      <c r="AI48" s="18"/>
      <c r="AJ48" s="1"/>
      <c r="AK48" s="1"/>
    </row>
    <row r="49" spans="1:37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1.25" customHeight="1">
      <c r="A50" s="1"/>
      <c r="B50" s="1"/>
      <c r="C50" s="8" t="s">
        <v>1549</v>
      </c>
      <c r="D50" s="18"/>
      <c r="E50" s="18"/>
      <c r="F50" s="1"/>
      <c r="G50" s="1"/>
      <c r="H50" s="1"/>
      <c r="I50" s="8" t="s">
        <v>1550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"/>
      <c r="Z50" s="1"/>
      <c r="AA50" s="8" t="s">
        <v>7</v>
      </c>
      <c r="AB50" s="18"/>
      <c r="AC50" s="18"/>
      <c r="AD50" s="18"/>
      <c r="AE50" s="1"/>
      <c r="AF50" s="1"/>
      <c r="AG50" s="1"/>
      <c r="AH50" s="1"/>
      <c r="AI50" s="5" t="s">
        <v>137</v>
      </c>
      <c r="AJ50" s="1"/>
      <c r="AK50" s="1"/>
    </row>
    <row r="51" spans="1:37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1.25" customHeight="1">
      <c r="A52" s="1"/>
      <c r="B52" s="1"/>
      <c r="C52" s="8" t="s">
        <v>1551</v>
      </c>
      <c r="D52" s="18"/>
      <c r="E52" s="18"/>
      <c r="F52" s="1"/>
      <c r="G52" s="1"/>
      <c r="H52" s="1"/>
      <c r="I52" s="8" t="s">
        <v>1552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"/>
      <c r="AA52" s="8" t="s">
        <v>1542</v>
      </c>
      <c r="AB52" s="18"/>
      <c r="AC52" s="18"/>
      <c r="AD52" s="18"/>
      <c r="AE52" s="1"/>
      <c r="AF52" s="1"/>
      <c r="AG52" s="1"/>
      <c r="AH52" s="8" t="s">
        <v>589</v>
      </c>
      <c r="AI52" s="18"/>
      <c r="AJ52" s="1"/>
      <c r="AK52" s="1"/>
    </row>
    <row r="53" spans="1:37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1.25" customHeight="1">
      <c r="A54" s="1"/>
      <c r="B54" s="1"/>
      <c r="C54" s="8" t="s">
        <v>1553</v>
      </c>
      <c r="D54" s="18"/>
      <c r="E54" s="18"/>
      <c r="F54" s="1"/>
      <c r="G54" s="1"/>
      <c r="H54" s="1"/>
      <c r="I54" s="8" t="s">
        <v>1554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"/>
      <c r="AA54" s="8" t="s">
        <v>1542</v>
      </c>
      <c r="AB54" s="18"/>
      <c r="AC54" s="18"/>
      <c r="AD54" s="18"/>
      <c r="AE54" s="1"/>
      <c r="AF54" s="1"/>
      <c r="AG54" s="1"/>
      <c r="AH54" s="8" t="s">
        <v>218</v>
      </c>
      <c r="AI54" s="18"/>
      <c r="AJ54" s="1"/>
      <c r="AK54" s="1"/>
    </row>
    <row r="55" spans="1:37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1.25" customHeight="1">
      <c r="A56" s="1"/>
      <c r="B56" s="1"/>
      <c r="C56" s="8" t="s">
        <v>1555</v>
      </c>
      <c r="D56" s="18"/>
      <c r="E56" s="18"/>
      <c r="F56" s="1"/>
      <c r="G56" s="1"/>
      <c r="H56" s="1"/>
      <c r="I56" s="8" t="s">
        <v>1556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"/>
      <c r="X56" s="1"/>
      <c r="Y56" s="1"/>
      <c r="Z56" s="1"/>
      <c r="AA56" s="8" t="s">
        <v>1542</v>
      </c>
      <c r="AB56" s="18"/>
      <c r="AC56" s="18"/>
      <c r="AD56" s="18"/>
      <c r="AE56" s="1"/>
      <c r="AF56" s="1"/>
      <c r="AG56" s="1"/>
      <c r="AH56" s="8" t="s">
        <v>589</v>
      </c>
      <c r="AI56" s="18"/>
      <c r="AJ56" s="1"/>
      <c r="AK56" s="1"/>
    </row>
    <row r="57" spans="1:37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1.25" customHeight="1">
      <c r="A58" s="1"/>
      <c r="B58" s="1"/>
      <c r="C58" s="8" t="s">
        <v>1557</v>
      </c>
      <c r="D58" s="18"/>
      <c r="E58" s="18"/>
      <c r="F58" s="1"/>
      <c r="G58" s="1"/>
      <c r="H58" s="1"/>
      <c r="I58" s="8" t="s">
        <v>1558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"/>
      <c r="U58" s="1"/>
      <c r="V58" s="1"/>
      <c r="W58" s="1"/>
      <c r="X58" s="1"/>
      <c r="Y58" s="1"/>
      <c r="Z58" s="1"/>
      <c r="AA58" s="8" t="s">
        <v>7</v>
      </c>
      <c r="AB58" s="18"/>
      <c r="AC58" s="18"/>
      <c r="AD58" s="18"/>
      <c r="AE58" s="1"/>
      <c r="AF58" s="1"/>
      <c r="AG58" s="1"/>
      <c r="AH58" s="1"/>
      <c r="AI58" s="5" t="s">
        <v>195</v>
      </c>
      <c r="AJ58" s="1"/>
      <c r="AK58" s="1"/>
    </row>
    <row r="59" spans="1:37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1.25" customHeight="1">
      <c r="A60" s="1"/>
      <c r="B60" s="1"/>
      <c r="C60" s="8" t="s">
        <v>1559</v>
      </c>
      <c r="D60" s="18"/>
      <c r="E60" s="18"/>
      <c r="F60" s="1"/>
      <c r="G60" s="1"/>
      <c r="H60" s="1"/>
      <c r="I60" s="8" t="s">
        <v>1560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"/>
      <c r="Y60" s="1"/>
      <c r="Z60" s="1"/>
      <c r="AA60" s="8" t="s">
        <v>7</v>
      </c>
      <c r="AB60" s="18"/>
      <c r="AC60" s="18"/>
      <c r="AD60" s="18"/>
      <c r="AE60" s="1"/>
      <c r="AF60" s="1"/>
      <c r="AG60" s="1"/>
      <c r="AH60" s="1"/>
      <c r="AI60" s="5" t="s">
        <v>183</v>
      </c>
      <c r="AJ60" s="1"/>
      <c r="AK60" s="1"/>
    </row>
    <row r="61" spans="1:37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1.25" customHeight="1">
      <c r="A62" s="1"/>
      <c r="B62" s="1"/>
      <c r="C62" s="8" t="s">
        <v>1561</v>
      </c>
      <c r="D62" s="18"/>
      <c r="E62" s="18"/>
      <c r="F62" s="18"/>
      <c r="G62" s="1"/>
      <c r="H62" s="1"/>
      <c r="I62" s="8" t="s">
        <v>1562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"/>
      <c r="Z62" s="1"/>
      <c r="AA62" s="8" t="s">
        <v>7</v>
      </c>
      <c r="AB62" s="18"/>
      <c r="AC62" s="18"/>
      <c r="AD62" s="18"/>
      <c r="AE62" s="1"/>
      <c r="AF62" s="1"/>
      <c r="AG62" s="1"/>
      <c r="AH62" s="1"/>
      <c r="AI62" s="5" t="s">
        <v>137</v>
      </c>
      <c r="AJ62" s="1"/>
      <c r="AK62" s="1"/>
    </row>
    <row r="63" spans="1:37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1.25" customHeight="1">
      <c r="A64" s="1"/>
      <c r="B64" s="1"/>
      <c r="C64" s="8" t="s">
        <v>1563</v>
      </c>
      <c r="D64" s="18"/>
      <c r="E64" s="18"/>
      <c r="F64" s="1"/>
      <c r="G64" s="1"/>
      <c r="H64" s="1"/>
      <c r="I64" s="8" t="s">
        <v>1564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"/>
      <c r="W64" s="1"/>
      <c r="X64" s="1"/>
      <c r="Y64" s="1"/>
      <c r="Z64" s="1"/>
      <c r="AA64" s="8" t="s">
        <v>7</v>
      </c>
      <c r="AB64" s="18"/>
      <c r="AC64" s="18"/>
      <c r="AD64" s="18"/>
      <c r="AE64" s="1"/>
      <c r="AF64" s="1"/>
      <c r="AG64" s="1"/>
      <c r="AH64" s="1"/>
      <c r="AI64" s="5" t="s">
        <v>183</v>
      </c>
      <c r="AJ64" s="1"/>
      <c r="AK64" s="1"/>
    </row>
    <row r="65" spans="1:37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1.25" customHeight="1">
      <c r="A66" s="1"/>
      <c r="B66" s="1"/>
      <c r="C66" s="8" t="s">
        <v>1565</v>
      </c>
      <c r="D66" s="18"/>
      <c r="E66" s="18"/>
      <c r="F66" s="1"/>
      <c r="G66" s="1"/>
      <c r="H66" s="1"/>
      <c r="I66" s="8" t="s">
        <v>1566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"/>
      <c r="U66" s="1"/>
      <c r="V66" s="1"/>
      <c r="W66" s="1"/>
      <c r="X66" s="1"/>
      <c r="Y66" s="1"/>
      <c r="Z66" s="1"/>
      <c r="AA66" s="8" t="s">
        <v>7</v>
      </c>
      <c r="AB66" s="18"/>
      <c r="AC66" s="18"/>
      <c r="AD66" s="18"/>
      <c r="AE66" s="1"/>
      <c r="AF66" s="1"/>
      <c r="AG66" s="1"/>
      <c r="AH66" s="1"/>
      <c r="AI66" s="5" t="s">
        <v>183</v>
      </c>
      <c r="AJ66" s="1"/>
      <c r="AK66" s="1"/>
    </row>
    <row r="67" spans="1:37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1.25" customHeight="1">
      <c r="A68" s="1"/>
      <c r="B68" s="1"/>
      <c r="C68" s="8" t="s">
        <v>1567</v>
      </c>
      <c r="D68" s="18"/>
      <c r="E68" s="18"/>
      <c r="F68" s="1"/>
      <c r="G68" s="1"/>
      <c r="H68" s="1"/>
      <c r="I68" s="8" t="s">
        <v>1568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"/>
      <c r="X68" s="1"/>
      <c r="Y68" s="1"/>
      <c r="Z68" s="1"/>
      <c r="AA68" s="8" t="s">
        <v>7</v>
      </c>
      <c r="AB68" s="18"/>
      <c r="AC68" s="18"/>
      <c r="AD68" s="18"/>
      <c r="AE68" s="1"/>
      <c r="AF68" s="1"/>
      <c r="AG68" s="1"/>
      <c r="AH68" s="1"/>
      <c r="AI68" s="5" t="s">
        <v>183</v>
      </c>
      <c r="AJ68" s="1"/>
      <c r="AK68" s="1"/>
    </row>
    <row r="69" spans="1:37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1.25" customHeight="1">
      <c r="A70" s="1"/>
      <c r="B70" s="1"/>
      <c r="C70" s="8" t="s">
        <v>1569</v>
      </c>
      <c r="D70" s="18"/>
      <c r="E70" s="18"/>
      <c r="F70" s="1"/>
      <c r="G70" s="1"/>
      <c r="H70" s="1"/>
      <c r="I70" s="8" t="s">
        <v>1570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"/>
      <c r="Y70" s="1"/>
      <c r="Z70" s="1"/>
      <c r="AA70" s="8" t="s">
        <v>1542</v>
      </c>
      <c r="AB70" s="18"/>
      <c r="AC70" s="18"/>
      <c r="AD70" s="18"/>
      <c r="AE70" s="1"/>
      <c r="AF70" s="1"/>
      <c r="AG70" s="1"/>
      <c r="AH70" s="8" t="s">
        <v>218</v>
      </c>
      <c r="AI70" s="18"/>
      <c r="AJ70" s="1"/>
      <c r="AK70" s="1"/>
    </row>
    <row r="71" spans="1:37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1.25" customHeight="1">
      <c r="A72" s="1"/>
      <c r="B72" s="1"/>
      <c r="C72" s="8" t="s">
        <v>1571</v>
      </c>
      <c r="D72" s="18"/>
      <c r="E72" s="18"/>
      <c r="F72" s="1"/>
      <c r="G72" s="1"/>
      <c r="H72" s="1"/>
      <c r="I72" s="8" t="s">
        <v>1572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"/>
      <c r="X72" s="1"/>
      <c r="Y72" s="1"/>
      <c r="Z72" s="1"/>
      <c r="AA72" s="8" t="s">
        <v>1542</v>
      </c>
      <c r="AB72" s="18"/>
      <c r="AC72" s="18"/>
      <c r="AD72" s="18"/>
      <c r="AE72" s="1"/>
      <c r="AF72" s="1"/>
      <c r="AG72" s="1"/>
      <c r="AH72" s="8" t="s">
        <v>218</v>
      </c>
      <c r="AI72" s="18"/>
      <c r="AJ72" s="1"/>
      <c r="AK72" s="1"/>
    </row>
    <row r="73" spans="1:37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1.25" customHeight="1">
      <c r="A74" s="1"/>
      <c r="B74" s="1"/>
      <c r="C74" s="8" t="s">
        <v>1573</v>
      </c>
      <c r="D74" s="18"/>
      <c r="E74" s="1"/>
      <c r="F74" s="1"/>
      <c r="G74" s="1"/>
      <c r="H74" s="1"/>
      <c r="I74" s="8" t="s">
        <v>1574</v>
      </c>
      <c r="J74" s="18"/>
      <c r="K74" s="18"/>
      <c r="L74" s="18"/>
      <c r="M74" s="18"/>
      <c r="N74" s="18"/>
      <c r="O74" s="18"/>
      <c r="P74" s="18"/>
      <c r="Q74" s="18"/>
      <c r="R74" s="1"/>
      <c r="S74" s="1"/>
      <c r="T74" s="1"/>
      <c r="U74" s="1"/>
      <c r="V74" s="1"/>
      <c r="W74" s="1"/>
      <c r="X74" s="1"/>
      <c r="Y74" s="1"/>
      <c r="Z74" s="1"/>
      <c r="AA74" s="8" t="s">
        <v>7</v>
      </c>
      <c r="AB74" s="18"/>
      <c r="AC74" s="18"/>
      <c r="AD74" s="18"/>
      <c r="AE74" s="1"/>
      <c r="AF74" s="1"/>
      <c r="AG74" s="1"/>
      <c r="AH74" s="1"/>
      <c r="AI74" s="5" t="s">
        <v>392</v>
      </c>
      <c r="AJ74" s="1"/>
      <c r="AK74" s="1"/>
    </row>
    <row r="75" spans="1:37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1.25" customHeight="1">
      <c r="A76" s="1"/>
      <c r="B76" s="1"/>
      <c r="C76" s="8" t="s">
        <v>1575</v>
      </c>
      <c r="D76" s="18"/>
      <c r="E76" s="1"/>
      <c r="F76" s="1"/>
      <c r="G76" s="1"/>
      <c r="H76" s="1"/>
      <c r="I76" s="8" t="s">
        <v>1576</v>
      </c>
      <c r="J76" s="18"/>
      <c r="K76" s="18"/>
      <c r="L76" s="18"/>
      <c r="M76" s="1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8" t="s">
        <v>7</v>
      </c>
      <c r="AB76" s="18"/>
      <c r="AC76" s="18"/>
      <c r="AD76" s="18"/>
      <c r="AE76" s="1"/>
      <c r="AF76" s="1"/>
      <c r="AG76" s="1"/>
      <c r="AH76" s="8" t="s">
        <v>1054</v>
      </c>
      <c r="AI76" s="18"/>
      <c r="AJ76" s="1"/>
      <c r="AK76" s="1"/>
    </row>
    <row r="77" spans="1:37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1.25" customHeight="1">
      <c r="A78" s="1"/>
      <c r="B78" s="1"/>
      <c r="C78" s="8" t="s">
        <v>1577</v>
      </c>
      <c r="D78" s="18"/>
      <c r="E78" s="1"/>
      <c r="F78" s="1"/>
      <c r="G78" s="1"/>
      <c r="H78" s="1"/>
      <c r="I78" s="8" t="s">
        <v>1578</v>
      </c>
      <c r="J78" s="18"/>
      <c r="K78" s="18"/>
      <c r="L78" s="18"/>
      <c r="M78" s="1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8" t="s">
        <v>7</v>
      </c>
      <c r="AB78" s="18"/>
      <c r="AC78" s="18"/>
      <c r="AD78" s="18"/>
      <c r="AE78" s="1"/>
      <c r="AF78" s="1"/>
      <c r="AG78" s="1"/>
      <c r="AH78" s="8" t="s">
        <v>640</v>
      </c>
      <c r="AI78" s="18"/>
      <c r="AJ78" s="1"/>
      <c r="AK78" s="1"/>
    </row>
    <row r="79" spans="1:37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1.25" customHeight="1">
      <c r="A80" s="1"/>
      <c r="B80" s="1"/>
      <c r="C80" s="8" t="s">
        <v>1579</v>
      </c>
      <c r="D80" s="18"/>
      <c r="E80" s="1"/>
      <c r="F80" s="1"/>
      <c r="G80" s="1"/>
      <c r="H80" s="1"/>
      <c r="I80" s="8" t="s">
        <v>1580</v>
      </c>
      <c r="J80" s="18"/>
      <c r="K80" s="18"/>
      <c r="L80" s="18"/>
      <c r="M80" s="18"/>
      <c r="N80" s="18"/>
      <c r="O80" s="1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8" t="s">
        <v>7</v>
      </c>
      <c r="AB80" s="18"/>
      <c r="AC80" s="18"/>
      <c r="AD80" s="18"/>
      <c r="AE80" s="1"/>
      <c r="AF80" s="1"/>
      <c r="AG80" s="1"/>
      <c r="AH80" s="1"/>
      <c r="AI80" s="5" t="s">
        <v>183</v>
      </c>
      <c r="AJ80" s="1"/>
      <c r="AK80" s="1"/>
    </row>
    <row r="81" spans="1:37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1.25" customHeight="1">
      <c r="A82" s="1"/>
      <c r="B82" s="1"/>
      <c r="C82" s="8" t="s">
        <v>1581</v>
      </c>
      <c r="D82" s="18"/>
      <c r="E82" s="1"/>
      <c r="F82" s="1"/>
      <c r="G82" s="1"/>
      <c r="H82" s="1"/>
      <c r="I82" s="8" t="s">
        <v>1582</v>
      </c>
      <c r="J82" s="18"/>
      <c r="K82" s="18"/>
      <c r="L82" s="18"/>
      <c r="M82" s="18"/>
      <c r="N82" s="18"/>
      <c r="O82" s="1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8" t="s">
        <v>7</v>
      </c>
      <c r="AB82" s="18"/>
      <c r="AC82" s="18"/>
      <c r="AD82" s="18"/>
      <c r="AE82" s="1"/>
      <c r="AF82" s="1"/>
      <c r="AG82" s="1"/>
      <c r="AH82" s="8" t="s">
        <v>110</v>
      </c>
      <c r="AI82" s="18"/>
      <c r="AJ82" s="1"/>
      <c r="AK82" s="1"/>
    </row>
    <row r="83" spans="1:37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1.25" customHeight="1">
      <c r="A84" s="1"/>
      <c r="B84" s="1"/>
      <c r="C84" s="8" t="s">
        <v>1583</v>
      </c>
      <c r="D84" s="18"/>
      <c r="E84" s="1"/>
      <c r="F84" s="1"/>
      <c r="G84" s="1"/>
      <c r="H84" s="1"/>
      <c r="I84" s="8" t="s">
        <v>1584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"/>
      <c r="U84" s="1"/>
      <c r="V84" s="1"/>
      <c r="W84" s="1"/>
      <c r="X84" s="1"/>
      <c r="Y84" s="1"/>
      <c r="Z84" s="1"/>
      <c r="AA84" s="8" t="s">
        <v>7</v>
      </c>
      <c r="AB84" s="18"/>
      <c r="AC84" s="18"/>
      <c r="AD84" s="18"/>
      <c r="AE84" s="1"/>
      <c r="AF84" s="1"/>
      <c r="AG84" s="1"/>
      <c r="AH84" s="1"/>
      <c r="AI84" s="5" t="s">
        <v>295</v>
      </c>
      <c r="AJ84" s="1"/>
      <c r="AK84" s="1"/>
    </row>
    <row r="85" spans="1:37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1.25" customHeight="1">
      <c r="A86" s="1"/>
      <c r="B86" s="1"/>
      <c r="C86" s="8" t="s">
        <v>1585</v>
      </c>
      <c r="D86" s="18"/>
      <c r="E86" s="1"/>
      <c r="F86" s="1"/>
      <c r="G86" s="1"/>
      <c r="H86" s="1"/>
      <c r="I86" s="8" t="s">
        <v>1586</v>
      </c>
      <c r="J86" s="18"/>
      <c r="K86" s="18"/>
      <c r="L86" s="18"/>
      <c r="M86" s="1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8" t="s">
        <v>7</v>
      </c>
      <c r="AB86" s="18"/>
      <c r="AC86" s="18"/>
      <c r="AD86" s="18"/>
      <c r="AE86" s="1"/>
      <c r="AF86" s="1"/>
      <c r="AG86" s="1"/>
      <c r="AH86" s="8" t="s">
        <v>417</v>
      </c>
      <c r="AI86" s="18"/>
      <c r="AJ86" s="1"/>
      <c r="AK86" s="1"/>
    </row>
    <row r="87" spans="1:37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1.25" customHeight="1">
      <c r="A88" s="1"/>
      <c r="B88" s="1"/>
      <c r="C88" s="8" t="s">
        <v>1587</v>
      </c>
      <c r="D88" s="18"/>
      <c r="E88" s="1"/>
      <c r="F88" s="1"/>
      <c r="G88" s="1"/>
      <c r="H88" s="1"/>
      <c r="I88" s="8" t="s">
        <v>1588</v>
      </c>
      <c r="J88" s="18"/>
      <c r="K88" s="18"/>
      <c r="L88" s="18"/>
      <c r="M88" s="18"/>
      <c r="N88" s="1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8" t="s">
        <v>7</v>
      </c>
      <c r="AB88" s="18"/>
      <c r="AC88" s="18"/>
      <c r="AD88" s="18"/>
      <c r="AE88" s="1"/>
      <c r="AF88" s="1"/>
      <c r="AG88" s="1"/>
      <c r="AH88" s="1"/>
      <c r="AI88" s="5" t="s">
        <v>27</v>
      </c>
      <c r="AJ88" s="1"/>
      <c r="AK88" s="1"/>
    </row>
    <row r="89" spans="1:37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1.25" customHeight="1">
      <c r="A90" s="1"/>
      <c r="B90" s="1"/>
      <c r="C90" s="8" t="s">
        <v>1589</v>
      </c>
      <c r="D90" s="18"/>
      <c r="E90" s="1"/>
      <c r="F90" s="1"/>
      <c r="G90" s="1"/>
      <c r="H90" s="1"/>
      <c r="I90" s="8" t="s">
        <v>1590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"/>
      <c r="Z90" s="1"/>
      <c r="AA90" s="8" t="s">
        <v>7</v>
      </c>
      <c r="AB90" s="18"/>
      <c r="AC90" s="18"/>
      <c r="AD90" s="18"/>
      <c r="AE90" s="1"/>
      <c r="AF90" s="1"/>
      <c r="AG90" s="1"/>
      <c r="AH90" s="8" t="s">
        <v>414</v>
      </c>
      <c r="AI90" s="18"/>
      <c r="AJ90" s="1"/>
      <c r="AK90" s="1"/>
    </row>
    <row r="91" spans="1:37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1.25" customHeight="1">
      <c r="A92" s="1"/>
      <c r="B92" s="1"/>
      <c r="C92" s="8" t="s">
        <v>1591</v>
      </c>
      <c r="D92" s="18"/>
      <c r="E92" s="1"/>
      <c r="F92" s="1"/>
      <c r="G92" s="1"/>
      <c r="H92" s="1"/>
      <c r="I92" s="8" t="s">
        <v>1592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"/>
      <c r="U92" s="1"/>
      <c r="V92" s="1"/>
      <c r="W92" s="1"/>
      <c r="X92" s="1"/>
      <c r="Y92" s="1"/>
      <c r="Z92" s="1"/>
      <c r="AA92" s="8" t="s">
        <v>7</v>
      </c>
      <c r="AB92" s="18"/>
      <c r="AC92" s="18"/>
      <c r="AD92" s="18"/>
      <c r="AE92" s="1"/>
      <c r="AF92" s="1"/>
      <c r="AG92" s="1"/>
      <c r="AH92" s="1"/>
      <c r="AI92" s="5" t="s">
        <v>195</v>
      </c>
      <c r="AJ92" s="1"/>
      <c r="AK92" s="1"/>
    </row>
    <row r="93" spans="1:37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1.25" customHeight="1">
      <c r="A94" s="1"/>
      <c r="B94" s="1"/>
      <c r="C94" s="8" t="s">
        <v>1593</v>
      </c>
      <c r="D94" s="18"/>
      <c r="E94" s="1"/>
      <c r="F94" s="1"/>
      <c r="G94" s="1"/>
      <c r="H94" s="1"/>
      <c r="I94" s="8" t="s">
        <v>1594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"/>
      <c r="U94" s="1"/>
      <c r="V94" s="1"/>
      <c r="W94" s="1"/>
      <c r="X94" s="1"/>
      <c r="Y94" s="1"/>
      <c r="Z94" s="1"/>
      <c r="AA94" s="8" t="s">
        <v>7</v>
      </c>
      <c r="AB94" s="18"/>
      <c r="AC94" s="18"/>
      <c r="AD94" s="18"/>
      <c r="AE94" s="1"/>
      <c r="AF94" s="1"/>
      <c r="AG94" s="1"/>
      <c r="AH94" s="1"/>
      <c r="AI94" s="5" t="s">
        <v>183</v>
      </c>
      <c r="AJ94" s="1"/>
      <c r="AK94" s="1"/>
    </row>
    <row r="95" spans="1:37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1.25" customHeight="1">
      <c r="A96" s="1"/>
      <c r="B96" s="1"/>
      <c r="C96" s="8" t="s">
        <v>1595</v>
      </c>
      <c r="D96" s="18"/>
      <c r="E96" s="1"/>
      <c r="F96" s="1"/>
      <c r="G96" s="1"/>
      <c r="H96" s="1"/>
      <c r="I96" s="8" t="s">
        <v>1596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"/>
      <c r="W96" s="1"/>
      <c r="X96" s="1"/>
      <c r="Y96" s="1"/>
      <c r="Z96" s="1"/>
      <c r="AA96" s="8" t="s">
        <v>7</v>
      </c>
      <c r="AB96" s="18"/>
      <c r="AC96" s="18"/>
      <c r="AD96" s="18"/>
      <c r="AE96" s="1"/>
      <c r="AF96" s="1"/>
      <c r="AG96" s="1"/>
      <c r="AH96" s="8" t="s">
        <v>166</v>
      </c>
      <c r="AI96" s="18"/>
      <c r="AJ96" s="1"/>
      <c r="AK96" s="1"/>
    </row>
    <row r="97" spans="1:37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1.25" customHeight="1">
      <c r="A98" s="1"/>
      <c r="B98" s="1"/>
      <c r="C98" s="8" t="s">
        <v>1597</v>
      </c>
      <c r="D98" s="18"/>
      <c r="E98" s="1"/>
      <c r="F98" s="1"/>
      <c r="G98" s="1"/>
      <c r="H98" s="1"/>
      <c r="I98" s="8" t="s">
        <v>1598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"/>
      <c r="Y98" s="1"/>
      <c r="Z98" s="1"/>
      <c r="AA98" s="8" t="s">
        <v>7</v>
      </c>
      <c r="AB98" s="18"/>
      <c r="AC98" s="18"/>
      <c r="AD98" s="18"/>
      <c r="AE98" s="1"/>
      <c r="AF98" s="1"/>
      <c r="AG98" s="1"/>
      <c r="AH98" s="8" t="s">
        <v>389</v>
      </c>
      <c r="AI98" s="18"/>
      <c r="AJ98" s="1"/>
      <c r="AK98" s="1"/>
    </row>
    <row r="99" spans="1:37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1.25" customHeight="1">
      <c r="A100" s="1"/>
      <c r="B100" s="1"/>
      <c r="C100" s="8" t="s">
        <v>1599</v>
      </c>
      <c r="D100" s="18"/>
      <c r="E100" s="1"/>
      <c r="F100" s="1"/>
      <c r="G100" s="1"/>
      <c r="H100" s="1"/>
      <c r="I100" s="8" t="s">
        <v>1600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"/>
      <c r="U100" s="1"/>
      <c r="V100" s="1"/>
      <c r="W100" s="1"/>
      <c r="X100" s="1"/>
      <c r="Y100" s="1"/>
      <c r="Z100" s="1"/>
      <c r="AA100" s="8" t="s">
        <v>7</v>
      </c>
      <c r="AB100" s="18"/>
      <c r="AC100" s="18"/>
      <c r="AD100" s="18"/>
      <c r="AE100" s="1"/>
      <c r="AF100" s="1"/>
      <c r="AG100" s="1"/>
      <c r="AH100" s="1"/>
      <c r="AI100" s="5" t="s">
        <v>295</v>
      </c>
      <c r="AJ100" s="1"/>
      <c r="AK100" s="1"/>
    </row>
    <row r="101" spans="1:37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0.15" customHeight="1">
      <c r="A102" s="1"/>
      <c r="B102" s="1"/>
      <c r="C102" s="1"/>
      <c r="D102" s="1"/>
      <c r="E102" s="1"/>
      <c r="F102" s="1"/>
      <c r="G102" s="1"/>
      <c r="H102" s="1"/>
      <c r="I102" s="1"/>
      <c r="J102" s="8" t="s">
        <v>133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1"/>
      <c r="K104" s="8" t="s">
        <v>135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8" t="s">
        <v>1601</v>
      </c>
      <c r="AG104" s="18"/>
      <c r="AH104" s="18"/>
      <c r="AI104" s="18"/>
      <c r="AJ104" s="18"/>
      <c r="AK104" s="1"/>
    </row>
    <row r="105" spans="1:37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mergeCells count="173">
    <mergeCell ref="B2:G4"/>
    <mergeCell ref="H2:AA4"/>
    <mergeCell ref="AB2:AC4"/>
    <mergeCell ref="AF3:AJ3"/>
    <mergeCell ref="AH6:AI6"/>
    <mergeCell ref="C8:E8"/>
    <mergeCell ref="I8:N8"/>
    <mergeCell ref="AC8:AD8"/>
    <mergeCell ref="AH8:AI8"/>
    <mergeCell ref="AC6:AD6"/>
    <mergeCell ref="C10:D10"/>
    <mergeCell ref="I10:P10"/>
    <mergeCell ref="AC10:AD10"/>
    <mergeCell ref="C12:D12"/>
    <mergeCell ref="I12:K12"/>
    <mergeCell ref="AC12:AD12"/>
    <mergeCell ref="C14:D14"/>
    <mergeCell ref="I14:L14"/>
    <mergeCell ref="AA14:AD14"/>
    <mergeCell ref="C16:D16"/>
    <mergeCell ref="I16:L16"/>
    <mergeCell ref="AC16:AD16"/>
    <mergeCell ref="AH16:AI16"/>
    <mergeCell ref="C18:D18"/>
    <mergeCell ref="I18:M18"/>
    <mergeCell ref="AC18:AD18"/>
    <mergeCell ref="AG18:AI18"/>
    <mergeCell ref="C20:D20"/>
    <mergeCell ref="I20:N20"/>
    <mergeCell ref="AA20:AD20"/>
    <mergeCell ref="AH20:AI20"/>
    <mergeCell ref="C22:D22"/>
    <mergeCell ref="I22:L22"/>
    <mergeCell ref="AA22:AD22"/>
    <mergeCell ref="C24:D24"/>
    <mergeCell ref="I24:R24"/>
    <mergeCell ref="AA24:AD24"/>
    <mergeCell ref="AH24:AI24"/>
    <mergeCell ref="C26:D26"/>
    <mergeCell ref="I26:S26"/>
    <mergeCell ref="AA26:AD26"/>
    <mergeCell ref="AG26:AI26"/>
    <mergeCell ref="C28:D28"/>
    <mergeCell ref="I28:Q28"/>
    <mergeCell ref="AA28:AD28"/>
    <mergeCell ref="AH28:AI28"/>
    <mergeCell ref="C30:D30"/>
    <mergeCell ref="I30:K30"/>
    <mergeCell ref="AC30:AD30"/>
    <mergeCell ref="C32:D32"/>
    <mergeCell ref="I32:K32"/>
    <mergeCell ref="AA32:AD32"/>
    <mergeCell ref="AH32:AI32"/>
    <mergeCell ref="C34:D34"/>
    <mergeCell ref="I34:L34"/>
    <mergeCell ref="AA34:AD34"/>
    <mergeCell ref="C36:D36"/>
    <mergeCell ref="I36:L36"/>
    <mergeCell ref="AA36:AD36"/>
    <mergeCell ref="C38:D38"/>
    <mergeCell ref="I38:L38"/>
    <mergeCell ref="AA38:AD38"/>
    <mergeCell ref="C40:E40"/>
    <mergeCell ref="I40:R40"/>
    <mergeCell ref="AA40:AD40"/>
    <mergeCell ref="C42:E42"/>
    <mergeCell ref="I42:U42"/>
    <mergeCell ref="AA42:AD42"/>
    <mergeCell ref="AH42:AI42"/>
    <mergeCell ref="C44:E44"/>
    <mergeCell ref="I44:T44"/>
    <mergeCell ref="AA44:AD44"/>
    <mergeCell ref="C46:E46"/>
    <mergeCell ref="I46:V46"/>
    <mergeCell ref="AA46:AD46"/>
    <mergeCell ref="AH46:AI46"/>
    <mergeCell ref="C48:E48"/>
    <mergeCell ref="I48:V48"/>
    <mergeCell ref="AA48:AD48"/>
    <mergeCell ref="AH48:AI48"/>
    <mergeCell ref="C50:E50"/>
    <mergeCell ref="I50:X50"/>
    <mergeCell ref="AA50:AD50"/>
    <mergeCell ref="C52:E52"/>
    <mergeCell ref="I52:Y52"/>
    <mergeCell ref="AA52:AD52"/>
    <mergeCell ref="AH52:AI52"/>
    <mergeCell ref="C54:E54"/>
    <mergeCell ref="I54:Y54"/>
    <mergeCell ref="AA54:AD54"/>
    <mergeCell ref="AH54:AI54"/>
    <mergeCell ref="C56:E56"/>
    <mergeCell ref="I56:V56"/>
    <mergeCell ref="AA56:AD56"/>
    <mergeCell ref="AH56:AI56"/>
    <mergeCell ref="C58:E58"/>
    <mergeCell ref="I58:S58"/>
    <mergeCell ref="AA58:AD58"/>
    <mergeCell ref="C60:E60"/>
    <mergeCell ref="I60:W60"/>
    <mergeCell ref="AA60:AD60"/>
    <mergeCell ref="C62:F62"/>
    <mergeCell ref="I62:X62"/>
    <mergeCell ref="AA62:AD62"/>
    <mergeCell ref="C64:E64"/>
    <mergeCell ref="I64:U64"/>
    <mergeCell ref="AA64:AD64"/>
    <mergeCell ref="C66:E66"/>
    <mergeCell ref="I66:S66"/>
    <mergeCell ref="AA66:AD66"/>
    <mergeCell ref="C68:E68"/>
    <mergeCell ref="I68:V68"/>
    <mergeCell ref="AA68:AD68"/>
    <mergeCell ref="C70:E70"/>
    <mergeCell ref="I70:W70"/>
    <mergeCell ref="AA70:AD70"/>
    <mergeCell ref="AH70:AI70"/>
    <mergeCell ref="C72:E72"/>
    <mergeCell ref="I72:V72"/>
    <mergeCell ref="AA72:AD72"/>
    <mergeCell ref="AH72:AI72"/>
    <mergeCell ref="C74:D74"/>
    <mergeCell ref="I74:Q74"/>
    <mergeCell ref="AA74:AD74"/>
    <mergeCell ref="C76:D76"/>
    <mergeCell ref="I76:M76"/>
    <mergeCell ref="AA76:AD76"/>
    <mergeCell ref="AH76:AI76"/>
    <mergeCell ref="C78:D78"/>
    <mergeCell ref="I78:M78"/>
    <mergeCell ref="AA78:AD78"/>
    <mergeCell ref="AH78:AI78"/>
    <mergeCell ref="C80:D80"/>
    <mergeCell ref="I80:O80"/>
    <mergeCell ref="AA80:AD80"/>
    <mergeCell ref="C82:D82"/>
    <mergeCell ref="I82:O82"/>
    <mergeCell ref="AA82:AD82"/>
    <mergeCell ref="AH82:AI82"/>
    <mergeCell ref="C84:D84"/>
    <mergeCell ref="I84:S84"/>
    <mergeCell ref="AA84:AD84"/>
    <mergeCell ref="C86:D86"/>
    <mergeCell ref="I86:M86"/>
    <mergeCell ref="AA86:AD86"/>
    <mergeCell ref="AH86:AI86"/>
    <mergeCell ref="C88:D88"/>
    <mergeCell ref="I88:N88"/>
    <mergeCell ref="AA88:AD88"/>
    <mergeCell ref="C90:D90"/>
    <mergeCell ref="I90:X90"/>
    <mergeCell ref="AA90:AD90"/>
    <mergeCell ref="AH90:AI90"/>
    <mergeCell ref="C92:D92"/>
    <mergeCell ref="I92:S92"/>
    <mergeCell ref="AA92:AD92"/>
    <mergeCell ref="C100:D100"/>
    <mergeCell ref="I100:S100"/>
    <mergeCell ref="AA100:AD100"/>
    <mergeCell ref="J102:W102"/>
    <mergeCell ref="K104:U104"/>
    <mergeCell ref="AF104:AJ104"/>
    <mergeCell ref="C94:D94"/>
    <mergeCell ref="I94:S94"/>
    <mergeCell ref="AA94:AD94"/>
    <mergeCell ref="C96:D96"/>
    <mergeCell ref="I96:U96"/>
    <mergeCell ref="AA96:AD96"/>
    <mergeCell ref="AH96:AI96"/>
    <mergeCell ref="C98:D98"/>
    <mergeCell ref="I98:W98"/>
    <mergeCell ref="AA98:AD98"/>
    <mergeCell ref="AH98:AI9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5703125" customWidth="1"/>
    <col min="6" max="6" width="17.5703125" customWidth="1"/>
    <col min="7" max="7" width="0.140625" customWidth="1"/>
    <col min="8" max="8" width="3.7109375" customWidth="1"/>
    <col min="9" max="9" width="8.42578125" customWidth="1"/>
    <col min="10" max="10" width="4.7109375" customWidth="1"/>
    <col min="11" max="11" width="4.85546875" customWidth="1"/>
    <col min="12" max="12" width="6.140625" customWidth="1"/>
    <col min="13" max="13" width="4.42578125" customWidth="1"/>
    <col min="14" max="14" width="6.42578125" customWidth="1"/>
    <col min="15" max="15" width="2.7109375" customWidth="1"/>
    <col min="16" max="16" width="6.140625" customWidth="1"/>
    <col min="17" max="17" width="7" customWidth="1"/>
    <col min="18" max="18" width="5" customWidth="1"/>
    <col min="19" max="19" width="3.42578125" customWidth="1"/>
    <col min="20" max="20" width="10.7109375" customWidth="1"/>
    <col min="21" max="21" width="0.28515625" customWidth="1"/>
    <col min="22" max="22" width="3.140625" customWidth="1"/>
    <col min="23" max="23" width="2.85546875" customWidth="1"/>
    <col min="24" max="24" width="0.42578125" customWidth="1"/>
    <col min="25" max="25" width="4.42578125" customWidth="1"/>
    <col min="26" max="26" width="3" customWidth="1"/>
    <col min="27" max="27" width="7.28515625" customWidth="1"/>
    <col min="28" max="28" width="1" customWidth="1"/>
    <col min="29" max="29" width="3.85546875" customWidth="1"/>
  </cols>
  <sheetData>
    <row r="1" spans="1:29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  <c r="AA1" s="1"/>
      <c r="AB1" s="1"/>
      <c r="AC1" s="1"/>
    </row>
    <row r="2" spans="1:29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9" t="s">
        <v>2</v>
      </c>
      <c r="W2" s="11"/>
      <c r="X2" s="4"/>
      <c r="Y2" s="1"/>
      <c r="Z2" s="1"/>
      <c r="AA2" s="1"/>
      <c r="AB2" s="1"/>
      <c r="AC2" s="1"/>
    </row>
    <row r="3" spans="1:29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12"/>
      <c r="W3" s="14"/>
      <c r="X3" s="4"/>
      <c r="Y3" s="1"/>
      <c r="Z3" s="8" t="s">
        <v>3</v>
      </c>
      <c r="AA3" s="18"/>
      <c r="AB3" s="18"/>
      <c r="AC3" s="1"/>
    </row>
    <row r="4" spans="1:29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15"/>
      <c r="W4" s="17"/>
      <c r="X4" s="4"/>
      <c r="Y4" s="1"/>
      <c r="Z4" s="1"/>
      <c r="AA4" s="1"/>
      <c r="AB4" s="1"/>
      <c r="AC4" s="1"/>
    </row>
    <row r="5" spans="1:29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  <c r="Y5" s="1"/>
      <c r="Z5" s="1"/>
      <c r="AA5" s="1"/>
      <c r="AB5" s="1"/>
      <c r="AC5" s="1"/>
    </row>
    <row r="6" spans="1:29" ht="11.25" customHeight="1">
      <c r="A6" s="1"/>
      <c r="B6" s="1"/>
      <c r="C6" s="1" t="s">
        <v>2236</v>
      </c>
      <c r="D6" s="1"/>
      <c r="E6" s="1"/>
      <c r="F6" s="1"/>
      <c r="G6" s="1"/>
      <c r="H6" s="1" t="s">
        <v>2237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8" t="s">
        <v>7</v>
      </c>
      <c r="W6" s="18"/>
      <c r="X6" s="18"/>
      <c r="Y6" s="18"/>
      <c r="Z6" s="1"/>
      <c r="AA6" s="5" t="s">
        <v>295</v>
      </c>
      <c r="AB6" s="1"/>
      <c r="AC6" s="1"/>
    </row>
    <row r="7" spans="1:29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1.25" customHeight="1">
      <c r="A8" s="1"/>
      <c r="B8" s="1"/>
      <c r="C8" s="8" t="s">
        <v>1602</v>
      </c>
      <c r="D8" s="18"/>
      <c r="E8" s="1"/>
      <c r="F8" s="1"/>
      <c r="G8" s="1"/>
      <c r="H8" s="8" t="s">
        <v>1603</v>
      </c>
      <c r="I8" s="18"/>
      <c r="J8" s="18"/>
      <c r="K8" s="18"/>
      <c r="L8" s="18"/>
      <c r="M8" s="18"/>
      <c r="N8" s="1"/>
      <c r="O8" s="1"/>
      <c r="P8" s="1"/>
      <c r="Q8" s="1"/>
      <c r="R8" s="1"/>
      <c r="S8" s="1"/>
      <c r="T8" s="1"/>
      <c r="U8" s="8" t="s">
        <v>7</v>
      </c>
      <c r="V8" s="18"/>
      <c r="W8" s="18"/>
      <c r="X8" s="18"/>
      <c r="Y8" s="1"/>
      <c r="Z8" s="1"/>
      <c r="AA8" s="5" t="s">
        <v>762</v>
      </c>
      <c r="AB8" s="1"/>
      <c r="AC8" s="1"/>
    </row>
    <row r="9" spans="1:29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1.25" customHeight="1">
      <c r="A10" s="1"/>
      <c r="B10" s="1"/>
      <c r="C10" s="8" t="s">
        <v>1604</v>
      </c>
      <c r="D10" s="18"/>
      <c r="E10" s="1"/>
      <c r="F10" s="1"/>
      <c r="G10" s="1"/>
      <c r="H10" s="8" t="s">
        <v>1605</v>
      </c>
      <c r="I10" s="18"/>
      <c r="J10" s="18"/>
      <c r="K10" s="18"/>
      <c r="L10" s="18"/>
      <c r="M10" s="18"/>
      <c r="N10" s="1"/>
      <c r="O10" s="1"/>
      <c r="P10" s="1"/>
      <c r="Q10" s="1"/>
      <c r="R10" s="1"/>
      <c r="S10" s="1"/>
      <c r="T10" s="1"/>
      <c r="U10" s="8" t="s">
        <v>7</v>
      </c>
      <c r="V10" s="18"/>
      <c r="W10" s="18"/>
      <c r="X10" s="18"/>
      <c r="Y10" s="1"/>
      <c r="Z10" s="1"/>
      <c r="AA10" s="5" t="s">
        <v>991</v>
      </c>
      <c r="AB10" s="1"/>
      <c r="AC10" s="1"/>
    </row>
    <row r="11" spans="1:29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1.25" customHeight="1">
      <c r="A12" s="1"/>
      <c r="B12" s="1"/>
      <c r="C12" s="8" t="s">
        <v>1606</v>
      </c>
      <c r="D12" s="18"/>
      <c r="E12" s="1"/>
      <c r="F12" s="1"/>
      <c r="G12" s="1"/>
      <c r="H12" s="8" t="s">
        <v>1607</v>
      </c>
      <c r="I12" s="18"/>
      <c r="J12" s="18"/>
      <c r="K12" s="18"/>
      <c r="L12" s="18"/>
      <c r="M12" s="18"/>
      <c r="N12" s="18"/>
      <c r="O12" s="1"/>
      <c r="P12" s="1"/>
      <c r="Q12" s="1"/>
      <c r="R12" s="1"/>
      <c r="S12" s="1"/>
      <c r="T12" s="1"/>
      <c r="U12" s="8" t="s">
        <v>7</v>
      </c>
      <c r="V12" s="18"/>
      <c r="W12" s="18"/>
      <c r="X12" s="18"/>
      <c r="Y12" s="1"/>
      <c r="Z12" s="1"/>
      <c r="AA12" s="5" t="s">
        <v>426</v>
      </c>
      <c r="AB12" s="1"/>
      <c r="AC12" s="1"/>
    </row>
    <row r="13" spans="1:29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1.25" customHeight="1">
      <c r="A14" s="1"/>
      <c r="B14" s="1"/>
      <c r="C14" s="8" t="s">
        <v>1608</v>
      </c>
      <c r="D14" s="18"/>
      <c r="E14" s="1"/>
      <c r="F14" s="1"/>
      <c r="G14" s="1"/>
      <c r="H14" s="8" t="s">
        <v>1609</v>
      </c>
      <c r="I14" s="18"/>
      <c r="J14" s="18"/>
      <c r="K14" s="18"/>
      <c r="L14" s="18"/>
      <c r="M14" s="18"/>
      <c r="N14" s="18"/>
      <c r="O14" s="18"/>
      <c r="P14" s="18"/>
      <c r="Q14" s="18"/>
      <c r="R14" s="1"/>
      <c r="S14" s="1"/>
      <c r="T14" s="1"/>
      <c r="U14" s="8" t="s">
        <v>7</v>
      </c>
      <c r="V14" s="18"/>
      <c r="W14" s="18"/>
      <c r="X14" s="18"/>
      <c r="Y14" s="1"/>
      <c r="Z14" s="1"/>
      <c r="AA14" s="5" t="s">
        <v>239</v>
      </c>
      <c r="AB14" s="1"/>
      <c r="AC14" s="1"/>
    </row>
    <row r="15" spans="1:29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1.25" customHeight="1">
      <c r="A16" s="1"/>
      <c r="B16" s="1"/>
      <c r="C16" s="8" t="s">
        <v>1610</v>
      </c>
      <c r="D16" s="18"/>
      <c r="E16" s="1"/>
      <c r="F16" s="1"/>
      <c r="G16" s="1"/>
      <c r="H16" s="8" t="s">
        <v>1611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"/>
      <c r="T16" s="1"/>
      <c r="U16" s="8" t="s">
        <v>7</v>
      </c>
      <c r="V16" s="18"/>
      <c r="W16" s="18"/>
      <c r="X16" s="18"/>
      <c r="Y16" s="1"/>
      <c r="Z16" s="1"/>
      <c r="AA16" s="5" t="s">
        <v>239</v>
      </c>
      <c r="AB16" s="1"/>
      <c r="AC16" s="1"/>
    </row>
    <row r="17" spans="1:29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1.25" customHeight="1">
      <c r="A18" s="1"/>
      <c r="B18" s="1"/>
      <c r="C18" s="8" t="s">
        <v>1612</v>
      </c>
      <c r="D18" s="18"/>
      <c r="E18" s="1"/>
      <c r="F18" s="1"/>
      <c r="G18" s="1"/>
      <c r="H18" s="8" t="s">
        <v>1613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"/>
      <c r="U18" s="8" t="s">
        <v>7</v>
      </c>
      <c r="V18" s="18"/>
      <c r="W18" s="18"/>
      <c r="X18" s="18"/>
      <c r="Y18" s="1"/>
      <c r="Z18" s="1"/>
      <c r="AA18" s="5" t="s">
        <v>557</v>
      </c>
      <c r="AB18" s="1"/>
      <c r="AC18" s="1"/>
    </row>
    <row r="19" spans="1:29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1.25" customHeight="1">
      <c r="A20" s="1"/>
      <c r="B20" s="1"/>
      <c r="C20" s="8" t="s">
        <v>1614</v>
      </c>
      <c r="D20" s="18"/>
      <c r="E20" s="1"/>
      <c r="F20" s="1"/>
      <c r="G20" s="1"/>
      <c r="H20" s="8" t="s">
        <v>1615</v>
      </c>
      <c r="I20" s="18"/>
      <c r="J20" s="18"/>
      <c r="K20" s="18"/>
      <c r="L20" s="18"/>
      <c r="M20" s="18"/>
      <c r="N20" s="18"/>
      <c r="O20" s="18"/>
      <c r="P20" s="18"/>
      <c r="Q20" s="18"/>
      <c r="R20" s="1"/>
      <c r="S20" s="1"/>
      <c r="T20" s="1"/>
      <c r="U20" s="8" t="s">
        <v>7</v>
      </c>
      <c r="V20" s="18"/>
      <c r="W20" s="18"/>
      <c r="X20" s="18"/>
      <c r="Y20" s="1"/>
      <c r="Z20" s="1"/>
      <c r="AA20" s="5" t="s">
        <v>213</v>
      </c>
      <c r="AB20" s="1"/>
      <c r="AC20" s="1"/>
    </row>
    <row r="21" spans="1:29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1.25" customHeight="1">
      <c r="A22" s="1"/>
      <c r="B22" s="1"/>
      <c r="C22" s="8" t="s">
        <v>1616</v>
      </c>
      <c r="D22" s="18"/>
      <c r="E22" s="1"/>
      <c r="F22" s="1"/>
      <c r="G22" s="1"/>
      <c r="H22" s="8" t="s">
        <v>1617</v>
      </c>
      <c r="I22" s="18"/>
      <c r="J22" s="18"/>
      <c r="K22" s="18"/>
      <c r="L22" s="18"/>
      <c r="M22" s="18"/>
      <c r="N22" s="18"/>
      <c r="O22" s="18"/>
      <c r="P22" s="18"/>
      <c r="Q22" s="18"/>
      <c r="R22" s="1"/>
      <c r="S22" s="1"/>
      <c r="T22" s="1"/>
      <c r="U22" s="8" t="s">
        <v>7</v>
      </c>
      <c r="V22" s="18"/>
      <c r="W22" s="18"/>
      <c r="X22" s="18"/>
      <c r="Y22" s="1"/>
      <c r="Z22" s="1"/>
      <c r="AA22" s="5" t="s">
        <v>239</v>
      </c>
      <c r="AB22" s="1"/>
      <c r="AC22" s="1"/>
    </row>
    <row r="23" spans="1:29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1.25" customHeight="1">
      <c r="A24" s="1"/>
      <c r="B24" s="1"/>
      <c r="C24" s="8" t="s">
        <v>1618</v>
      </c>
      <c r="D24" s="18"/>
      <c r="E24" s="1"/>
      <c r="F24" s="1"/>
      <c r="G24" s="1"/>
      <c r="H24" s="8" t="s">
        <v>1619</v>
      </c>
      <c r="I24" s="18"/>
      <c r="J24" s="18"/>
      <c r="K24" s="18"/>
      <c r="L24" s="18"/>
      <c r="M24" s="18"/>
      <c r="N24" s="18"/>
      <c r="O24" s="18"/>
      <c r="P24" s="18"/>
      <c r="Q24" s="18"/>
      <c r="R24" s="1"/>
      <c r="S24" s="1"/>
      <c r="T24" s="1"/>
      <c r="U24" s="8" t="s">
        <v>7</v>
      </c>
      <c r="V24" s="18"/>
      <c r="W24" s="18"/>
      <c r="X24" s="18"/>
      <c r="Y24" s="1"/>
      <c r="Z24" s="1"/>
      <c r="AA24" s="5" t="s">
        <v>239</v>
      </c>
      <c r="AB24" s="1"/>
      <c r="AC24" s="1"/>
    </row>
    <row r="25" spans="1:29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1.25" customHeight="1">
      <c r="A26" s="1"/>
      <c r="B26" s="1"/>
      <c r="C26" s="8" t="s">
        <v>1620</v>
      </c>
      <c r="D26" s="18"/>
      <c r="E26" s="1"/>
      <c r="F26" s="1"/>
      <c r="G26" s="1"/>
      <c r="H26" s="8" t="s">
        <v>1621</v>
      </c>
      <c r="I26" s="18"/>
      <c r="J26" s="18"/>
      <c r="K26" s="18"/>
      <c r="L26" s="18"/>
      <c r="M26" s="18"/>
      <c r="N26" s="1"/>
      <c r="O26" s="1"/>
      <c r="P26" s="1"/>
      <c r="Q26" s="1"/>
      <c r="R26" s="1"/>
      <c r="S26" s="1"/>
      <c r="T26" s="1"/>
      <c r="U26" s="8" t="s">
        <v>7</v>
      </c>
      <c r="V26" s="18"/>
      <c r="W26" s="18"/>
      <c r="X26" s="18"/>
      <c r="Y26" s="1"/>
      <c r="Z26" s="1"/>
      <c r="AA26" s="5" t="s">
        <v>183</v>
      </c>
      <c r="AB26" s="1"/>
      <c r="AC26" s="1"/>
    </row>
    <row r="27" spans="1:29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1.25" customHeight="1">
      <c r="A28" s="1"/>
      <c r="B28" s="1"/>
      <c r="C28" s="8" t="s">
        <v>1622</v>
      </c>
      <c r="D28" s="18"/>
      <c r="E28" s="1"/>
      <c r="F28" s="1"/>
      <c r="G28" s="1"/>
      <c r="H28" s="8" t="s">
        <v>1623</v>
      </c>
      <c r="I28" s="18"/>
      <c r="J28" s="18"/>
      <c r="K28" s="18"/>
      <c r="L28" s="18"/>
      <c r="M28" s="1"/>
      <c r="N28" s="1"/>
      <c r="O28" s="1"/>
      <c r="P28" s="1"/>
      <c r="Q28" s="1"/>
      <c r="R28" s="1"/>
      <c r="S28" s="1"/>
      <c r="T28" s="1"/>
      <c r="U28" s="8" t="s">
        <v>7</v>
      </c>
      <c r="V28" s="18"/>
      <c r="W28" s="18"/>
      <c r="X28" s="18"/>
      <c r="Y28" s="1"/>
      <c r="Z28" s="1"/>
      <c r="AA28" s="5" t="s">
        <v>762</v>
      </c>
      <c r="AB28" s="1"/>
      <c r="AC28" s="1"/>
    </row>
    <row r="29" spans="1:29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1.25" customHeight="1">
      <c r="A30" s="1"/>
      <c r="B30" s="1"/>
      <c r="C30" s="8" t="s">
        <v>1624</v>
      </c>
      <c r="D30" s="18"/>
      <c r="E30" s="1"/>
      <c r="F30" s="1"/>
      <c r="G30" s="1"/>
      <c r="H30" s="8" t="s">
        <v>1625</v>
      </c>
      <c r="I30" s="18"/>
      <c r="J30" s="18"/>
      <c r="K30" s="18"/>
      <c r="L30" s="18"/>
      <c r="M30" s="18"/>
      <c r="N30" s="18"/>
      <c r="O30" s="1"/>
      <c r="P30" s="1"/>
      <c r="Q30" s="1"/>
      <c r="R30" s="1"/>
      <c r="S30" s="1"/>
      <c r="T30" s="1"/>
      <c r="U30" s="1"/>
      <c r="V30" s="1"/>
      <c r="W30" s="8" t="s">
        <v>26</v>
      </c>
      <c r="X30" s="18"/>
      <c r="Y30" s="1"/>
      <c r="Z30" s="1"/>
      <c r="AA30" s="5" t="s">
        <v>239</v>
      </c>
      <c r="AB30" s="1"/>
      <c r="AC30" s="1"/>
    </row>
    <row r="31" spans="1:29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1.25" customHeight="1">
      <c r="A32" s="1"/>
      <c r="B32" s="1"/>
      <c r="C32" s="8" t="s">
        <v>1626</v>
      </c>
      <c r="D32" s="18"/>
      <c r="E32" s="1"/>
      <c r="F32" s="1"/>
      <c r="G32" s="1"/>
      <c r="H32" s="8" t="s">
        <v>1627</v>
      </c>
      <c r="I32" s="18"/>
      <c r="J32" s="18"/>
      <c r="K32" s="18"/>
      <c r="L32" s="18"/>
      <c r="M32" s="18"/>
      <c r="N32" s="1"/>
      <c r="O32" s="1"/>
      <c r="P32" s="1"/>
      <c r="Q32" s="1"/>
      <c r="R32" s="1"/>
      <c r="S32" s="1"/>
      <c r="T32" s="1"/>
      <c r="U32" s="8" t="s">
        <v>1628</v>
      </c>
      <c r="V32" s="18"/>
      <c r="W32" s="18"/>
      <c r="X32" s="18"/>
      <c r="Y32" s="1"/>
      <c r="Z32" s="1"/>
      <c r="AA32" s="5" t="s">
        <v>1629</v>
      </c>
      <c r="AB32" s="1"/>
      <c r="AC32" s="1"/>
    </row>
    <row r="33" spans="1:29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1.25" customHeight="1">
      <c r="A34" s="1"/>
      <c r="B34" s="1"/>
      <c r="C34" s="8" t="s">
        <v>1630</v>
      </c>
      <c r="D34" s="18"/>
      <c r="E34" s="1"/>
      <c r="F34" s="1"/>
      <c r="G34" s="1"/>
      <c r="H34" s="8" t="s">
        <v>1631</v>
      </c>
      <c r="I34" s="18"/>
      <c r="J34" s="18"/>
      <c r="K34" s="18"/>
      <c r="L34" s="18"/>
      <c r="M34" s="1"/>
      <c r="N34" s="1"/>
      <c r="O34" s="1"/>
      <c r="P34" s="1"/>
      <c r="Q34" s="1"/>
      <c r="R34" s="1"/>
      <c r="S34" s="1"/>
      <c r="T34" s="1"/>
      <c r="U34" s="8" t="s">
        <v>7</v>
      </c>
      <c r="V34" s="18"/>
      <c r="W34" s="18"/>
      <c r="X34" s="18"/>
      <c r="Y34" s="1"/>
      <c r="Z34" s="1"/>
      <c r="AA34" s="5" t="s">
        <v>169</v>
      </c>
      <c r="AB34" s="1"/>
      <c r="AC34" s="1"/>
    </row>
    <row r="35" spans="1:29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1.25" customHeight="1">
      <c r="A36" s="1"/>
      <c r="B36" s="1"/>
      <c r="C36" s="8" t="s">
        <v>1632</v>
      </c>
      <c r="D36" s="18"/>
      <c r="E36" s="1"/>
      <c r="F36" s="1"/>
      <c r="G36" s="1"/>
      <c r="H36" s="8" t="s">
        <v>1633</v>
      </c>
      <c r="I36" s="18"/>
      <c r="J36" s="18"/>
      <c r="K36" s="18"/>
      <c r="L36" s="18"/>
      <c r="M36" s="18"/>
      <c r="N36" s="1"/>
      <c r="O36" s="1"/>
      <c r="P36" s="1"/>
      <c r="Q36" s="1"/>
      <c r="R36" s="1"/>
      <c r="S36" s="1"/>
      <c r="T36" s="1"/>
      <c r="U36" s="1"/>
      <c r="V36" s="1"/>
      <c r="W36" s="8" t="s">
        <v>26</v>
      </c>
      <c r="X36" s="18"/>
      <c r="Y36" s="1"/>
      <c r="Z36" s="1"/>
      <c r="AA36" s="5" t="s">
        <v>30</v>
      </c>
      <c r="AB36" s="1"/>
      <c r="AC36" s="1"/>
    </row>
    <row r="37" spans="1:29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1.25" customHeight="1">
      <c r="A38" s="1"/>
      <c r="B38" s="1"/>
      <c r="C38" s="8" t="s">
        <v>1634</v>
      </c>
      <c r="D38" s="18"/>
      <c r="E38" s="18"/>
      <c r="F38" s="1"/>
      <c r="G38" s="1"/>
      <c r="H38" s="8" t="s">
        <v>1635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"/>
      <c r="T38" s="1"/>
      <c r="U38" s="8" t="s">
        <v>7</v>
      </c>
      <c r="V38" s="18"/>
      <c r="W38" s="18"/>
      <c r="X38" s="18"/>
      <c r="Y38" s="1"/>
      <c r="Z38" s="1"/>
      <c r="AA38" s="5" t="s">
        <v>554</v>
      </c>
      <c r="AB38" s="1"/>
      <c r="AC38" s="1"/>
    </row>
    <row r="39" spans="1:29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1.25" customHeight="1">
      <c r="A40" s="1"/>
      <c r="B40" s="1"/>
      <c r="C40" s="8" t="s">
        <v>1636</v>
      </c>
      <c r="D40" s="18"/>
      <c r="E40" s="18"/>
      <c r="F40" s="1"/>
      <c r="G40" s="1"/>
      <c r="H40" s="8" t="s">
        <v>1637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"/>
      <c r="T40" s="1"/>
      <c r="U40" s="8" t="s">
        <v>7</v>
      </c>
      <c r="V40" s="18"/>
      <c r="W40" s="18"/>
      <c r="X40" s="18"/>
      <c r="Y40" s="1"/>
      <c r="Z40" s="1"/>
      <c r="AA40" s="5" t="s">
        <v>554</v>
      </c>
      <c r="AB40" s="1"/>
      <c r="AC40" s="1"/>
    </row>
    <row r="41" spans="1:29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1.25" customHeight="1">
      <c r="A42" s="1"/>
      <c r="B42" s="1"/>
      <c r="C42" s="8" t="s">
        <v>1638</v>
      </c>
      <c r="D42" s="18"/>
      <c r="E42" s="18"/>
      <c r="F42" s="1"/>
      <c r="G42" s="1"/>
      <c r="H42" s="8" t="s">
        <v>1639</v>
      </c>
      <c r="I42" s="18"/>
      <c r="J42" s="18"/>
      <c r="K42" s="18"/>
      <c r="L42" s="18"/>
      <c r="M42" s="18"/>
      <c r="N42" s="18"/>
      <c r="O42" s="18"/>
      <c r="P42" s="18"/>
      <c r="Q42" s="1"/>
      <c r="R42" s="1"/>
      <c r="S42" s="1"/>
      <c r="T42" s="1"/>
      <c r="U42" s="8" t="s">
        <v>7</v>
      </c>
      <c r="V42" s="18"/>
      <c r="W42" s="18"/>
      <c r="X42" s="18"/>
      <c r="Y42" s="1"/>
      <c r="Z42" s="1"/>
      <c r="AA42" s="5" t="s">
        <v>163</v>
      </c>
      <c r="AB42" s="1"/>
      <c r="AC42" s="1"/>
    </row>
    <row r="43" spans="1:29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1.25" customHeight="1">
      <c r="A44" s="1"/>
      <c r="B44" s="1"/>
      <c r="C44" s="8" t="s">
        <v>1640</v>
      </c>
      <c r="D44" s="18"/>
      <c r="E44" s="18"/>
      <c r="F44" s="1"/>
      <c r="G44" s="1"/>
      <c r="H44" s="8" t="s">
        <v>1641</v>
      </c>
      <c r="I44" s="18"/>
      <c r="J44" s="18"/>
      <c r="K44" s="18"/>
      <c r="L44" s="18"/>
      <c r="M44" s="18"/>
      <c r="N44" s="18"/>
      <c r="O44" s="18"/>
      <c r="P44" s="18"/>
      <c r="Q44" s="1"/>
      <c r="R44" s="1"/>
      <c r="S44" s="1"/>
      <c r="T44" s="1"/>
      <c r="U44" s="8" t="s">
        <v>7</v>
      </c>
      <c r="V44" s="18"/>
      <c r="W44" s="18"/>
      <c r="X44" s="18"/>
      <c r="Y44" s="1"/>
      <c r="Z44" s="1"/>
      <c r="AA44" s="5" t="s">
        <v>1642</v>
      </c>
      <c r="AB44" s="1"/>
      <c r="AC44" s="1"/>
    </row>
    <row r="45" spans="1:29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1.25" customHeight="1">
      <c r="A46" s="1"/>
      <c r="B46" s="1"/>
      <c r="C46" s="8" t="s">
        <v>1643</v>
      </c>
      <c r="D46" s="18"/>
      <c r="E46" s="18"/>
      <c r="F46" s="1"/>
      <c r="G46" s="1"/>
      <c r="H46" s="8" t="s">
        <v>1644</v>
      </c>
      <c r="I46" s="18"/>
      <c r="J46" s="18"/>
      <c r="K46" s="18"/>
      <c r="L46" s="18"/>
      <c r="M46" s="18"/>
      <c r="N46" s="18"/>
      <c r="O46" s="18"/>
      <c r="P46" s="18"/>
      <c r="Q46" s="1"/>
      <c r="R46" s="1"/>
      <c r="S46" s="1"/>
      <c r="T46" s="1"/>
      <c r="U46" s="8" t="s">
        <v>7</v>
      </c>
      <c r="V46" s="18"/>
      <c r="W46" s="18"/>
      <c r="X46" s="18"/>
      <c r="Y46" s="1"/>
      <c r="Z46" s="1"/>
      <c r="AA46" s="5" t="s">
        <v>1158</v>
      </c>
      <c r="AB46" s="1"/>
      <c r="AC46" s="1"/>
    </row>
    <row r="47" spans="1:29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1.25" customHeight="1">
      <c r="A48" s="1"/>
      <c r="B48" s="1"/>
      <c r="C48" s="8" t="s">
        <v>1645</v>
      </c>
      <c r="D48" s="18"/>
      <c r="E48" s="18"/>
      <c r="F48" s="1"/>
      <c r="G48" s="1"/>
      <c r="H48" s="8" t="s">
        <v>1646</v>
      </c>
      <c r="I48" s="18"/>
      <c r="J48" s="18"/>
      <c r="K48" s="18"/>
      <c r="L48" s="18"/>
      <c r="M48" s="18"/>
      <c r="N48" s="18"/>
      <c r="O48" s="18"/>
      <c r="P48" s="18"/>
      <c r="Q48" s="18"/>
      <c r="R48" s="1"/>
      <c r="S48" s="1"/>
      <c r="T48" s="1"/>
      <c r="U48" s="8" t="s">
        <v>7</v>
      </c>
      <c r="V48" s="18"/>
      <c r="W48" s="18"/>
      <c r="X48" s="18"/>
      <c r="Y48" s="1"/>
      <c r="Z48" s="1"/>
      <c r="AA48" s="5" t="s">
        <v>1158</v>
      </c>
      <c r="AB48" s="1"/>
      <c r="AC48" s="1"/>
    </row>
    <row r="49" spans="1:29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1.25" customHeight="1">
      <c r="A50" s="1"/>
      <c r="B50" s="1"/>
      <c r="C50" s="8" t="s">
        <v>1647</v>
      </c>
      <c r="D50" s="18"/>
      <c r="E50" s="1"/>
      <c r="F50" s="1"/>
      <c r="G50" s="1"/>
      <c r="H50" s="8" t="s">
        <v>1648</v>
      </c>
      <c r="I50" s="18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8" t="s">
        <v>7</v>
      </c>
      <c r="V50" s="18"/>
      <c r="W50" s="18"/>
      <c r="X50" s="18"/>
      <c r="Y50" s="1"/>
      <c r="Z50" s="1"/>
      <c r="AA50" s="5" t="s">
        <v>48</v>
      </c>
      <c r="AB50" s="1"/>
      <c r="AC50" s="1"/>
    </row>
    <row r="51" spans="1:29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1.25" customHeight="1">
      <c r="A52" s="1"/>
      <c r="B52" s="1"/>
      <c r="C52" s="8" t="s">
        <v>1649</v>
      </c>
      <c r="D52" s="18"/>
      <c r="E52" s="1"/>
      <c r="F52" s="1"/>
      <c r="G52" s="1"/>
      <c r="H52" s="8" t="s">
        <v>1650</v>
      </c>
      <c r="I52" s="18"/>
      <c r="J52" s="18"/>
      <c r="K52" s="18"/>
      <c r="L52" s="18"/>
      <c r="M52" s="1"/>
      <c r="N52" s="1"/>
      <c r="O52" s="1"/>
      <c r="P52" s="1"/>
      <c r="Q52" s="1"/>
      <c r="R52" s="1"/>
      <c r="S52" s="1"/>
      <c r="T52" s="1"/>
      <c r="U52" s="8" t="s">
        <v>7</v>
      </c>
      <c r="V52" s="18"/>
      <c r="W52" s="18"/>
      <c r="X52" s="18"/>
      <c r="Y52" s="1"/>
      <c r="Z52" s="1"/>
      <c r="AA52" s="5" t="s">
        <v>440</v>
      </c>
      <c r="AB52" s="1"/>
      <c r="AC52" s="1"/>
    </row>
    <row r="53" spans="1:29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1.25" customHeight="1">
      <c r="A54" s="1"/>
      <c r="B54" s="1"/>
      <c r="C54" s="8" t="s">
        <v>1651</v>
      </c>
      <c r="D54" s="18"/>
      <c r="E54" s="1"/>
      <c r="F54" s="1"/>
      <c r="G54" s="1"/>
      <c r="H54" s="8" t="s">
        <v>1652</v>
      </c>
      <c r="I54" s="18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8" t="s">
        <v>7</v>
      </c>
      <c r="V54" s="18"/>
      <c r="W54" s="18"/>
      <c r="X54" s="18"/>
      <c r="Y54" s="1"/>
      <c r="Z54" s="1"/>
      <c r="AA54" s="5" t="s">
        <v>48</v>
      </c>
      <c r="AB54" s="1"/>
      <c r="AC54" s="1"/>
    </row>
    <row r="55" spans="1:29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1.25" customHeight="1">
      <c r="A56" s="1"/>
      <c r="B56" s="1"/>
      <c r="C56" s="8" t="s">
        <v>1653</v>
      </c>
      <c r="D56" s="18"/>
      <c r="E56" s="1"/>
      <c r="F56" s="1"/>
      <c r="G56" s="1"/>
      <c r="H56" s="8" t="s">
        <v>1654</v>
      </c>
      <c r="I56" s="18"/>
      <c r="J56" s="18"/>
      <c r="K56" s="18"/>
      <c r="L56" s="18"/>
      <c r="M56" s="1"/>
      <c r="N56" s="1"/>
      <c r="O56" s="1"/>
      <c r="P56" s="1"/>
      <c r="Q56" s="1"/>
      <c r="R56" s="1"/>
      <c r="S56" s="1"/>
      <c r="T56" s="1"/>
      <c r="U56" s="8" t="s">
        <v>7</v>
      </c>
      <c r="V56" s="18"/>
      <c r="W56" s="18"/>
      <c r="X56" s="18"/>
      <c r="Y56" s="1"/>
      <c r="Z56" s="1"/>
      <c r="AA56" s="5" t="s">
        <v>812</v>
      </c>
      <c r="AB56" s="1"/>
      <c r="AC56" s="1"/>
    </row>
    <row r="57" spans="1:29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1.25" customHeight="1">
      <c r="A58" s="1"/>
      <c r="B58" s="1"/>
      <c r="C58" s="8" t="s">
        <v>1655</v>
      </c>
      <c r="D58" s="18"/>
      <c r="E58" s="1"/>
      <c r="F58" s="1"/>
      <c r="G58" s="1"/>
      <c r="H58" s="8" t="s">
        <v>1656</v>
      </c>
      <c r="I58" s="18"/>
      <c r="J58" s="18"/>
      <c r="K58" s="18"/>
      <c r="L58" s="1"/>
      <c r="M58" s="1"/>
      <c r="N58" s="1"/>
      <c r="O58" s="1"/>
      <c r="P58" s="1"/>
      <c r="Q58" s="1"/>
      <c r="R58" s="1"/>
      <c r="S58" s="1"/>
      <c r="T58" s="1"/>
      <c r="U58" s="8" t="s">
        <v>7</v>
      </c>
      <c r="V58" s="18"/>
      <c r="W58" s="18"/>
      <c r="X58" s="18"/>
      <c r="Y58" s="1"/>
      <c r="Z58" s="8" t="s">
        <v>1657</v>
      </c>
      <c r="AA58" s="18"/>
      <c r="AB58" s="1"/>
      <c r="AC58" s="1"/>
    </row>
    <row r="59" spans="1:29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1.25" customHeight="1">
      <c r="A60" s="1"/>
      <c r="B60" s="1"/>
      <c r="C60" s="8" t="s">
        <v>1658</v>
      </c>
      <c r="D60" s="18"/>
      <c r="E60" s="1"/>
      <c r="F60" s="1"/>
      <c r="G60" s="1"/>
      <c r="H60" s="8" t="s">
        <v>1659</v>
      </c>
      <c r="I60" s="18"/>
      <c r="J60" s="18"/>
      <c r="K60" s="18"/>
      <c r="L60" s="1"/>
      <c r="M60" s="1"/>
      <c r="N60" s="1"/>
      <c r="O60" s="1"/>
      <c r="P60" s="1"/>
      <c r="Q60" s="1"/>
      <c r="R60" s="1"/>
      <c r="S60" s="1"/>
      <c r="T60" s="1"/>
      <c r="U60" s="8" t="s">
        <v>7</v>
      </c>
      <c r="V60" s="18"/>
      <c r="W60" s="18"/>
      <c r="X60" s="18"/>
      <c r="Y60" s="1"/>
      <c r="Z60" s="8" t="s">
        <v>1660</v>
      </c>
      <c r="AA60" s="18"/>
      <c r="AB60" s="1"/>
      <c r="AC60" s="1"/>
    </row>
    <row r="61" spans="1:29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1.25" customHeight="1">
      <c r="A62" s="1"/>
      <c r="B62" s="1"/>
      <c r="C62" s="8" t="s">
        <v>1661</v>
      </c>
      <c r="D62" s="18"/>
      <c r="E62" s="1"/>
      <c r="F62" s="1"/>
      <c r="G62" s="1"/>
      <c r="H62" s="8" t="s">
        <v>1662</v>
      </c>
      <c r="I62" s="18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8" t="s">
        <v>7</v>
      </c>
      <c r="V62" s="18"/>
      <c r="W62" s="18"/>
      <c r="X62" s="18"/>
      <c r="Y62" s="1"/>
      <c r="Z62" s="1"/>
      <c r="AA62" s="5" t="s">
        <v>1663</v>
      </c>
      <c r="AB62" s="1"/>
      <c r="AC62" s="1"/>
    </row>
    <row r="63" spans="1:29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1.25" customHeight="1">
      <c r="A64" s="1"/>
      <c r="B64" s="1"/>
      <c r="C64" s="8" t="s">
        <v>1664</v>
      </c>
      <c r="D64" s="18"/>
      <c r="E64" s="1"/>
      <c r="F64" s="1"/>
      <c r="G64" s="1"/>
      <c r="H64" s="8" t="s">
        <v>1665</v>
      </c>
      <c r="I64" s="18"/>
      <c r="J64" s="18"/>
      <c r="K64" s="18"/>
      <c r="L64" s="18"/>
      <c r="M64" s="1"/>
      <c r="N64" s="1"/>
      <c r="O64" s="1"/>
      <c r="P64" s="1"/>
      <c r="Q64" s="1"/>
      <c r="R64" s="1"/>
      <c r="S64" s="1"/>
      <c r="T64" s="1"/>
      <c r="U64" s="8" t="s">
        <v>7</v>
      </c>
      <c r="V64" s="18"/>
      <c r="W64" s="18"/>
      <c r="X64" s="18"/>
      <c r="Y64" s="1"/>
      <c r="Z64" s="8" t="s">
        <v>1666</v>
      </c>
      <c r="AA64" s="18"/>
      <c r="AB64" s="1"/>
      <c r="AC64" s="1"/>
    </row>
    <row r="65" spans="1:29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1.25" customHeight="1">
      <c r="A66" s="1"/>
      <c r="B66" s="1"/>
      <c r="C66" s="8" t="s">
        <v>1667</v>
      </c>
      <c r="D66" s="18"/>
      <c r="E66" s="1"/>
      <c r="F66" s="1"/>
      <c r="G66" s="1"/>
      <c r="H66" s="8" t="s">
        <v>1668</v>
      </c>
      <c r="I66" s="18"/>
      <c r="J66" s="18"/>
      <c r="K66" s="18"/>
      <c r="L66" s="1"/>
      <c r="M66" s="1"/>
      <c r="N66" s="1"/>
      <c r="O66" s="1"/>
      <c r="P66" s="1"/>
      <c r="Q66" s="1"/>
      <c r="R66" s="1"/>
      <c r="S66" s="1"/>
      <c r="T66" s="1"/>
      <c r="U66" s="8" t="s">
        <v>7</v>
      </c>
      <c r="V66" s="18"/>
      <c r="W66" s="18"/>
      <c r="X66" s="18"/>
      <c r="Y66" s="1"/>
      <c r="Z66" s="1"/>
      <c r="AA66" s="5" t="s">
        <v>1669</v>
      </c>
      <c r="AB66" s="1"/>
      <c r="AC66" s="1"/>
    </row>
    <row r="67" spans="1:29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1.25" customHeight="1">
      <c r="A68" s="1"/>
      <c r="B68" s="1"/>
      <c r="C68" s="8" t="s">
        <v>1670</v>
      </c>
      <c r="D68" s="18"/>
      <c r="E68" s="1"/>
      <c r="F68" s="1"/>
      <c r="G68" s="1"/>
      <c r="H68" s="8" t="s">
        <v>1671</v>
      </c>
      <c r="I68" s="18"/>
      <c r="J68" s="18"/>
      <c r="K68" s="18"/>
      <c r="L68" s="18"/>
      <c r="M68" s="18"/>
      <c r="N68" s="18"/>
      <c r="O68" s="18"/>
      <c r="P68" s="18"/>
      <c r="Q68" s="18"/>
      <c r="R68" s="1"/>
      <c r="S68" s="1"/>
      <c r="T68" s="1"/>
      <c r="U68" s="8" t="s">
        <v>7</v>
      </c>
      <c r="V68" s="18"/>
      <c r="W68" s="18"/>
      <c r="X68" s="18"/>
      <c r="Y68" s="1"/>
      <c r="Z68" s="8" t="s">
        <v>1672</v>
      </c>
      <c r="AA68" s="18"/>
      <c r="AB68" s="1"/>
      <c r="AC68" s="1"/>
    </row>
    <row r="69" spans="1:29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1.25" customHeight="1">
      <c r="A70" s="1"/>
      <c r="B70" s="1"/>
      <c r="C70" s="8" t="s">
        <v>1673</v>
      </c>
      <c r="D70" s="18"/>
      <c r="E70" s="1"/>
      <c r="F70" s="1"/>
      <c r="G70" s="1"/>
      <c r="H70" s="8" t="s">
        <v>1674</v>
      </c>
      <c r="I70" s="18"/>
      <c r="J70" s="18"/>
      <c r="K70" s="18"/>
      <c r="L70" s="18"/>
      <c r="M70" s="18"/>
      <c r="N70" s="1"/>
      <c r="O70" s="1"/>
      <c r="P70" s="1"/>
      <c r="Q70" s="1"/>
      <c r="R70" s="1"/>
      <c r="S70" s="1"/>
      <c r="T70" s="1"/>
      <c r="U70" s="8" t="s">
        <v>7</v>
      </c>
      <c r="V70" s="18"/>
      <c r="W70" s="18"/>
      <c r="X70" s="18"/>
      <c r="Y70" s="1"/>
      <c r="Z70" s="8" t="s">
        <v>1675</v>
      </c>
      <c r="AA70" s="18"/>
      <c r="AB70" s="1"/>
      <c r="AC70" s="1"/>
    </row>
    <row r="71" spans="1:29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1.25" customHeight="1">
      <c r="A72" s="1"/>
      <c r="B72" s="1"/>
      <c r="C72" s="8" t="s">
        <v>1676</v>
      </c>
      <c r="D72" s="18"/>
      <c r="E72" s="1"/>
      <c r="F72" s="1"/>
      <c r="G72" s="1"/>
      <c r="H72" s="8" t="s">
        <v>1677</v>
      </c>
      <c r="I72" s="18"/>
      <c r="J72" s="18"/>
      <c r="K72" s="1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8" t="s">
        <v>26</v>
      </c>
      <c r="X72" s="18"/>
      <c r="Y72" s="1"/>
      <c r="Z72" s="8" t="s">
        <v>1678</v>
      </c>
      <c r="AA72" s="18"/>
      <c r="AB72" s="1"/>
      <c r="AC72" s="1"/>
    </row>
    <row r="73" spans="1:29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1.25" customHeight="1">
      <c r="A74" s="1"/>
      <c r="B74" s="1"/>
      <c r="C74" s="8" t="s">
        <v>1679</v>
      </c>
      <c r="D74" s="18"/>
      <c r="E74" s="1"/>
      <c r="F74" s="1"/>
      <c r="G74" s="1"/>
      <c r="H74" s="8" t="s">
        <v>1680</v>
      </c>
      <c r="I74" s="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8" t="s">
        <v>7</v>
      </c>
      <c r="V74" s="18"/>
      <c r="W74" s="18"/>
      <c r="X74" s="18"/>
      <c r="Y74" s="1"/>
      <c r="Z74" s="1"/>
      <c r="AA74" s="5" t="s">
        <v>123</v>
      </c>
      <c r="AB74" s="1"/>
      <c r="AC74" s="1"/>
    </row>
    <row r="75" spans="1:29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1.25" customHeight="1">
      <c r="A76" s="1"/>
      <c r="B76" s="1"/>
      <c r="C76" s="8" t="s">
        <v>1681</v>
      </c>
      <c r="D76" s="18"/>
      <c r="E76" s="1"/>
      <c r="F76" s="1"/>
      <c r="G76" s="1"/>
      <c r="H76" s="8" t="s">
        <v>1682</v>
      </c>
      <c r="I76" s="18"/>
      <c r="J76" s="18"/>
      <c r="K76" s="18"/>
      <c r="L76" s="18"/>
      <c r="M76" s="18"/>
      <c r="N76" s="18"/>
      <c r="O76" s="1"/>
      <c r="P76" s="1"/>
      <c r="Q76" s="1"/>
      <c r="R76" s="1"/>
      <c r="S76" s="1"/>
      <c r="T76" s="1"/>
      <c r="U76" s="8" t="s">
        <v>7</v>
      </c>
      <c r="V76" s="18"/>
      <c r="W76" s="18"/>
      <c r="X76" s="18"/>
      <c r="Y76" s="1"/>
      <c r="Z76" s="1"/>
      <c r="AA76" s="5" t="s">
        <v>1683</v>
      </c>
      <c r="AB76" s="1"/>
      <c r="AC76" s="1"/>
    </row>
    <row r="77" spans="1:29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1.25" customHeight="1">
      <c r="A78" s="1"/>
      <c r="B78" s="1"/>
      <c r="C78" s="8" t="s">
        <v>1684</v>
      </c>
      <c r="D78" s="18"/>
      <c r="E78" s="1"/>
      <c r="F78" s="1"/>
      <c r="G78" s="1"/>
      <c r="H78" s="8" t="s">
        <v>1685</v>
      </c>
      <c r="I78" s="18"/>
      <c r="J78" s="18"/>
      <c r="K78" s="18"/>
      <c r="L78" s="18"/>
      <c r="M78" s="18"/>
      <c r="N78" s="18"/>
      <c r="O78" s="18"/>
      <c r="P78" s="18"/>
      <c r="Q78" s="1"/>
      <c r="R78" s="1"/>
      <c r="S78" s="1"/>
      <c r="T78" s="1"/>
      <c r="U78" s="8" t="s">
        <v>7</v>
      </c>
      <c r="V78" s="18"/>
      <c r="W78" s="18"/>
      <c r="X78" s="18"/>
      <c r="Y78" s="1"/>
      <c r="Z78" s="1"/>
      <c r="AA78" s="5" t="s">
        <v>640</v>
      </c>
      <c r="AB78" s="1"/>
      <c r="AC78" s="1"/>
    </row>
    <row r="79" spans="1:29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1.25" customHeight="1">
      <c r="A80" s="1"/>
      <c r="B80" s="1"/>
      <c r="C80" s="8" t="s">
        <v>1686</v>
      </c>
      <c r="D80" s="18"/>
      <c r="E80" s="1"/>
      <c r="F80" s="1"/>
      <c r="G80" s="1"/>
      <c r="H80" s="8" t="s">
        <v>1687</v>
      </c>
      <c r="I80" s="18"/>
      <c r="J80" s="18"/>
      <c r="K80" s="18"/>
      <c r="L80" s="18"/>
      <c r="M80" s="18"/>
      <c r="N80" s="18"/>
      <c r="O80" s="18"/>
      <c r="P80" s="18"/>
      <c r="Q80" s="1"/>
      <c r="R80" s="1"/>
      <c r="S80" s="1"/>
      <c r="T80" s="1"/>
      <c r="U80" s="8" t="s">
        <v>7</v>
      </c>
      <c r="V80" s="18"/>
      <c r="W80" s="18"/>
      <c r="X80" s="18"/>
      <c r="Y80" s="1"/>
      <c r="Z80" s="1"/>
      <c r="AA80" s="5" t="s">
        <v>389</v>
      </c>
      <c r="AB80" s="1"/>
      <c r="AC80" s="1"/>
    </row>
    <row r="81" spans="1:29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1.25" customHeight="1">
      <c r="A82" s="1"/>
      <c r="B82" s="1"/>
      <c r="C82" s="8" t="s">
        <v>1688</v>
      </c>
      <c r="D82" s="18"/>
      <c r="E82" s="1"/>
      <c r="F82" s="1"/>
      <c r="G82" s="1"/>
      <c r="H82" s="8" t="s">
        <v>1689</v>
      </c>
      <c r="I82" s="18"/>
      <c r="J82" s="18"/>
      <c r="K82" s="18"/>
      <c r="L82" s="18"/>
      <c r="M82" s="18"/>
      <c r="N82" s="18"/>
      <c r="O82" s="18"/>
      <c r="P82" s="1"/>
      <c r="Q82" s="1"/>
      <c r="R82" s="1"/>
      <c r="S82" s="1"/>
      <c r="T82" s="1"/>
      <c r="U82" s="8" t="s">
        <v>7</v>
      </c>
      <c r="V82" s="18"/>
      <c r="W82" s="18"/>
      <c r="X82" s="18"/>
      <c r="Y82" s="1"/>
      <c r="Z82" s="1"/>
      <c r="AA82" s="5" t="s">
        <v>1690</v>
      </c>
      <c r="AB82" s="1"/>
      <c r="AC82" s="1"/>
    </row>
    <row r="83" spans="1:29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1.25" customHeight="1">
      <c r="A84" s="1"/>
      <c r="B84" s="1"/>
      <c r="C84" s="8" t="s">
        <v>1691</v>
      </c>
      <c r="D84" s="18"/>
      <c r="E84" s="1"/>
      <c r="F84" s="1"/>
      <c r="G84" s="1"/>
      <c r="H84" s="8" t="s">
        <v>1692</v>
      </c>
      <c r="I84" s="18"/>
      <c r="J84" s="18"/>
      <c r="K84" s="18"/>
      <c r="L84" s="18"/>
      <c r="M84" s="18"/>
      <c r="N84" s="1"/>
      <c r="O84" s="1"/>
      <c r="P84" s="1"/>
      <c r="Q84" s="1"/>
      <c r="R84" s="1"/>
      <c r="S84" s="1"/>
      <c r="T84" s="1"/>
      <c r="U84" s="8" t="s">
        <v>7</v>
      </c>
      <c r="V84" s="18"/>
      <c r="W84" s="18"/>
      <c r="X84" s="18"/>
      <c r="Y84" s="1"/>
      <c r="Z84" s="1"/>
      <c r="AA84" s="5" t="s">
        <v>1693</v>
      </c>
      <c r="AB84" s="1"/>
      <c r="AC84" s="1"/>
    </row>
    <row r="85" spans="1:29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1.25" customHeight="1">
      <c r="A86" s="1"/>
      <c r="B86" s="1"/>
      <c r="C86" s="8" t="s">
        <v>1694</v>
      </c>
      <c r="D86" s="18"/>
      <c r="E86" s="1"/>
      <c r="F86" s="1"/>
      <c r="G86" s="1"/>
      <c r="H86" s="8" t="s">
        <v>1695</v>
      </c>
      <c r="I86" s="18"/>
      <c r="J86" s="18"/>
      <c r="K86" s="18"/>
      <c r="L86" s="18"/>
      <c r="M86" s="18"/>
      <c r="N86" s="18"/>
      <c r="O86" s="18"/>
      <c r="P86" s="18"/>
      <c r="Q86" s="1"/>
      <c r="R86" s="1"/>
      <c r="S86" s="1"/>
      <c r="T86" s="1"/>
      <c r="U86" s="8" t="s">
        <v>1628</v>
      </c>
      <c r="V86" s="18"/>
      <c r="W86" s="18"/>
      <c r="X86" s="18"/>
      <c r="Y86" s="1"/>
      <c r="Z86" s="1"/>
      <c r="AA86" s="5" t="s">
        <v>1696</v>
      </c>
      <c r="AB86" s="1"/>
      <c r="AC86" s="1"/>
    </row>
    <row r="87" spans="1:29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1.25" customHeight="1">
      <c r="A88" s="1"/>
      <c r="B88" s="1"/>
      <c r="C88" s="8" t="s">
        <v>1697</v>
      </c>
      <c r="D88" s="18"/>
      <c r="E88" s="1"/>
      <c r="F88" s="1"/>
      <c r="G88" s="1"/>
      <c r="H88" s="8" t="s">
        <v>1698</v>
      </c>
      <c r="I88" s="18"/>
      <c r="J88" s="18"/>
      <c r="K88" s="18"/>
      <c r="L88" s="18"/>
      <c r="M88" s="18"/>
      <c r="N88" s="1"/>
      <c r="O88" s="1"/>
      <c r="P88" s="1"/>
      <c r="Q88" s="1"/>
      <c r="R88" s="1"/>
      <c r="S88" s="1"/>
      <c r="T88" s="1"/>
      <c r="U88" s="8" t="s">
        <v>7</v>
      </c>
      <c r="V88" s="18"/>
      <c r="W88" s="18"/>
      <c r="X88" s="18"/>
      <c r="Y88" s="1"/>
      <c r="Z88" s="1"/>
      <c r="AA88" s="5" t="s">
        <v>27</v>
      </c>
      <c r="AB88" s="1"/>
      <c r="AC88" s="1"/>
    </row>
    <row r="89" spans="1:29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1.25" customHeight="1">
      <c r="A90" s="1"/>
      <c r="B90" s="1"/>
      <c r="C90" s="8" t="s">
        <v>1699</v>
      </c>
      <c r="D90" s="18"/>
      <c r="E90" s="1"/>
      <c r="F90" s="1"/>
      <c r="G90" s="1"/>
      <c r="H90" s="8" t="s">
        <v>1700</v>
      </c>
      <c r="I90" s="18"/>
      <c r="J90" s="18"/>
      <c r="K90" s="18"/>
      <c r="L90" s="18"/>
      <c r="M90" s="18"/>
      <c r="N90" s="18"/>
      <c r="O90" s="1"/>
      <c r="P90" s="1"/>
      <c r="Q90" s="1"/>
      <c r="R90" s="1"/>
      <c r="S90" s="1"/>
      <c r="T90" s="1"/>
      <c r="U90" s="8" t="s">
        <v>7</v>
      </c>
      <c r="V90" s="18"/>
      <c r="W90" s="18"/>
      <c r="X90" s="18"/>
      <c r="Y90" s="1"/>
      <c r="Z90" s="1"/>
      <c r="AA90" s="5" t="s">
        <v>1250</v>
      </c>
      <c r="AB90" s="1"/>
      <c r="AC90" s="1"/>
    </row>
    <row r="91" spans="1:29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1.25" customHeight="1">
      <c r="A92" s="1"/>
      <c r="B92" s="1"/>
      <c r="C92" s="8" t="s">
        <v>1701</v>
      </c>
      <c r="D92" s="18"/>
      <c r="E92" s="1"/>
      <c r="F92" s="1"/>
      <c r="G92" s="1"/>
      <c r="H92" s="8" t="s">
        <v>1702</v>
      </c>
      <c r="I92" s="18"/>
      <c r="J92" s="18"/>
      <c r="K92" s="1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8" t="s">
        <v>26</v>
      </c>
      <c r="X92" s="18"/>
      <c r="Y92" s="1"/>
      <c r="Z92" s="1"/>
      <c r="AA92" s="5" t="s">
        <v>183</v>
      </c>
      <c r="AB92" s="1"/>
      <c r="AC92" s="1"/>
    </row>
    <row r="93" spans="1:29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1.25" customHeight="1">
      <c r="A94" s="1"/>
      <c r="B94" s="1"/>
      <c r="C94" s="8" t="s">
        <v>1703</v>
      </c>
      <c r="D94" s="18"/>
      <c r="E94" s="1"/>
      <c r="F94" s="1"/>
      <c r="G94" s="1"/>
      <c r="H94" s="8" t="s">
        <v>1704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"/>
      <c r="Z94" s="1"/>
      <c r="AA94" s="5" t="s">
        <v>1705</v>
      </c>
      <c r="AB94" s="1"/>
      <c r="AC94" s="1"/>
    </row>
    <row r="95" spans="1:29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1.25" customHeight="1">
      <c r="A96" s="1"/>
      <c r="B96" s="1"/>
      <c r="C96" s="8" t="s">
        <v>1706</v>
      </c>
      <c r="D96" s="18"/>
      <c r="E96" s="1"/>
      <c r="F96" s="1"/>
      <c r="G96" s="1"/>
      <c r="H96" s="8" t="s">
        <v>1707</v>
      </c>
      <c r="I96" s="18"/>
      <c r="J96" s="18"/>
      <c r="K96" s="18"/>
      <c r="L96" s="18"/>
      <c r="M96" s="18"/>
      <c r="N96" s="18"/>
      <c r="O96" s="18"/>
      <c r="P96" s="18"/>
      <c r="Q96" s="18"/>
      <c r="R96" s="1"/>
      <c r="S96" s="1"/>
      <c r="T96" s="1"/>
      <c r="U96" s="8" t="s">
        <v>7</v>
      </c>
      <c r="V96" s="18"/>
      <c r="W96" s="18"/>
      <c r="X96" s="18"/>
      <c r="Y96" s="1"/>
      <c r="Z96" s="1"/>
      <c r="AA96" s="5" t="s">
        <v>320</v>
      </c>
      <c r="AB96" s="1"/>
      <c r="AC96" s="1"/>
    </row>
    <row r="97" spans="1:29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1.25" customHeight="1">
      <c r="A98" s="1"/>
      <c r="B98" s="1"/>
      <c r="C98" s="8" t="s">
        <v>1708</v>
      </c>
      <c r="D98" s="18"/>
      <c r="E98" s="1"/>
      <c r="F98" s="1"/>
      <c r="G98" s="1"/>
      <c r="H98" s="8" t="s">
        <v>1709</v>
      </c>
      <c r="I98" s="18"/>
      <c r="J98" s="18"/>
      <c r="K98" s="18"/>
      <c r="L98" s="18"/>
      <c r="M98" s="18"/>
      <c r="N98" s="18"/>
      <c r="O98" s="18"/>
      <c r="P98" s="18"/>
      <c r="Q98" s="1"/>
      <c r="R98" s="1"/>
      <c r="S98" s="1"/>
      <c r="T98" s="1"/>
      <c r="U98" s="8" t="s">
        <v>7</v>
      </c>
      <c r="V98" s="18"/>
      <c r="W98" s="18"/>
      <c r="X98" s="18"/>
      <c r="Y98" s="1"/>
      <c r="Z98" s="1"/>
      <c r="AA98" s="5" t="s">
        <v>1710</v>
      </c>
      <c r="AB98" s="1"/>
      <c r="AC98" s="1"/>
    </row>
    <row r="99" spans="1:29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1.25" customHeight="1">
      <c r="A100" s="1"/>
      <c r="B100" s="1"/>
      <c r="C100" s="8" t="s">
        <v>1711</v>
      </c>
      <c r="D100" s="18"/>
      <c r="E100" s="1"/>
      <c r="F100" s="1"/>
      <c r="G100" s="1"/>
      <c r="H100" s="8" t="s">
        <v>1712</v>
      </c>
      <c r="I100" s="18"/>
      <c r="J100" s="18"/>
      <c r="K100" s="18"/>
      <c r="L100" s="18"/>
      <c r="M100" s="1"/>
      <c r="N100" s="1"/>
      <c r="O100" s="1"/>
      <c r="P100" s="1"/>
      <c r="Q100" s="1"/>
      <c r="R100" s="1"/>
      <c r="S100" s="1"/>
      <c r="T100" s="1"/>
      <c r="U100" s="8" t="s">
        <v>7</v>
      </c>
      <c r="V100" s="18"/>
      <c r="W100" s="18"/>
      <c r="X100" s="18"/>
      <c r="Y100" s="1"/>
      <c r="Z100" s="1"/>
      <c r="AA100" s="5" t="s">
        <v>99</v>
      </c>
      <c r="AB100" s="1"/>
      <c r="AC100" s="1"/>
    </row>
    <row r="101" spans="1:29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"/>
      <c r="S104" s="1"/>
      <c r="T104" s="1"/>
      <c r="U104" s="1"/>
      <c r="V104" s="1"/>
      <c r="W104" s="1"/>
      <c r="X104" s="1"/>
      <c r="Y104" s="1"/>
      <c r="Z104" s="8" t="s">
        <v>1713</v>
      </c>
      <c r="AA104" s="18"/>
      <c r="AB104" s="18"/>
      <c r="AC104" s="1"/>
    </row>
    <row r="105" spans="1:29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</sheetData>
  <mergeCells count="154">
    <mergeCell ref="B2:F4"/>
    <mergeCell ref="G2:U4"/>
    <mergeCell ref="V2:W4"/>
    <mergeCell ref="Z3:AB3"/>
    <mergeCell ref="C8:D8"/>
    <mergeCell ref="H8:M8"/>
    <mergeCell ref="U8:X8"/>
    <mergeCell ref="C10:D10"/>
    <mergeCell ref="H10:M10"/>
    <mergeCell ref="U10:X10"/>
    <mergeCell ref="V6:Y6"/>
    <mergeCell ref="C12:D12"/>
    <mergeCell ref="H12:N12"/>
    <mergeCell ref="U12:X12"/>
    <mergeCell ref="C14:D14"/>
    <mergeCell ref="H14:Q14"/>
    <mergeCell ref="U14:X14"/>
    <mergeCell ref="C16:D16"/>
    <mergeCell ref="H16:R16"/>
    <mergeCell ref="U16:X16"/>
    <mergeCell ref="C18:D18"/>
    <mergeCell ref="H18:S18"/>
    <mergeCell ref="U18:X18"/>
    <mergeCell ref="C20:D20"/>
    <mergeCell ref="H20:Q20"/>
    <mergeCell ref="U20:X20"/>
    <mergeCell ref="C22:D22"/>
    <mergeCell ref="H22:Q22"/>
    <mergeCell ref="U22:X22"/>
    <mergeCell ref="C24:D24"/>
    <mergeCell ref="H24:Q24"/>
    <mergeCell ref="U24:X24"/>
    <mergeCell ref="C26:D26"/>
    <mergeCell ref="H26:M26"/>
    <mergeCell ref="U26:X26"/>
    <mergeCell ref="C28:D28"/>
    <mergeCell ref="H28:L28"/>
    <mergeCell ref="U28:X28"/>
    <mergeCell ref="C30:D30"/>
    <mergeCell ref="H30:N30"/>
    <mergeCell ref="W30:X30"/>
    <mergeCell ref="C32:D32"/>
    <mergeCell ref="H32:M32"/>
    <mergeCell ref="U32:X32"/>
    <mergeCell ref="C34:D34"/>
    <mergeCell ref="H34:L34"/>
    <mergeCell ref="U34:X34"/>
    <mergeCell ref="C36:D36"/>
    <mergeCell ref="H36:M36"/>
    <mergeCell ref="W36:X36"/>
    <mergeCell ref="C38:E38"/>
    <mergeCell ref="H38:R38"/>
    <mergeCell ref="U38:X38"/>
    <mergeCell ref="C40:E40"/>
    <mergeCell ref="H40:R40"/>
    <mergeCell ref="U40:X40"/>
    <mergeCell ref="C42:E42"/>
    <mergeCell ref="H42:P42"/>
    <mergeCell ref="U42:X42"/>
    <mergeCell ref="C44:E44"/>
    <mergeCell ref="H44:P44"/>
    <mergeCell ref="U44:X44"/>
    <mergeCell ref="C46:E46"/>
    <mergeCell ref="H46:P46"/>
    <mergeCell ref="U46:X46"/>
    <mergeCell ref="C48:E48"/>
    <mergeCell ref="H48:Q48"/>
    <mergeCell ref="U48:X48"/>
    <mergeCell ref="C50:D50"/>
    <mergeCell ref="H50:J50"/>
    <mergeCell ref="U50:X50"/>
    <mergeCell ref="C52:D52"/>
    <mergeCell ref="H52:L52"/>
    <mergeCell ref="U52:X52"/>
    <mergeCell ref="C54:D54"/>
    <mergeCell ref="H54:J54"/>
    <mergeCell ref="U54:X54"/>
    <mergeCell ref="C56:D56"/>
    <mergeCell ref="H56:L56"/>
    <mergeCell ref="U56:X56"/>
    <mergeCell ref="C58:D58"/>
    <mergeCell ref="H58:K58"/>
    <mergeCell ref="U58:X58"/>
    <mergeCell ref="Z58:AA58"/>
    <mergeCell ref="C60:D60"/>
    <mergeCell ref="H60:K60"/>
    <mergeCell ref="U60:X60"/>
    <mergeCell ref="Z60:AA60"/>
    <mergeCell ref="C62:D62"/>
    <mergeCell ref="H62:J62"/>
    <mergeCell ref="U62:X62"/>
    <mergeCell ref="C64:D64"/>
    <mergeCell ref="H64:L64"/>
    <mergeCell ref="U64:X64"/>
    <mergeCell ref="Z64:AA64"/>
    <mergeCell ref="C66:D66"/>
    <mergeCell ref="H66:K66"/>
    <mergeCell ref="U66:X66"/>
    <mergeCell ref="C68:D68"/>
    <mergeCell ref="H68:Q68"/>
    <mergeCell ref="U68:X68"/>
    <mergeCell ref="Z68:AA68"/>
    <mergeCell ref="C70:D70"/>
    <mergeCell ref="H70:M70"/>
    <mergeCell ref="U70:X70"/>
    <mergeCell ref="Z70:AA70"/>
    <mergeCell ref="C72:D72"/>
    <mergeCell ref="H72:K72"/>
    <mergeCell ref="W72:X72"/>
    <mergeCell ref="Z72:AA72"/>
    <mergeCell ref="C74:D74"/>
    <mergeCell ref="H74:I74"/>
    <mergeCell ref="U74:X74"/>
    <mergeCell ref="C76:D76"/>
    <mergeCell ref="H76:N76"/>
    <mergeCell ref="U76:X76"/>
    <mergeCell ref="C78:D78"/>
    <mergeCell ref="H78:P78"/>
    <mergeCell ref="U78:X78"/>
    <mergeCell ref="C80:D80"/>
    <mergeCell ref="H80:P80"/>
    <mergeCell ref="U80:X80"/>
    <mergeCell ref="C82:D82"/>
    <mergeCell ref="H82:O82"/>
    <mergeCell ref="U82:X82"/>
    <mergeCell ref="C84:D84"/>
    <mergeCell ref="H84:M84"/>
    <mergeCell ref="U84:X84"/>
    <mergeCell ref="C86:D86"/>
    <mergeCell ref="H86:P86"/>
    <mergeCell ref="U86:X86"/>
    <mergeCell ref="C88:D88"/>
    <mergeCell ref="H88:M88"/>
    <mergeCell ref="U88:X88"/>
    <mergeCell ref="C90:D90"/>
    <mergeCell ref="H90:N90"/>
    <mergeCell ref="U90:X90"/>
    <mergeCell ref="C92:D92"/>
    <mergeCell ref="H92:K92"/>
    <mergeCell ref="W92:X92"/>
    <mergeCell ref="C94:D94"/>
    <mergeCell ref="H94:X94"/>
    <mergeCell ref="C96:D96"/>
    <mergeCell ref="H96:Q96"/>
    <mergeCell ref="U96:X96"/>
    <mergeCell ref="C98:D98"/>
    <mergeCell ref="H98:P98"/>
    <mergeCell ref="U98:X98"/>
    <mergeCell ref="C100:D100"/>
    <mergeCell ref="H100:L100"/>
    <mergeCell ref="U100:X100"/>
    <mergeCell ref="I102:R102"/>
    <mergeCell ref="J104:Q104"/>
    <mergeCell ref="Z104:AB10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21.140625" customWidth="1"/>
    <col min="6" max="6" width="0.140625" customWidth="1"/>
    <col min="7" max="7" width="3.7109375" customWidth="1"/>
    <col min="8" max="8" width="6.140625" customWidth="1"/>
    <col min="9" max="9" width="9.5703125" customWidth="1"/>
    <col min="10" max="10" width="7.28515625" customWidth="1"/>
    <col min="11" max="11" width="1.85546875" customWidth="1"/>
    <col min="12" max="12" width="0.85546875" customWidth="1"/>
    <col min="13" max="13" width="1.42578125" customWidth="1"/>
    <col min="14" max="14" width="1" customWidth="1"/>
    <col min="15" max="16" width="1.140625" customWidth="1"/>
    <col min="17" max="17" width="3.7109375" customWidth="1"/>
    <col min="18" max="18" width="3.42578125" customWidth="1"/>
    <col min="19" max="19" width="3.140625" customWidth="1"/>
    <col min="20" max="20" width="0.7109375" customWidth="1"/>
    <col min="21" max="21" width="1.85546875" customWidth="1"/>
    <col min="22" max="22" width="1.140625" customWidth="1"/>
    <col min="23" max="23" width="3.140625" customWidth="1"/>
    <col min="24" max="24" width="2.85546875" customWidth="1"/>
    <col min="25" max="25" width="0.5703125" customWidth="1"/>
    <col min="26" max="26" width="1.140625" customWidth="1"/>
    <col min="27" max="27" width="1.28515625" customWidth="1"/>
    <col min="28" max="29" width="0.7109375" customWidth="1"/>
    <col min="30" max="30" width="0.42578125" customWidth="1"/>
    <col min="31" max="31" width="1" customWidth="1"/>
    <col min="32" max="32" width="0.85546875" customWidth="1"/>
    <col min="33" max="33" width="1.28515625" customWidth="1"/>
    <col min="34" max="34" width="0.42578125" customWidth="1"/>
    <col min="35" max="35" width="1.42578125" customWidth="1"/>
    <col min="36" max="36" width="5.28515625" customWidth="1"/>
    <col min="37" max="37" width="4.42578125" customWidth="1"/>
    <col min="38" max="38" width="0.28515625" customWidth="1"/>
    <col min="39" max="39" width="0.140625" customWidth="1"/>
    <col min="40" max="40" width="3" customWidth="1"/>
    <col min="41" max="41" width="2.85546875" customWidth="1"/>
    <col min="42" max="42" width="0.42578125" customWidth="1"/>
    <col min="43" max="43" width="3.28515625" customWidth="1"/>
    <col min="44" max="44" width="0.42578125" customWidth="1"/>
    <col min="45" max="45" width="0.7109375" customWidth="1"/>
    <col min="46" max="46" width="1.85546875" customWidth="1"/>
    <col min="47" max="48" width="1.28515625" customWidth="1"/>
    <col min="49" max="49" width="6.140625" customWidth="1"/>
    <col min="50" max="50" width="1" customWidth="1"/>
    <col min="51" max="51" width="3.85546875" customWidth="1"/>
  </cols>
  <sheetData>
    <row r="1" spans="1:51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.7" customHeight="1">
      <c r="A2" s="3"/>
      <c r="B2" s="19" t="s">
        <v>0</v>
      </c>
      <c r="C2" s="10"/>
      <c r="D2" s="10"/>
      <c r="E2" s="11"/>
      <c r="F2" s="19" t="s">
        <v>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9" t="s">
        <v>2</v>
      </c>
      <c r="AN2" s="10"/>
      <c r="AO2" s="11"/>
      <c r="AP2" s="4"/>
      <c r="AQ2" s="1"/>
      <c r="AR2" s="1"/>
      <c r="AS2" s="1"/>
      <c r="AT2" s="1"/>
      <c r="AU2" s="1"/>
      <c r="AV2" s="1"/>
      <c r="AW2" s="1"/>
      <c r="AX2" s="1"/>
      <c r="AY2" s="1"/>
    </row>
    <row r="3" spans="1:51" ht="11.25" customHeight="1">
      <c r="A3" s="3"/>
      <c r="B3" s="12"/>
      <c r="C3" s="13"/>
      <c r="D3" s="13"/>
      <c r="E3" s="14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4"/>
      <c r="AM3" s="12"/>
      <c r="AN3" s="13"/>
      <c r="AO3" s="14"/>
      <c r="AP3" s="4"/>
      <c r="AQ3" s="1"/>
      <c r="AR3" s="8" t="s">
        <v>3</v>
      </c>
      <c r="AS3" s="18"/>
      <c r="AT3" s="18"/>
      <c r="AU3" s="18"/>
      <c r="AV3" s="18"/>
      <c r="AW3" s="18"/>
      <c r="AX3" s="18"/>
      <c r="AY3" s="1"/>
    </row>
    <row r="4" spans="1:51" ht="5.0999999999999996" customHeight="1">
      <c r="A4" s="3"/>
      <c r="B4" s="15"/>
      <c r="C4" s="16"/>
      <c r="D4" s="16"/>
      <c r="E4" s="17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/>
      <c r="AM4" s="15"/>
      <c r="AN4" s="16"/>
      <c r="AO4" s="17"/>
      <c r="AP4" s="4"/>
      <c r="AQ4" s="1"/>
      <c r="AR4" s="1"/>
      <c r="AS4" s="1"/>
      <c r="AT4" s="1"/>
      <c r="AU4" s="1"/>
      <c r="AV4" s="1"/>
      <c r="AW4" s="1"/>
      <c r="AX4" s="1"/>
      <c r="AY4" s="1"/>
    </row>
    <row r="5" spans="1:51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1.25" customHeight="1">
      <c r="A6" s="1"/>
      <c r="B6" s="1"/>
      <c r="C6" s="1" t="s">
        <v>2238</v>
      </c>
      <c r="D6" s="1"/>
      <c r="E6" s="1"/>
      <c r="F6" s="1"/>
      <c r="G6" s="1" t="s">
        <v>2239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8" t="s">
        <v>7</v>
      </c>
      <c r="AN6" s="18"/>
      <c r="AO6" s="18"/>
      <c r="AP6" s="18"/>
      <c r="AQ6" s="18"/>
      <c r="AR6" s="1"/>
      <c r="AS6" s="1"/>
      <c r="AT6" s="1"/>
      <c r="AU6" s="1"/>
      <c r="AV6" s="8" t="s">
        <v>1714</v>
      </c>
      <c r="AW6" s="18"/>
      <c r="AX6" s="1"/>
      <c r="AY6" s="1"/>
    </row>
    <row r="7" spans="1:51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1.25" customHeight="1">
      <c r="A8" s="1"/>
      <c r="B8" s="1"/>
      <c r="C8" s="8" t="s">
        <v>1715</v>
      </c>
      <c r="D8" s="18"/>
      <c r="E8" s="1"/>
      <c r="F8" s="1"/>
      <c r="G8" s="8" t="s">
        <v>1716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"/>
      <c r="AE8" s="1"/>
      <c r="AF8" s="1"/>
      <c r="AG8" s="1"/>
      <c r="AH8" s="1"/>
      <c r="AI8" s="1"/>
      <c r="AJ8" s="1"/>
      <c r="AK8" s="1"/>
      <c r="AL8" s="8" t="s">
        <v>7</v>
      </c>
      <c r="AM8" s="18"/>
      <c r="AN8" s="18"/>
      <c r="AO8" s="18"/>
      <c r="AP8" s="18"/>
      <c r="AQ8" s="1"/>
      <c r="AR8" s="1"/>
      <c r="AS8" s="1"/>
      <c r="AT8" s="1"/>
      <c r="AU8" s="8" t="s">
        <v>1717</v>
      </c>
      <c r="AV8" s="18"/>
      <c r="AW8" s="18"/>
      <c r="AX8" s="1"/>
      <c r="AY8" s="1"/>
    </row>
    <row r="9" spans="1:51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1.25" customHeight="1">
      <c r="A10" s="1"/>
      <c r="B10" s="1"/>
      <c r="C10" s="8" t="s">
        <v>1718</v>
      </c>
      <c r="D10" s="18"/>
      <c r="E10" s="1"/>
      <c r="F10" s="1"/>
      <c r="G10" s="8" t="s">
        <v>1719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"/>
      <c r="AG10" s="1"/>
      <c r="AH10" s="1"/>
      <c r="AI10" s="1"/>
      <c r="AJ10" s="1"/>
      <c r="AK10" s="1"/>
      <c r="AL10" s="8" t="s">
        <v>7</v>
      </c>
      <c r="AM10" s="18"/>
      <c r="AN10" s="18"/>
      <c r="AO10" s="18"/>
      <c r="AP10" s="18"/>
      <c r="AQ10" s="1"/>
      <c r="AR10" s="1"/>
      <c r="AS10" s="1"/>
      <c r="AT10" s="1"/>
      <c r="AU10" s="8" t="s">
        <v>1720</v>
      </c>
      <c r="AV10" s="18"/>
      <c r="AW10" s="18"/>
      <c r="AX10" s="1"/>
      <c r="AY10" s="1"/>
    </row>
    <row r="11" spans="1:51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1.25" customHeight="1">
      <c r="A12" s="1"/>
      <c r="B12" s="1"/>
      <c r="C12" s="8" t="s">
        <v>1721</v>
      </c>
      <c r="D12" s="18"/>
      <c r="E12" s="1"/>
      <c r="F12" s="1"/>
      <c r="G12" s="8" t="s">
        <v>1722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8" t="s">
        <v>7</v>
      </c>
      <c r="AM12" s="18"/>
      <c r="AN12" s="18"/>
      <c r="AO12" s="18"/>
      <c r="AP12" s="18"/>
      <c r="AQ12" s="1"/>
      <c r="AR12" s="1"/>
      <c r="AS12" s="1"/>
      <c r="AT12" s="1"/>
      <c r="AU12" s="8" t="s">
        <v>1723</v>
      </c>
      <c r="AV12" s="18"/>
      <c r="AW12" s="18"/>
      <c r="AX12" s="1"/>
      <c r="AY12" s="1"/>
    </row>
    <row r="13" spans="1:51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1.25" customHeight="1">
      <c r="A14" s="1"/>
      <c r="B14" s="1"/>
      <c r="C14" s="8" t="s">
        <v>1724</v>
      </c>
      <c r="D14" s="18"/>
      <c r="E14" s="1"/>
      <c r="F14" s="1"/>
      <c r="G14" s="8" t="s">
        <v>1725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"/>
      <c r="AK14" s="1"/>
      <c r="AL14" s="8" t="s">
        <v>7</v>
      </c>
      <c r="AM14" s="18"/>
      <c r="AN14" s="18"/>
      <c r="AO14" s="18"/>
      <c r="AP14" s="18"/>
      <c r="AQ14" s="1"/>
      <c r="AR14" s="1"/>
      <c r="AS14" s="1"/>
      <c r="AT14" s="8" t="s">
        <v>1726</v>
      </c>
      <c r="AU14" s="18"/>
      <c r="AV14" s="18"/>
      <c r="AW14" s="18"/>
      <c r="AX14" s="1"/>
      <c r="AY14" s="1"/>
    </row>
    <row r="15" spans="1:51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1.25" customHeight="1">
      <c r="A16" s="1"/>
      <c r="B16" s="1"/>
      <c r="C16" s="8" t="s">
        <v>1727</v>
      </c>
      <c r="D16" s="18"/>
      <c r="E16" s="1"/>
      <c r="F16" s="1"/>
      <c r="G16" s="8" t="s">
        <v>1728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8" t="s">
        <v>7</v>
      </c>
      <c r="AM16" s="18"/>
      <c r="AN16" s="18"/>
      <c r="AO16" s="18"/>
      <c r="AP16" s="18"/>
      <c r="AQ16" s="1"/>
      <c r="AR16" s="1"/>
      <c r="AS16" s="1"/>
      <c r="AT16" s="8" t="s">
        <v>1729</v>
      </c>
      <c r="AU16" s="18"/>
      <c r="AV16" s="18"/>
      <c r="AW16" s="18"/>
      <c r="AX16" s="1"/>
      <c r="AY16" s="1"/>
    </row>
    <row r="17" spans="1:51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1.25" customHeight="1">
      <c r="A18" s="1"/>
      <c r="B18" s="1"/>
      <c r="C18" s="8" t="s">
        <v>1730</v>
      </c>
      <c r="D18" s="18"/>
      <c r="E18" s="1"/>
      <c r="F18" s="1"/>
      <c r="G18" s="8" t="s">
        <v>1731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8" t="s">
        <v>7</v>
      </c>
      <c r="AM18" s="18"/>
      <c r="AN18" s="18"/>
      <c r="AO18" s="18"/>
      <c r="AP18" s="18"/>
      <c r="AQ18" s="1"/>
      <c r="AR18" s="1"/>
      <c r="AS18" s="1"/>
      <c r="AT18" s="1"/>
      <c r="AU18" s="8" t="s">
        <v>1732</v>
      </c>
      <c r="AV18" s="18"/>
      <c r="AW18" s="18"/>
      <c r="AX18" s="1"/>
      <c r="AY18" s="1"/>
    </row>
    <row r="19" spans="1:51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1.25" customHeight="1">
      <c r="A20" s="1"/>
      <c r="B20" s="1"/>
      <c r="C20" s="8" t="s">
        <v>1733</v>
      </c>
      <c r="D20" s="18"/>
      <c r="E20" s="1"/>
      <c r="F20" s="1"/>
      <c r="G20" s="8" t="s">
        <v>1734</v>
      </c>
      <c r="H20" s="18"/>
      <c r="I20" s="18"/>
      <c r="J20" s="18"/>
      <c r="K20" s="18"/>
      <c r="L20" s="18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8" t="s">
        <v>7</v>
      </c>
      <c r="AM20" s="18"/>
      <c r="AN20" s="18"/>
      <c r="AO20" s="18"/>
      <c r="AP20" s="18"/>
      <c r="AQ20" s="1"/>
      <c r="AR20" s="1"/>
      <c r="AS20" s="1"/>
      <c r="AT20" s="1"/>
      <c r="AU20" s="8" t="s">
        <v>1089</v>
      </c>
      <c r="AV20" s="18"/>
      <c r="AW20" s="18"/>
      <c r="AX20" s="1"/>
      <c r="AY20" s="1"/>
    </row>
    <row r="21" spans="1:51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1.25" customHeight="1">
      <c r="A22" s="1"/>
      <c r="B22" s="1"/>
      <c r="C22" s="8" t="s">
        <v>1735</v>
      </c>
      <c r="D22" s="18"/>
      <c r="E22" s="1"/>
      <c r="F22" s="1"/>
      <c r="G22" s="8" t="s">
        <v>1736</v>
      </c>
      <c r="H22" s="18"/>
      <c r="I22" s="18"/>
      <c r="J22" s="18"/>
      <c r="K22" s="18"/>
      <c r="L22" s="18"/>
      <c r="M22" s="18"/>
      <c r="N22" s="18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8" t="s">
        <v>7</v>
      </c>
      <c r="AM22" s="18"/>
      <c r="AN22" s="18"/>
      <c r="AO22" s="18"/>
      <c r="AP22" s="18"/>
      <c r="AQ22" s="1"/>
      <c r="AR22" s="1"/>
      <c r="AS22" s="1"/>
      <c r="AT22" s="1"/>
      <c r="AU22" s="8" t="s">
        <v>1737</v>
      </c>
      <c r="AV22" s="18"/>
      <c r="AW22" s="18"/>
      <c r="AX22" s="1"/>
      <c r="AY22" s="1"/>
    </row>
    <row r="23" spans="1:51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1.25" customHeight="1">
      <c r="A24" s="1"/>
      <c r="B24" s="1"/>
      <c r="C24" s="8" t="s">
        <v>1738</v>
      </c>
      <c r="D24" s="18"/>
      <c r="E24" s="1"/>
      <c r="F24" s="1"/>
      <c r="G24" s="8" t="s">
        <v>1739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8" t="s">
        <v>7</v>
      </c>
      <c r="AM24" s="18"/>
      <c r="AN24" s="18"/>
      <c r="AO24" s="18"/>
      <c r="AP24" s="18"/>
      <c r="AQ24" s="1"/>
      <c r="AR24" s="1"/>
      <c r="AS24" s="1"/>
      <c r="AT24" s="1"/>
      <c r="AU24" s="8" t="s">
        <v>1119</v>
      </c>
      <c r="AV24" s="18"/>
      <c r="AW24" s="18"/>
      <c r="AX24" s="1"/>
      <c r="AY24" s="1"/>
    </row>
    <row r="25" spans="1:51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1.25" customHeight="1">
      <c r="A26" s="1"/>
      <c r="B26" s="1"/>
      <c r="C26" s="8" t="s">
        <v>1740</v>
      </c>
      <c r="D26" s="18"/>
      <c r="E26" s="1"/>
      <c r="F26" s="1"/>
      <c r="G26" s="8" t="s">
        <v>1741</v>
      </c>
      <c r="H26" s="18"/>
      <c r="I26" s="18"/>
      <c r="J26" s="18"/>
      <c r="K26" s="18"/>
      <c r="L26" s="18"/>
      <c r="M26" s="18"/>
      <c r="N26" s="1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8" t="s">
        <v>7</v>
      </c>
      <c r="AM26" s="18"/>
      <c r="AN26" s="18"/>
      <c r="AO26" s="18"/>
      <c r="AP26" s="18"/>
      <c r="AQ26" s="1"/>
      <c r="AR26" s="1"/>
      <c r="AS26" s="1"/>
      <c r="AT26" s="1"/>
      <c r="AU26" s="8" t="s">
        <v>1022</v>
      </c>
      <c r="AV26" s="18"/>
      <c r="AW26" s="18"/>
      <c r="AX26" s="1"/>
      <c r="AY26" s="1"/>
    </row>
    <row r="27" spans="1:51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1.25" customHeight="1">
      <c r="A28" s="1"/>
      <c r="B28" s="1"/>
      <c r="C28" s="8" t="s">
        <v>1742</v>
      </c>
      <c r="D28" s="18"/>
      <c r="E28" s="1"/>
      <c r="F28" s="1"/>
      <c r="G28" s="8" t="s">
        <v>1743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8" t="s">
        <v>7</v>
      </c>
      <c r="AM28" s="18"/>
      <c r="AN28" s="18"/>
      <c r="AO28" s="18"/>
      <c r="AP28" s="18"/>
      <c r="AQ28" s="1"/>
      <c r="AR28" s="1"/>
      <c r="AS28" s="1"/>
      <c r="AT28" s="1"/>
      <c r="AU28" s="8" t="s">
        <v>1723</v>
      </c>
      <c r="AV28" s="18"/>
      <c r="AW28" s="18"/>
      <c r="AX28" s="1"/>
      <c r="AY28" s="1"/>
    </row>
    <row r="29" spans="1:51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1.25" customHeight="1">
      <c r="A30" s="1"/>
      <c r="B30" s="1"/>
      <c r="C30" s="8" t="s">
        <v>1744</v>
      </c>
      <c r="D30" s="18"/>
      <c r="E30" s="1"/>
      <c r="F30" s="1"/>
      <c r="G30" s="8" t="s">
        <v>1745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8" t="s">
        <v>7</v>
      </c>
      <c r="AM30" s="18"/>
      <c r="AN30" s="18"/>
      <c r="AO30" s="18"/>
      <c r="AP30" s="18"/>
      <c r="AQ30" s="1"/>
      <c r="AR30" s="1"/>
      <c r="AS30" s="1"/>
      <c r="AT30" s="1"/>
      <c r="AU30" s="8" t="s">
        <v>1746</v>
      </c>
      <c r="AV30" s="18"/>
      <c r="AW30" s="18"/>
      <c r="AX30" s="1"/>
      <c r="AY30" s="1"/>
    </row>
    <row r="31" spans="1:51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1.25" customHeight="1">
      <c r="A32" s="1"/>
      <c r="B32" s="1"/>
      <c r="C32" s="8" t="s">
        <v>1747</v>
      </c>
      <c r="D32" s="18"/>
      <c r="E32" s="1"/>
      <c r="F32" s="1"/>
      <c r="G32" s="8" t="s">
        <v>1748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"/>
      <c r="AK32" s="1"/>
      <c r="AL32" s="8" t="s">
        <v>7</v>
      </c>
      <c r="AM32" s="18"/>
      <c r="AN32" s="18"/>
      <c r="AO32" s="18"/>
      <c r="AP32" s="18"/>
      <c r="AQ32" s="1"/>
      <c r="AR32" s="1"/>
      <c r="AS32" s="1"/>
      <c r="AT32" s="1"/>
      <c r="AU32" s="8" t="s">
        <v>1749</v>
      </c>
      <c r="AV32" s="18"/>
      <c r="AW32" s="18"/>
      <c r="AX32" s="1"/>
      <c r="AY32" s="1"/>
    </row>
    <row r="33" spans="1:51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1.25" customHeight="1">
      <c r="A34" s="1"/>
      <c r="B34" s="1"/>
      <c r="C34" s="8" t="s">
        <v>1750</v>
      </c>
      <c r="D34" s="18"/>
      <c r="E34" s="1"/>
      <c r="F34" s="1"/>
      <c r="G34" s="8" t="s">
        <v>1751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"/>
      <c r="AL34" s="8" t="s">
        <v>7</v>
      </c>
      <c r="AM34" s="18"/>
      <c r="AN34" s="18"/>
      <c r="AO34" s="18"/>
      <c r="AP34" s="18"/>
      <c r="AQ34" s="1"/>
      <c r="AR34" s="1"/>
      <c r="AS34" s="1"/>
      <c r="AT34" s="8" t="s">
        <v>1752</v>
      </c>
      <c r="AU34" s="18"/>
      <c r="AV34" s="18"/>
      <c r="AW34" s="18"/>
      <c r="AX34" s="1"/>
      <c r="AY34" s="1"/>
    </row>
    <row r="35" spans="1:51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1.25" customHeight="1">
      <c r="A36" s="1"/>
      <c r="B36" s="1"/>
      <c r="C36" s="8" t="s">
        <v>1753</v>
      </c>
      <c r="D36" s="18"/>
      <c r="E36" s="1"/>
      <c r="F36" s="1"/>
      <c r="G36" s="8" t="s">
        <v>1754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"/>
      <c r="AE36" s="1"/>
      <c r="AF36" s="1"/>
      <c r="AG36" s="1"/>
      <c r="AH36" s="1"/>
      <c r="AI36" s="1"/>
      <c r="AJ36" s="1"/>
      <c r="AK36" s="1"/>
      <c r="AL36" s="8" t="s">
        <v>7</v>
      </c>
      <c r="AM36" s="18"/>
      <c r="AN36" s="18"/>
      <c r="AO36" s="18"/>
      <c r="AP36" s="18"/>
      <c r="AQ36" s="1"/>
      <c r="AR36" s="1"/>
      <c r="AS36" s="1"/>
      <c r="AT36" s="8" t="s">
        <v>1755</v>
      </c>
      <c r="AU36" s="18"/>
      <c r="AV36" s="18"/>
      <c r="AW36" s="18"/>
      <c r="AX36" s="1"/>
      <c r="AY36" s="1"/>
    </row>
    <row r="37" spans="1:51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1.25" customHeight="1">
      <c r="A38" s="1"/>
      <c r="B38" s="1"/>
      <c r="C38" s="8" t="s">
        <v>1756</v>
      </c>
      <c r="D38" s="18"/>
      <c r="E38" s="1"/>
      <c r="F38" s="1"/>
      <c r="G38" s="8" t="s">
        <v>1757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" t="s">
        <v>7</v>
      </c>
      <c r="AM38" s="18"/>
      <c r="AN38" s="18"/>
      <c r="AO38" s="18"/>
      <c r="AP38" s="18"/>
      <c r="AQ38" s="1"/>
      <c r="AR38" s="1"/>
      <c r="AS38" s="1"/>
      <c r="AT38" s="1"/>
      <c r="AU38" s="8" t="s">
        <v>1758</v>
      </c>
      <c r="AV38" s="18"/>
      <c r="AW38" s="18"/>
      <c r="AX38" s="1"/>
      <c r="AY38" s="1"/>
    </row>
    <row r="39" spans="1:51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1.25" customHeight="1">
      <c r="A40" s="1"/>
      <c r="B40" s="1"/>
      <c r="C40" s="8" t="s">
        <v>1759</v>
      </c>
      <c r="D40" s="18"/>
      <c r="E40" s="1"/>
      <c r="F40" s="1"/>
      <c r="G40" s="8" t="s">
        <v>1760</v>
      </c>
      <c r="H40" s="18"/>
      <c r="I40" s="18"/>
      <c r="J40" s="18"/>
      <c r="K40" s="18"/>
      <c r="L40" s="18"/>
      <c r="M40" s="18"/>
      <c r="N40" s="1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8" t="s">
        <v>7</v>
      </c>
      <c r="AM40" s="18"/>
      <c r="AN40" s="18"/>
      <c r="AO40" s="18"/>
      <c r="AP40" s="18"/>
      <c r="AQ40" s="1"/>
      <c r="AR40" s="1"/>
      <c r="AS40" s="1"/>
      <c r="AT40" s="1"/>
      <c r="AU40" s="8" t="s">
        <v>1761</v>
      </c>
      <c r="AV40" s="18"/>
      <c r="AW40" s="18"/>
      <c r="AX40" s="1"/>
      <c r="AY40" s="1"/>
    </row>
    <row r="41" spans="1:51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1.25" customHeight="1">
      <c r="A42" s="1"/>
      <c r="B42" s="1"/>
      <c r="C42" s="8" t="s">
        <v>1762</v>
      </c>
      <c r="D42" s="18"/>
      <c r="E42" s="1"/>
      <c r="F42" s="1"/>
      <c r="G42" s="8" t="s">
        <v>1763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8" t="s">
        <v>7</v>
      </c>
      <c r="AM42" s="18"/>
      <c r="AN42" s="18"/>
      <c r="AO42" s="18"/>
      <c r="AP42" s="18"/>
      <c r="AQ42" s="1"/>
      <c r="AR42" s="1"/>
      <c r="AS42" s="1"/>
      <c r="AT42" s="1"/>
      <c r="AU42" s="8" t="s">
        <v>1764</v>
      </c>
      <c r="AV42" s="18"/>
      <c r="AW42" s="18"/>
      <c r="AX42" s="1"/>
      <c r="AY42" s="1"/>
    </row>
    <row r="43" spans="1:51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1.25" customHeight="1">
      <c r="A44" s="1"/>
      <c r="B44" s="1"/>
      <c r="C44" s="8" t="s">
        <v>1765</v>
      </c>
      <c r="D44" s="18"/>
      <c r="E44" s="1"/>
      <c r="F44" s="1"/>
      <c r="G44" s="8" t="s">
        <v>1766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"/>
      <c r="AD44" s="1"/>
      <c r="AE44" s="1"/>
      <c r="AF44" s="1"/>
      <c r="AG44" s="1"/>
      <c r="AH44" s="1"/>
      <c r="AI44" s="1"/>
      <c r="AJ44" s="1"/>
      <c r="AK44" s="1"/>
      <c r="AL44" s="8" t="s">
        <v>7</v>
      </c>
      <c r="AM44" s="18"/>
      <c r="AN44" s="18"/>
      <c r="AO44" s="18"/>
      <c r="AP44" s="18"/>
      <c r="AQ44" s="1"/>
      <c r="AR44" s="1"/>
      <c r="AS44" s="1"/>
      <c r="AT44" s="1"/>
      <c r="AU44" s="8" t="s">
        <v>186</v>
      </c>
      <c r="AV44" s="18"/>
      <c r="AW44" s="18"/>
      <c r="AX44" s="1"/>
      <c r="AY44" s="1"/>
    </row>
    <row r="45" spans="1:51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1.25" customHeight="1">
      <c r="A46" s="1"/>
      <c r="B46" s="1"/>
      <c r="C46" s="8" t="s">
        <v>1767</v>
      </c>
      <c r="D46" s="18"/>
      <c r="E46" s="1"/>
      <c r="F46" s="1"/>
      <c r="G46" s="8" t="s">
        <v>1768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"/>
      <c r="AH46" s="1"/>
      <c r="AI46" s="1"/>
      <c r="AJ46" s="1"/>
      <c r="AK46" s="1"/>
      <c r="AL46" s="8" t="s">
        <v>7</v>
      </c>
      <c r="AM46" s="18"/>
      <c r="AN46" s="18"/>
      <c r="AO46" s="18"/>
      <c r="AP46" s="18"/>
      <c r="AQ46" s="1"/>
      <c r="AR46" s="1"/>
      <c r="AS46" s="1"/>
      <c r="AT46" s="1"/>
      <c r="AU46" s="8" t="s">
        <v>1769</v>
      </c>
      <c r="AV46" s="18"/>
      <c r="AW46" s="18"/>
      <c r="AX46" s="1"/>
      <c r="AY46" s="1"/>
    </row>
    <row r="47" spans="1:51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1.25" customHeight="1">
      <c r="A48" s="1"/>
      <c r="B48" s="1"/>
      <c r="C48" s="8" t="s">
        <v>1770</v>
      </c>
      <c r="D48" s="18"/>
      <c r="E48" s="1"/>
      <c r="F48" s="1"/>
      <c r="G48" s="8" t="s">
        <v>1771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"/>
      <c r="AR48" s="1"/>
      <c r="AS48" s="1"/>
      <c r="AT48" s="8" t="s">
        <v>1772</v>
      </c>
      <c r="AU48" s="18"/>
      <c r="AV48" s="18"/>
      <c r="AW48" s="18"/>
      <c r="AX48" s="1"/>
      <c r="AY48" s="1"/>
    </row>
    <row r="49" spans="1:51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1.25" customHeight="1">
      <c r="A50" s="1"/>
      <c r="B50" s="1"/>
      <c r="C50" s="8" t="s">
        <v>1773</v>
      </c>
      <c r="D50" s="18"/>
      <c r="E50" s="1"/>
      <c r="F50" s="1"/>
      <c r="G50" s="8" t="s">
        <v>1774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"/>
      <c r="AJ50" s="1"/>
      <c r="AK50" s="1"/>
      <c r="AL50" s="8" t="s">
        <v>7</v>
      </c>
      <c r="AM50" s="18"/>
      <c r="AN50" s="18"/>
      <c r="AO50" s="18"/>
      <c r="AP50" s="18"/>
      <c r="AQ50" s="1"/>
      <c r="AR50" s="1"/>
      <c r="AS50" s="1"/>
      <c r="AT50" s="1"/>
      <c r="AU50" s="8" t="s">
        <v>1775</v>
      </c>
      <c r="AV50" s="18"/>
      <c r="AW50" s="18"/>
      <c r="AX50" s="1"/>
      <c r="AY50" s="1"/>
    </row>
    <row r="51" spans="1:51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1.25" customHeight="1">
      <c r="A52" s="1"/>
      <c r="B52" s="1"/>
      <c r="C52" s="8" t="s">
        <v>1776</v>
      </c>
      <c r="D52" s="18"/>
      <c r="E52" s="1"/>
      <c r="F52" s="1"/>
      <c r="G52" s="8" t="s">
        <v>1777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"/>
      <c r="AF52" s="1"/>
      <c r="AG52" s="1"/>
      <c r="AH52" s="1"/>
      <c r="AI52" s="1"/>
      <c r="AJ52" s="1"/>
      <c r="AK52" s="1"/>
      <c r="AL52" s="8" t="s">
        <v>7</v>
      </c>
      <c r="AM52" s="18"/>
      <c r="AN52" s="18"/>
      <c r="AO52" s="18"/>
      <c r="AP52" s="18"/>
      <c r="AQ52" s="1"/>
      <c r="AR52" s="1"/>
      <c r="AS52" s="1"/>
      <c r="AT52" s="1"/>
      <c r="AU52" s="8" t="s">
        <v>1250</v>
      </c>
      <c r="AV52" s="18"/>
      <c r="AW52" s="18"/>
      <c r="AX52" s="1"/>
      <c r="AY52" s="1"/>
    </row>
    <row r="53" spans="1:51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1.25" customHeight="1">
      <c r="A54" s="1"/>
      <c r="B54" s="1"/>
      <c r="C54" s="8" t="s">
        <v>1778</v>
      </c>
      <c r="D54" s="18"/>
      <c r="E54" s="1"/>
      <c r="F54" s="1"/>
      <c r="G54" s="8" t="s">
        <v>1779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"/>
      <c r="AE54" s="1"/>
      <c r="AF54" s="1"/>
      <c r="AG54" s="1"/>
      <c r="AH54" s="1"/>
      <c r="AI54" s="1"/>
      <c r="AJ54" s="1"/>
      <c r="AK54" s="1"/>
      <c r="AL54" s="8" t="s">
        <v>7</v>
      </c>
      <c r="AM54" s="18"/>
      <c r="AN54" s="18"/>
      <c r="AO54" s="18"/>
      <c r="AP54" s="18"/>
      <c r="AQ54" s="1"/>
      <c r="AR54" s="1"/>
      <c r="AS54" s="1"/>
      <c r="AT54" s="1"/>
      <c r="AU54" s="8" t="s">
        <v>1250</v>
      </c>
      <c r="AV54" s="18"/>
      <c r="AW54" s="18"/>
      <c r="AX54" s="1"/>
      <c r="AY54" s="1"/>
    </row>
    <row r="55" spans="1:51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1.25" customHeight="1">
      <c r="A56" s="1"/>
      <c r="B56" s="1"/>
      <c r="C56" s="8" t="s">
        <v>1780</v>
      </c>
      <c r="D56" s="18"/>
      <c r="E56" s="1"/>
      <c r="F56" s="1"/>
      <c r="G56" s="8" t="s">
        <v>1781</v>
      </c>
      <c r="H56" s="18"/>
      <c r="I56" s="18"/>
      <c r="J56" s="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8" t="s">
        <v>7</v>
      </c>
      <c r="AM56" s="18"/>
      <c r="AN56" s="18"/>
      <c r="AO56" s="18"/>
      <c r="AP56" s="18"/>
      <c r="AQ56" s="1"/>
      <c r="AR56" s="1"/>
      <c r="AS56" s="1"/>
      <c r="AT56" s="1"/>
      <c r="AU56" s="8" t="s">
        <v>1782</v>
      </c>
      <c r="AV56" s="18"/>
      <c r="AW56" s="18"/>
      <c r="AX56" s="1"/>
      <c r="AY56" s="1"/>
    </row>
    <row r="57" spans="1:51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1.25" customHeight="1">
      <c r="A58" s="1"/>
      <c r="B58" s="1"/>
      <c r="C58" s="8" t="s">
        <v>1783</v>
      </c>
      <c r="D58" s="18"/>
      <c r="E58" s="1"/>
      <c r="F58" s="1"/>
      <c r="G58" s="8" t="s">
        <v>1784</v>
      </c>
      <c r="H58" s="18"/>
      <c r="I58" s="18"/>
      <c r="J58" s="18"/>
      <c r="K58" s="18"/>
      <c r="L58" s="18"/>
      <c r="M58" s="18"/>
      <c r="N58" s="18"/>
      <c r="O58" s="18"/>
      <c r="P58" s="18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8" t="s">
        <v>7</v>
      </c>
      <c r="AM58" s="18"/>
      <c r="AN58" s="18"/>
      <c r="AO58" s="18"/>
      <c r="AP58" s="18"/>
      <c r="AQ58" s="1"/>
      <c r="AR58" s="1"/>
      <c r="AS58" s="1"/>
      <c r="AT58" s="1"/>
      <c r="AU58" s="8" t="s">
        <v>17</v>
      </c>
      <c r="AV58" s="18"/>
      <c r="AW58" s="18"/>
      <c r="AX58" s="1"/>
      <c r="AY58" s="1"/>
    </row>
    <row r="59" spans="1:51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1.25" customHeight="1">
      <c r="A60" s="1"/>
      <c r="B60" s="1"/>
      <c r="C60" s="8" t="s">
        <v>1785</v>
      </c>
      <c r="D60" s="18"/>
      <c r="E60" s="1"/>
      <c r="F60" s="1"/>
      <c r="G60" s="8" t="s">
        <v>1786</v>
      </c>
      <c r="H60" s="18"/>
      <c r="I60" s="18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8" t="s">
        <v>7</v>
      </c>
      <c r="AM60" s="18"/>
      <c r="AN60" s="18"/>
      <c r="AO60" s="18"/>
      <c r="AP60" s="18"/>
      <c r="AQ60" s="1"/>
      <c r="AR60" s="1"/>
      <c r="AS60" s="1"/>
      <c r="AT60" s="1"/>
      <c r="AU60" s="1"/>
      <c r="AV60" s="8" t="s">
        <v>440</v>
      </c>
      <c r="AW60" s="18"/>
      <c r="AX60" s="1"/>
      <c r="AY60" s="1"/>
    </row>
    <row r="61" spans="1:51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1.25" customHeight="1">
      <c r="A62" s="1"/>
      <c r="B62" s="1"/>
      <c r="C62" s="8" t="s">
        <v>1787</v>
      </c>
      <c r="D62" s="18"/>
      <c r="E62" s="1"/>
      <c r="F62" s="1"/>
      <c r="G62" s="8" t="s">
        <v>1788</v>
      </c>
      <c r="H62" s="18"/>
      <c r="I62" s="18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8" t="s">
        <v>7</v>
      </c>
      <c r="AM62" s="18"/>
      <c r="AN62" s="18"/>
      <c r="AO62" s="18"/>
      <c r="AP62" s="18"/>
      <c r="AQ62" s="1"/>
      <c r="AR62" s="1"/>
      <c r="AS62" s="1"/>
      <c r="AT62" s="1"/>
      <c r="AU62" s="1"/>
      <c r="AV62" s="8" t="s">
        <v>411</v>
      </c>
      <c r="AW62" s="18"/>
      <c r="AX62" s="1"/>
      <c r="AY62" s="1"/>
    </row>
    <row r="63" spans="1:51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1.25" customHeight="1">
      <c r="A64" s="1"/>
      <c r="B64" s="1"/>
      <c r="C64" s="8" t="s">
        <v>1789</v>
      </c>
      <c r="D64" s="18"/>
      <c r="E64" s="1"/>
      <c r="F64" s="1"/>
      <c r="G64" s="8" t="s">
        <v>1790</v>
      </c>
      <c r="H64" s="18"/>
      <c r="I64" s="1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8" t="s">
        <v>1628</v>
      </c>
      <c r="AO64" s="18"/>
      <c r="AP64" s="18"/>
      <c r="AQ64" s="1"/>
      <c r="AR64" s="1"/>
      <c r="AS64" s="1"/>
      <c r="AT64" s="8" t="s">
        <v>1791</v>
      </c>
      <c r="AU64" s="18"/>
      <c r="AV64" s="18"/>
      <c r="AW64" s="18"/>
      <c r="AX64" s="1"/>
      <c r="AY64" s="1"/>
    </row>
    <row r="65" spans="1:51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1.25" customHeight="1">
      <c r="A66" s="1"/>
      <c r="B66" s="1"/>
      <c r="C66" s="8" t="s">
        <v>1792</v>
      </c>
      <c r="D66" s="18"/>
      <c r="E66" s="1"/>
      <c r="F66" s="1"/>
      <c r="G66" s="8" t="s">
        <v>1793</v>
      </c>
      <c r="H66" s="18"/>
      <c r="I66" s="1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8" t="s">
        <v>26</v>
      </c>
      <c r="AP66" s="18"/>
      <c r="AQ66" s="1"/>
      <c r="AR66" s="1"/>
      <c r="AS66" s="1"/>
      <c r="AT66" s="1"/>
      <c r="AU66" s="1"/>
      <c r="AV66" s="8" t="s">
        <v>417</v>
      </c>
      <c r="AW66" s="18"/>
      <c r="AX66" s="1"/>
      <c r="AY66" s="1"/>
    </row>
    <row r="67" spans="1:51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1.25" customHeight="1">
      <c r="A68" s="1"/>
      <c r="B68" s="1"/>
      <c r="C68" s="8" t="s">
        <v>1794</v>
      </c>
      <c r="D68" s="18"/>
      <c r="E68" s="1"/>
      <c r="F68" s="1"/>
      <c r="G68" s="8" t="s">
        <v>1795</v>
      </c>
      <c r="H68" s="18"/>
      <c r="I68" s="18"/>
      <c r="J68" s="18"/>
      <c r="K68" s="18"/>
      <c r="L68" s="18"/>
      <c r="M68" s="18"/>
      <c r="N68" s="18"/>
      <c r="O68" s="18"/>
      <c r="P68" s="18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8" t="s">
        <v>7</v>
      </c>
      <c r="AM68" s="18"/>
      <c r="AN68" s="18"/>
      <c r="AO68" s="18"/>
      <c r="AP68" s="18"/>
      <c r="AQ68" s="1"/>
      <c r="AR68" s="1"/>
      <c r="AS68" s="1"/>
      <c r="AT68" s="1"/>
      <c r="AU68" s="8" t="s">
        <v>1796</v>
      </c>
      <c r="AV68" s="18"/>
      <c r="AW68" s="18"/>
      <c r="AX68" s="1"/>
      <c r="AY68" s="1"/>
    </row>
    <row r="69" spans="1:51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1.25" customHeight="1">
      <c r="A70" s="1"/>
      <c r="B70" s="1"/>
      <c r="C70" s="8" t="s">
        <v>1797</v>
      </c>
      <c r="D70" s="18"/>
      <c r="E70" s="1"/>
      <c r="F70" s="1"/>
      <c r="G70" s="8" t="s">
        <v>1798</v>
      </c>
      <c r="H70" s="18"/>
      <c r="I70" s="18"/>
      <c r="J70" s="18"/>
      <c r="K70" s="18"/>
      <c r="L70" s="1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8" t="s">
        <v>7</v>
      </c>
      <c r="AM70" s="18"/>
      <c r="AN70" s="18"/>
      <c r="AO70" s="18"/>
      <c r="AP70" s="18"/>
      <c r="AQ70" s="1"/>
      <c r="AR70" s="1"/>
      <c r="AS70" s="1"/>
      <c r="AT70" s="1"/>
      <c r="AU70" s="1"/>
      <c r="AV70" s="1"/>
      <c r="AW70" s="5" t="s">
        <v>392</v>
      </c>
      <c r="AX70" s="1"/>
      <c r="AY70" s="1"/>
    </row>
    <row r="71" spans="1:51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1.25" customHeight="1">
      <c r="A72" s="1"/>
      <c r="B72" s="1"/>
      <c r="C72" s="8" t="s">
        <v>1799</v>
      </c>
      <c r="D72" s="18"/>
      <c r="E72" s="1"/>
      <c r="F72" s="1"/>
      <c r="G72" s="8" t="s">
        <v>1800</v>
      </c>
      <c r="H72" s="18"/>
      <c r="I72" s="18"/>
      <c r="J72" s="18"/>
      <c r="K72" s="18"/>
      <c r="L72" s="1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8" t="s">
        <v>7</v>
      </c>
      <c r="AM72" s="18"/>
      <c r="AN72" s="18"/>
      <c r="AO72" s="18"/>
      <c r="AP72" s="18"/>
      <c r="AQ72" s="1"/>
      <c r="AR72" s="1"/>
      <c r="AS72" s="1"/>
      <c r="AT72" s="1"/>
      <c r="AU72" s="1"/>
      <c r="AV72" s="8" t="s">
        <v>640</v>
      </c>
      <c r="AW72" s="18"/>
      <c r="AX72" s="1"/>
      <c r="AY72" s="1"/>
    </row>
    <row r="73" spans="1:51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1.25" customHeight="1">
      <c r="A74" s="1"/>
      <c r="B74" s="1"/>
      <c r="C74" s="8" t="s">
        <v>1801</v>
      </c>
      <c r="D74" s="18"/>
      <c r="E74" s="1"/>
      <c r="F74" s="1"/>
      <c r="G74" s="8" t="s">
        <v>1802</v>
      </c>
      <c r="H74" s="18"/>
      <c r="I74" s="18"/>
      <c r="J74" s="18"/>
      <c r="K74" s="18"/>
      <c r="L74" s="18"/>
      <c r="M74" s="1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8" t="s">
        <v>7</v>
      </c>
      <c r="AM74" s="18"/>
      <c r="AN74" s="18"/>
      <c r="AO74" s="18"/>
      <c r="AP74" s="18"/>
      <c r="AQ74" s="1"/>
      <c r="AR74" s="1"/>
      <c r="AS74" s="1"/>
      <c r="AT74" s="1"/>
      <c r="AU74" s="1"/>
      <c r="AV74" s="8" t="s">
        <v>991</v>
      </c>
      <c r="AW74" s="18"/>
      <c r="AX74" s="1"/>
      <c r="AY74" s="1"/>
    </row>
    <row r="75" spans="1:51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1.25" customHeight="1">
      <c r="A76" s="1"/>
      <c r="B76" s="1"/>
      <c r="C76" s="8" t="s">
        <v>1803</v>
      </c>
      <c r="D76" s="18"/>
      <c r="E76" s="1"/>
      <c r="F76" s="1"/>
      <c r="G76" s="8" t="s">
        <v>1804</v>
      </c>
      <c r="H76" s="18"/>
      <c r="I76" s="18"/>
      <c r="J76" s="18"/>
      <c r="K76" s="18"/>
      <c r="L76" s="18"/>
      <c r="M76" s="1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8" t="s">
        <v>7</v>
      </c>
      <c r="AM76" s="18"/>
      <c r="AN76" s="18"/>
      <c r="AO76" s="18"/>
      <c r="AP76" s="18"/>
      <c r="AQ76" s="1"/>
      <c r="AR76" s="1"/>
      <c r="AS76" s="1"/>
      <c r="AT76" s="1"/>
      <c r="AU76" s="1"/>
      <c r="AV76" s="8" t="s">
        <v>762</v>
      </c>
      <c r="AW76" s="18"/>
      <c r="AX76" s="1"/>
      <c r="AY76" s="1"/>
    </row>
    <row r="77" spans="1:51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1.25" customHeight="1">
      <c r="A78" s="1"/>
      <c r="B78" s="1"/>
      <c r="C78" s="8" t="s">
        <v>1805</v>
      </c>
      <c r="D78" s="18"/>
      <c r="E78" s="1"/>
      <c r="F78" s="1"/>
      <c r="G78" s="8" t="s">
        <v>1806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8" t="s">
        <v>7</v>
      </c>
      <c r="AM78" s="18"/>
      <c r="AN78" s="18"/>
      <c r="AO78" s="18"/>
      <c r="AP78" s="18"/>
      <c r="AQ78" s="1"/>
      <c r="AR78" s="1"/>
      <c r="AS78" s="1"/>
      <c r="AT78" s="1"/>
      <c r="AU78" s="8" t="s">
        <v>1350</v>
      </c>
      <c r="AV78" s="18"/>
      <c r="AW78" s="18"/>
      <c r="AX78" s="1"/>
      <c r="AY78" s="1"/>
    </row>
    <row r="79" spans="1:51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1.25" customHeight="1">
      <c r="A80" s="1"/>
      <c r="B80" s="1"/>
      <c r="C80" s="8" t="s">
        <v>1807</v>
      </c>
      <c r="D80" s="18"/>
      <c r="E80" s="1"/>
      <c r="F80" s="1"/>
      <c r="G80" s="8" t="s">
        <v>1808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8" t="s">
        <v>7</v>
      </c>
      <c r="AM80" s="18"/>
      <c r="AN80" s="18"/>
      <c r="AO80" s="18"/>
      <c r="AP80" s="18"/>
      <c r="AQ80" s="1"/>
      <c r="AR80" s="1"/>
      <c r="AS80" s="1"/>
      <c r="AT80" s="1"/>
      <c r="AU80" s="8" t="s">
        <v>1809</v>
      </c>
      <c r="AV80" s="18"/>
      <c r="AW80" s="18"/>
      <c r="AX80" s="1"/>
      <c r="AY80" s="1"/>
    </row>
    <row r="81" spans="1:51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1.25" customHeight="1">
      <c r="A82" s="1"/>
      <c r="B82" s="1"/>
      <c r="C82" s="8" t="s">
        <v>1810</v>
      </c>
      <c r="D82" s="18"/>
      <c r="E82" s="1"/>
      <c r="F82" s="1"/>
      <c r="G82" s="8" t="s">
        <v>1811</v>
      </c>
      <c r="H82" s="18"/>
      <c r="I82" s="18"/>
      <c r="J82" s="18"/>
      <c r="K82" s="1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8" t="s">
        <v>7</v>
      </c>
      <c r="AM82" s="18"/>
      <c r="AN82" s="18"/>
      <c r="AO82" s="18"/>
      <c r="AP82" s="18"/>
      <c r="AQ82" s="1"/>
      <c r="AR82" s="1"/>
      <c r="AS82" s="1"/>
      <c r="AT82" s="1"/>
      <c r="AU82" s="8" t="s">
        <v>949</v>
      </c>
      <c r="AV82" s="18"/>
      <c r="AW82" s="18"/>
      <c r="AX82" s="1"/>
      <c r="AY82" s="1"/>
    </row>
    <row r="83" spans="1:51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1.25" customHeight="1">
      <c r="A84" s="1"/>
      <c r="B84" s="1"/>
      <c r="C84" s="8" t="s">
        <v>1812</v>
      </c>
      <c r="D84" s="18"/>
      <c r="E84" s="1"/>
      <c r="F84" s="1"/>
      <c r="G84" s="8" t="s">
        <v>1813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"/>
      <c r="AI84" s="1"/>
      <c r="AJ84" s="1"/>
      <c r="AK84" s="1"/>
      <c r="AL84" s="8" t="s">
        <v>7</v>
      </c>
      <c r="AM84" s="18"/>
      <c r="AN84" s="18"/>
      <c r="AO84" s="18"/>
      <c r="AP84" s="18"/>
      <c r="AQ84" s="1"/>
      <c r="AR84" s="1"/>
      <c r="AS84" s="1"/>
      <c r="AT84" s="8" t="s">
        <v>1814</v>
      </c>
      <c r="AU84" s="18"/>
      <c r="AV84" s="18"/>
      <c r="AW84" s="18"/>
      <c r="AX84" s="1"/>
      <c r="AY84" s="1"/>
    </row>
    <row r="85" spans="1:51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1.25" customHeight="1">
      <c r="A86" s="1"/>
      <c r="B86" s="1"/>
      <c r="C86" s="8" t="s">
        <v>1815</v>
      </c>
      <c r="D86" s="18"/>
      <c r="E86" s="1"/>
      <c r="F86" s="1"/>
      <c r="G86" s="8" t="s">
        <v>1816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8" t="s">
        <v>7</v>
      </c>
      <c r="AM86" s="18"/>
      <c r="AN86" s="18"/>
      <c r="AO86" s="18"/>
      <c r="AP86" s="18"/>
      <c r="AQ86" s="1"/>
      <c r="AR86" s="1"/>
      <c r="AS86" s="1"/>
      <c r="AT86" s="1"/>
      <c r="AU86" s="8" t="s">
        <v>1817</v>
      </c>
      <c r="AV86" s="18"/>
      <c r="AW86" s="18"/>
      <c r="AX86" s="1"/>
      <c r="AY86" s="1"/>
    </row>
    <row r="87" spans="1:51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1.25" customHeight="1">
      <c r="A88" s="1"/>
      <c r="B88" s="1"/>
      <c r="C88" s="8" t="s">
        <v>1818</v>
      </c>
      <c r="D88" s="18"/>
      <c r="E88" s="1"/>
      <c r="F88" s="1"/>
      <c r="G88" s="8" t="s">
        <v>47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8" t="s">
        <v>7</v>
      </c>
      <c r="AM88" s="18"/>
      <c r="AN88" s="18"/>
      <c r="AO88" s="18"/>
      <c r="AP88" s="18"/>
      <c r="AQ88" s="1"/>
      <c r="AR88" s="1"/>
      <c r="AS88" s="1"/>
      <c r="AT88" s="1"/>
      <c r="AU88" s="8" t="s">
        <v>1819</v>
      </c>
      <c r="AV88" s="18"/>
      <c r="AW88" s="18"/>
      <c r="AX88" s="1"/>
      <c r="AY88" s="1"/>
    </row>
    <row r="89" spans="1:51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1.25" customHeight="1">
      <c r="A90" s="1"/>
      <c r="B90" s="1"/>
      <c r="C90" s="8" t="s">
        <v>1820</v>
      </c>
      <c r="D90" s="18"/>
      <c r="E90" s="1"/>
      <c r="F90" s="1"/>
      <c r="G90" s="8" t="s">
        <v>53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8" t="s">
        <v>7</v>
      </c>
      <c r="AM90" s="18"/>
      <c r="AN90" s="18"/>
      <c r="AO90" s="18"/>
      <c r="AP90" s="18"/>
      <c r="AQ90" s="1"/>
      <c r="AR90" s="1"/>
      <c r="AS90" s="1"/>
      <c r="AT90" s="1"/>
      <c r="AU90" s="8" t="s">
        <v>1819</v>
      </c>
      <c r="AV90" s="18"/>
      <c r="AW90" s="18"/>
      <c r="AX90" s="1"/>
      <c r="AY90" s="1"/>
    </row>
    <row r="91" spans="1:51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1.25" customHeight="1">
      <c r="A92" s="1"/>
      <c r="B92" s="1"/>
      <c r="C92" s="8" t="s">
        <v>1821</v>
      </c>
      <c r="D92" s="18"/>
      <c r="E92" s="1"/>
      <c r="F92" s="1"/>
      <c r="G92" s="8" t="s">
        <v>50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8" t="s">
        <v>7</v>
      </c>
      <c r="AM92" s="18"/>
      <c r="AN92" s="18"/>
      <c r="AO92" s="18"/>
      <c r="AP92" s="18"/>
      <c r="AQ92" s="1"/>
      <c r="AR92" s="1"/>
      <c r="AS92" s="1"/>
      <c r="AT92" s="1"/>
      <c r="AU92" s="8" t="s">
        <v>1819</v>
      </c>
      <c r="AV92" s="18"/>
      <c r="AW92" s="18"/>
      <c r="AX92" s="1"/>
      <c r="AY92" s="1"/>
    </row>
    <row r="93" spans="1:51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1.25" customHeight="1">
      <c r="A94" s="1"/>
      <c r="B94" s="1"/>
      <c r="C94" s="8" t="s">
        <v>1822</v>
      </c>
      <c r="D94" s="18"/>
      <c r="E94" s="1"/>
      <c r="F94" s="1"/>
      <c r="G94" s="8" t="s">
        <v>1823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8" t="s">
        <v>7</v>
      </c>
      <c r="AM94" s="18"/>
      <c r="AN94" s="18"/>
      <c r="AO94" s="18"/>
      <c r="AP94" s="18"/>
      <c r="AQ94" s="1"/>
      <c r="AR94" s="1"/>
      <c r="AS94" s="1"/>
      <c r="AT94" s="1"/>
      <c r="AU94" s="1"/>
      <c r="AV94" s="8" t="s">
        <v>496</v>
      </c>
      <c r="AW94" s="18"/>
      <c r="AX94" s="1"/>
      <c r="AY94" s="1"/>
    </row>
    <row r="95" spans="1:51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1.25" customHeight="1">
      <c r="A96" s="1"/>
      <c r="B96" s="1"/>
      <c r="C96" s="8" t="s">
        <v>1824</v>
      </c>
      <c r="D96" s="18"/>
      <c r="E96" s="1"/>
      <c r="F96" s="1"/>
      <c r="G96" s="8" t="s">
        <v>55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8" t="s">
        <v>7</v>
      </c>
      <c r="AM96" s="18"/>
      <c r="AN96" s="18"/>
      <c r="AO96" s="18"/>
      <c r="AP96" s="18"/>
      <c r="AQ96" s="1"/>
      <c r="AR96" s="1"/>
      <c r="AS96" s="1"/>
      <c r="AT96" s="1"/>
      <c r="AU96" s="8" t="s">
        <v>1819</v>
      </c>
      <c r="AV96" s="18"/>
      <c r="AW96" s="18"/>
      <c r="AX96" s="1"/>
      <c r="AY96" s="1"/>
    </row>
    <row r="97" spans="1:51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1.25" customHeight="1">
      <c r="A98" s="1"/>
      <c r="B98" s="1"/>
      <c r="C98" s="8" t="s">
        <v>1825</v>
      </c>
      <c r="D98" s="18"/>
      <c r="E98" s="1"/>
      <c r="F98" s="1"/>
      <c r="G98" s="8" t="s">
        <v>1826</v>
      </c>
      <c r="H98" s="18"/>
      <c r="I98" s="1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8" t="s">
        <v>7</v>
      </c>
      <c r="AM98" s="18"/>
      <c r="AN98" s="18"/>
      <c r="AO98" s="18"/>
      <c r="AP98" s="18"/>
      <c r="AQ98" s="1"/>
      <c r="AR98" s="1"/>
      <c r="AS98" s="1"/>
      <c r="AT98" s="1"/>
      <c r="AU98" s="8" t="s">
        <v>1300</v>
      </c>
      <c r="AV98" s="18"/>
      <c r="AW98" s="18"/>
      <c r="AX98" s="1"/>
      <c r="AY98" s="1"/>
    </row>
    <row r="99" spans="1:51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1.25" customHeight="1">
      <c r="A100" s="1"/>
      <c r="B100" s="1"/>
      <c r="C100" s="8" t="s">
        <v>1827</v>
      </c>
      <c r="D100" s="18"/>
      <c r="E100" s="1"/>
      <c r="F100" s="1"/>
      <c r="G100" s="8" t="s">
        <v>1828</v>
      </c>
      <c r="H100" s="18"/>
      <c r="I100" s="1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8" t="s">
        <v>7</v>
      </c>
      <c r="AM100" s="18"/>
      <c r="AN100" s="18"/>
      <c r="AO100" s="18"/>
      <c r="AP100" s="18"/>
      <c r="AQ100" s="1"/>
      <c r="AR100" s="1"/>
      <c r="AS100" s="1"/>
      <c r="AT100" s="1"/>
      <c r="AU100" s="8" t="s">
        <v>320</v>
      </c>
      <c r="AV100" s="18"/>
      <c r="AW100" s="18"/>
      <c r="AX100" s="1"/>
      <c r="AY100" s="1"/>
    </row>
    <row r="101" spans="1:51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0.15" customHeight="1">
      <c r="A102" s="1"/>
      <c r="B102" s="1"/>
      <c r="C102" s="1"/>
      <c r="D102" s="1"/>
      <c r="E102" s="1"/>
      <c r="F102" s="1"/>
      <c r="G102" s="1"/>
      <c r="H102" s="8" t="s">
        <v>133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8" t="s">
        <v>135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8" t="s">
        <v>1829</v>
      </c>
      <c r="AT104" s="18"/>
      <c r="AU104" s="18"/>
      <c r="AV104" s="18"/>
      <c r="AW104" s="18"/>
      <c r="AX104" s="18"/>
      <c r="AY104" s="1"/>
    </row>
    <row r="105" spans="1:51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</sheetData>
  <mergeCells count="195">
    <mergeCell ref="B2:E4"/>
    <mergeCell ref="F2:AL4"/>
    <mergeCell ref="AM2:AO4"/>
    <mergeCell ref="AR3:AX3"/>
    <mergeCell ref="AV6:AW6"/>
    <mergeCell ref="C8:D8"/>
    <mergeCell ref="G8:AC8"/>
    <mergeCell ref="AL8:AP8"/>
    <mergeCell ref="AU8:AW8"/>
    <mergeCell ref="AM6:AQ6"/>
    <mergeCell ref="C10:D10"/>
    <mergeCell ref="G10:AE10"/>
    <mergeCell ref="AL10:AP10"/>
    <mergeCell ref="AU10:AW10"/>
    <mergeCell ref="C12:D12"/>
    <mergeCell ref="G12:R12"/>
    <mergeCell ref="AL12:AP12"/>
    <mergeCell ref="AU12:AW12"/>
    <mergeCell ref="C14:D14"/>
    <mergeCell ref="G14:AI14"/>
    <mergeCell ref="AL14:AP14"/>
    <mergeCell ref="AT14:AW14"/>
    <mergeCell ref="C16:D16"/>
    <mergeCell ref="G16:T16"/>
    <mergeCell ref="AL16:AP16"/>
    <mergeCell ref="AT16:AW16"/>
    <mergeCell ref="C18:D18"/>
    <mergeCell ref="G18:Q18"/>
    <mergeCell ref="AL18:AP18"/>
    <mergeCell ref="AU18:AW18"/>
    <mergeCell ref="C20:D20"/>
    <mergeCell ref="G20:M20"/>
    <mergeCell ref="AL20:AP20"/>
    <mergeCell ref="AU20:AW20"/>
    <mergeCell ref="C22:D22"/>
    <mergeCell ref="G22:O22"/>
    <mergeCell ref="AL22:AP22"/>
    <mergeCell ref="AU22:AW22"/>
    <mergeCell ref="C24:D24"/>
    <mergeCell ref="G24:AA24"/>
    <mergeCell ref="AL24:AP24"/>
    <mergeCell ref="AU24:AW24"/>
    <mergeCell ref="C26:D26"/>
    <mergeCell ref="G26:N26"/>
    <mergeCell ref="AL26:AP26"/>
    <mergeCell ref="AU26:AW26"/>
    <mergeCell ref="C28:D28"/>
    <mergeCell ref="G28:X28"/>
    <mergeCell ref="AL28:AP28"/>
    <mergeCell ref="AU28:AW28"/>
    <mergeCell ref="C30:D30"/>
    <mergeCell ref="G30:X30"/>
    <mergeCell ref="AL30:AP30"/>
    <mergeCell ref="AU30:AW30"/>
    <mergeCell ref="C32:D32"/>
    <mergeCell ref="G32:AI32"/>
    <mergeCell ref="AL32:AP32"/>
    <mergeCell ref="AU32:AW32"/>
    <mergeCell ref="C34:D34"/>
    <mergeCell ref="G34:AJ34"/>
    <mergeCell ref="AL34:AP34"/>
    <mergeCell ref="AT34:AW34"/>
    <mergeCell ref="C36:D36"/>
    <mergeCell ref="G36:AC36"/>
    <mergeCell ref="AL36:AP36"/>
    <mergeCell ref="AT36:AW36"/>
    <mergeCell ref="C38:D38"/>
    <mergeCell ref="G38:V38"/>
    <mergeCell ref="AL38:AP38"/>
    <mergeCell ref="AU38:AW38"/>
    <mergeCell ref="C40:D40"/>
    <mergeCell ref="G40:N40"/>
    <mergeCell ref="AL40:AP40"/>
    <mergeCell ref="AU40:AW40"/>
    <mergeCell ref="C42:D42"/>
    <mergeCell ref="G42:W42"/>
    <mergeCell ref="AL42:AP42"/>
    <mergeCell ref="AU42:AW42"/>
    <mergeCell ref="C44:D44"/>
    <mergeCell ref="G44:AB44"/>
    <mergeCell ref="AL44:AP44"/>
    <mergeCell ref="AU44:AW44"/>
    <mergeCell ref="C46:D46"/>
    <mergeCell ref="G46:AF46"/>
    <mergeCell ref="AL46:AP46"/>
    <mergeCell ref="AU46:AW46"/>
    <mergeCell ref="C48:D48"/>
    <mergeCell ref="G48:AP48"/>
    <mergeCell ref="AT48:AW48"/>
    <mergeCell ref="C50:D50"/>
    <mergeCell ref="G50:AH50"/>
    <mergeCell ref="AL50:AP50"/>
    <mergeCell ref="AU50:AW50"/>
    <mergeCell ref="C52:D52"/>
    <mergeCell ref="G52:AD52"/>
    <mergeCell ref="AL52:AP52"/>
    <mergeCell ref="AU52:AW52"/>
    <mergeCell ref="C54:D54"/>
    <mergeCell ref="G54:AC54"/>
    <mergeCell ref="AL54:AP54"/>
    <mergeCell ref="AU54:AW54"/>
    <mergeCell ref="C56:D56"/>
    <mergeCell ref="G56:J56"/>
    <mergeCell ref="AL56:AP56"/>
    <mergeCell ref="AU56:AW56"/>
    <mergeCell ref="C58:D58"/>
    <mergeCell ref="G58:P58"/>
    <mergeCell ref="AL58:AP58"/>
    <mergeCell ref="AU58:AW58"/>
    <mergeCell ref="C60:D60"/>
    <mergeCell ref="G60:J60"/>
    <mergeCell ref="AL60:AP60"/>
    <mergeCell ref="AV60:AW60"/>
    <mergeCell ref="C62:D62"/>
    <mergeCell ref="G62:J62"/>
    <mergeCell ref="AL62:AP62"/>
    <mergeCell ref="AV62:AW62"/>
    <mergeCell ref="C64:D64"/>
    <mergeCell ref="G64:I64"/>
    <mergeCell ref="AN64:AP64"/>
    <mergeCell ref="AT64:AW64"/>
    <mergeCell ref="C66:D66"/>
    <mergeCell ref="G66:I66"/>
    <mergeCell ref="AO66:AP66"/>
    <mergeCell ref="AV66:AW66"/>
    <mergeCell ref="C68:D68"/>
    <mergeCell ref="G68:P68"/>
    <mergeCell ref="AL68:AP68"/>
    <mergeCell ref="AU68:AW68"/>
    <mergeCell ref="C70:D70"/>
    <mergeCell ref="G70:L70"/>
    <mergeCell ref="AL70:AP70"/>
    <mergeCell ref="C72:D72"/>
    <mergeCell ref="G72:L72"/>
    <mergeCell ref="AL72:AP72"/>
    <mergeCell ref="AV72:AW72"/>
    <mergeCell ref="C74:D74"/>
    <mergeCell ref="G74:M74"/>
    <mergeCell ref="AL74:AP74"/>
    <mergeCell ref="AV74:AW74"/>
    <mergeCell ref="C76:D76"/>
    <mergeCell ref="G76:M76"/>
    <mergeCell ref="AL76:AP76"/>
    <mergeCell ref="AV76:AW76"/>
    <mergeCell ref="C78:D78"/>
    <mergeCell ref="G78:S78"/>
    <mergeCell ref="AL78:AP78"/>
    <mergeCell ref="AU78:AW78"/>
    <mergeCell ref="C80:D80"/>
    <mergeCell ref="G80:S80"/>
    <mergeCell ref="AL80:AP80"/>
    <mergeCell ref="AU80:AW80"/>
    <mergeCell ref="C82:D82"/>
    <mergeCell ref="G82:K82"/>
    <mergeCell ref="AL82:AP82"/>
    <mergeCell ref="AU82:AW82"/>
    <mergeCell ref="C84:D84"/>
    <mergeCell ref="G84:AG84"/>
    <mergeCell ref="AL84:AP84"/>
    <mergeCell ref="AT84:AW84"/>
    <mergeCell ref="C86:D86"/>
    <mergeCell ref="G86:T86"/>
    <mergeCell ref="AL86:AP86"/>
    <mergeCell ref="AU86:AW86"/>
    <mergeCell ref="C88:D88"/>
    <mergeCell ref="G88:Z88"/>
    <mergeCell ref="AL88:AP88"/>
    <mergeCell ref="AU88:AW88"/>
    <mergeCell ref="C90:D90"/>
    <mergeCell ref="G90:Z90"/>
    <mergeCell ref="AL90:AP90"/>
    <mergeCell ref="AU90:AW90"/>
    <mergeCell ref="C92:D92"/>
    <mergeCell ref="G92:Z92"/>
    <mergeCell ref="AL92:AP92"/>
    <mergeCell ref="AU92:AW92"/>
    <mergeCell ref="C100:D100"/>
    <mergeCell ref="G100:I100"/>
    <mergeCell ref="AL100:AP100"/>
    <mergeCell ref="AU100:AW100"/>
    <mergeCell ref="H102:AF102"/>
    <mergeCell ref="I104:Y104"/>
    <mergeCell ref="AS104:AX104"/>
    <mergeCell ref="C94:D94"/>
    <mergeCell ref="G94:U94"/>
    <mergeCell ref="AL94:AP94"/>
    <mergeCell ref="AV94:AW94"/>
    <mergeCell ref="C96:D96"/>
    <mergeCell ref="G96:Z96"/>
    <mergeCell ref="AL96:AP96"/>
    <mergeCell ref="AU96:AW96"/>
    <mergeCell ref="C98:D98"/>
    <mergeCell ref="G98:I98"/>
    <mergeCell ref="AL98:AP98"/>
    <mergeCell ref="AU98:AW9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S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140625" customWidth="1"/>
    <col min="6" max="6" width="18" customWidth="1"/>
    <col min="7" max="7" width="0.140625" customWidth="1"/>
    <col min="8" max="8" width="3.7109375" customWidth="1"/>
    <col min="9" max="9" width="6.140625" customWidth="1"/>
    <col min="10" max="10" width="4.5703125" customWidth="1"/>
    <col min="11" max="11" width="6.28515625" customWidth="1"/>
    <col min="12" max="12" width="6.5703125" customWidth="1"/>
    <col min="13" max="13" width="6.28515625" customWidth="1"/>
    <col min="14" max="14" width="8.7109375" customWidth="1"/>
    <col min="15" max="15" width="4.85546875" customWidth="1"/>
    <col min="16" max="16" width="1.5703125" customWidth="1"/>
    <col min="17" max="18" width="2" customWidth="1"/>
    <col min="19" max="19" width="2.85546875" customWidth="1"/>
    <col min="20" max="20" width="2.140625" customWidth="1"/>
    <col min="21" max="21" width="0.7109375" customWidth="1"/>
    <col min="22" max="22" width="1.140625" customWidth="1"/>
    <col min="23" max="23" width="0.42578125" customWidth="1"/>
    <col min="24" max="24" width="0.7109375" customWidth="1"/>
    <col min="25" max="25" width="1.28515625" customWidth="1"/>
    <col min="26" max="26" width="2" customWidth="1"/>
    <col min="27" max="27" width="3.5703125" customWidth="1"/>
    <col min="28" max="28" width="0.5703125" customWidth="1"/>
    <col min="29" max="29" width="1.28515625" customWidth="1"/>
    <col min="30" max="30" width="4.42578125" customWidth="1"/>
    <col min="31" max="31" width="0.28515625" customWidth="1"/>
    <col min="32" max="32" width="0.140625" customWidth="1"/>
    <col min="33" max="33" width="0.5703125" customWidth="1"/>
    <col min="34" max="34" width="2.42578125" customWidth="1"/>
    <col min="35" max="35" width="2.85546875" customWidth="1"/>
    <col min="36" max="36" width="0.42578125" customWidth="1"/>
    <col min="37" max="37" width="3.28515625" customWidth="1"/>
    <col min="38" max="38" width="0.42578125" customWidth="1"/>
    <col min="39" max="39" width="0.7109375" customWidth="1"/>
    <col min="40" max="40" width="1.85546875" customWidth="1"/>
    <col min="41" max="42" width="1.28515625" customWidth="1"/>
    <col min="43" max="43" width="6.140625" customWidth="1"/>
    <col min="44" max="44" width="1" customWidth="1"/>
    <col min="45" max="45" width="3.85546875" customWidth="1"/>
  </cols>
  <sheetData>
    <row r="1" spans="1:45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1"/>
      <c r="AF2" s="19" t="s">
        <v>2</v>
      </c>
      <c r="AG2" s="10"/>
      <c r="AH2" s="10"/>
      <c r="AI2" s="11"/>
      <c r="AJ2" s="4"/>
      <c r="AK2" s="1"/>
      <c r="AL2" s="1"/>
      <c r="AM2" s="1"/>
      <c r="AN2" s="1"/>
      <c r="AO2" s="1"/>
      <c r="AP2" s="1"/>
      <c r="AQ2" s="1"/>
      <c r="AR2" s="1"/>
      <c r="AS2" s="1"/>
    </row>
    <row r="3" spans="1:45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  <c r="AF3" s="12"/>
      <c r="AG3" s="13"/>
      <c r="AH3" s="13"/>
      <c r="AI3" s="14"/>
      <c r="AJ3" s="4"/>
      <c r="AK3" s="1"/>
      <c r="AL3" s="8" t="s">
        <v>3</v>
      </c>
      <c r="AM3" s="18"/>
      <c r="AN3" s="18"/>
      <c r="AO3" s="18"/>
      <c r="AP3" s="18"/>
      <c r="AQ3" s="18"/>
      <c r="AR3" s="18"/>
      <c r="AS3" s="1"/>
    </row>
    <row r="4" spans="1:45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7"/>
      <c r="AF4" s="15"/>
      <c r="AG4" s="16"/>
      <c r="AH4" s="16"/>
      <c r="AI4" s="17"/>
      <c r="AJ4" s="4"/>
      <c r="AK4" s="1"/>
      <c r="AL4" s="1"/>
      <c r="AM4" s="1"/>
      <c r="AN4" s="1"/>
      <c r="AO4" s="1"/>
      <c r="AP4" s="1"/>
      <c r="AQ4" s="1"/>
      <c r="AR4" s="1"/>
      <c r="AS4" s="1"/>
    </row>
    <row r="5" spans="1:45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11.25" customHeight="1">
      <c r="A6" s="1"/>
      <c r="B6" s="1"/>
      <c r="C6" s="1" t="s">
        <v>2240</v>
      </c>
      <c r="D6" s="1"/>
      <c r="E6" s="1"/>
      <c r="F6" s="1"/>
      <c r="G6" s="1"/>
      <c r="H6" s="1" t="s">
        <v>2241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8" t="s">
        <v>7</v>
      </c>
      <c r="AF6" s="18"/>
      <c r="AG6" s="18"/>
      <c r="AH6" s="18"/>
      <c r="AI6" s="18"/>
      <c r="AJ6" s="18"/>
      <c r="AK6" s="1"/>
      <c r="AL6" s="1"/>
      <c r="AM6" s="1"/>
      <c r="AN6" s="1"/>
      <c r="AO6" s="1"/>
      <c r="AP6" s="8" t="s">
        <v>518</v>
      </c>
      <c r="AQ6" s="18"/>
      <c r="AR6" s="1"/>
      <c r="AS6" s="1"/>
    </row>
    <row r="7" spans="1:45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ht="11.25" customHeight="1">
      <c r="A8" s="1"/>
      <c r="B8" s="1"/>
      <c r="C8" s="8" t="s">
        <v>1830</v>
      </c>
      <c r="D8" s="18"/>
      <c r="E8" s="1"/>
      <c r="F8" s="1"/>
      <c r="G8" s="1"/>
      <c r="H8" s="8" t="s">
        <v>1831</v>
      </c>
      <c r="I8" s="18"/>
      <c r="J8" s="18"/>
      <c r="K8" s="18"/>
      <c r="L8" s="18"/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8" t="s">
        <v>7</v>
      </c>
      <c r="AF8" s="18"/>
      <c r="AG8" s="18"/>
      <c r="AH8" s="18"/>
      <c r="AI8" s="18"/>
      <c r="AJ8" s="18"/>
      <c r="AK8" s="1"/>
      <c r="AL8" s="1"/>
      <c r="AM8" s="1"/>
      <c r="AN8" s="1"/>
      <c r="AO8" s="1"/>
      <c r="AP8" s="8" t="s">
        <v>496</v>
      </c>
      <c r="AQ8" s="18"/>
      <c r="AR8" s="1"/>
      <c r="AS8" s="1"/>
    </row>
    <row r="9" spans="1:45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11.25" customHeight="1">
      <c r="A10" s="1"/>
      <c r="B10" s="1"/>
      <c r="C10" s="8" t="s">
        <v>1832</v>
      </c>
      <c r="D10" s="18"/>
      <c r="E10" s="1"/>
      <c r="F10" s="1"/>
      <c r="G10" s="1"/>
      <c r="H10" s="8" t="s">
        <v>1833</v>
      </c>
      <c r="I10" s="18"/>
      <c r="J10" s="18"/>
      <c r="K10" s="18"/>
      <c r="L10" s="18"/>
      <c r="M10" s="18"/>
      <c r="N10" s="18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8" t="s">
        <v>7</v>
      </c>
      <c r="AF10" s="18"/>
      <c r="AG10" s="18"/>
      <c r="AH10" s="18"/>
      <c r="AI10" s="18"/>
      <c r="AJ10" s="18"/>
      <c r="AK10" s="1"/>
      <c r="AL10" s="1"/>
      <c r="AM10" s="1"/>
      <c r="AN10" s="1"/>
      <c r="AO10" s="1"/>
      <c r="AP10" s="8" t="s">
        <v>417</v>
      </c>
      <c r="AQ10" s="18"/>
      <c r="AR10" s="1"/>
      <c r="AS10" s="1"/>
    </row>
    <row r="11" spans="1:45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ht="11.25" customHeight="1">
      <c r="A12" s="1"/>
      <c r="B12" s="1"/>
      <c r="C12" s="8" t="s">
        <v>1834</v>
      </c>
      <c r="D12" s="18"/>
      <c r="E12" s="1"/>
      <c r="F12" s="1"/>
      <c r="G12" s="1"/>
      <c r="H12" s="8" t="s">
        <v>1835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8" t="s">
        <v>7</v>
      </c>
      <c r="AF12" s="18"/>
      <c r="AG12" s="18"/>
      <c r="AH12" s="18"/>
      <c r="AI12" s="18"/>
      <c r="AJ12" s="18"/>
      <c r="AK12" s="1"/>
      <c r="AL12" s="1"/>
      <c r="AM12" s="1"/>
      <c r="AN12" s="1"/>
      <c r="AO12" s="1"/>
      <c r="AP12" s="8" t="s">
        <v>435</v>
      </c>
      <c r="AQ12" s="18"/>
      <c r="AR12" s="1"/>
      <c r="AS12" s="1"/>
    </row>
    <row r="13" spans="1:45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ht="11.25" customHeight="1">
      <c r="A14" s="1"/>
      <c r="B14" s="1"/>
      <c r="C14" s="8" t="s">
        <v>1836</v>
      </c>
      <c r="D14" s="18"/>
      <c r="E14" s="1"/>
      <c r="F14" s="1"/>
      <c r="G14" s="1"/>
      <c r="H14" s="8" t="s">
        <v>1837</v>
      </c>
      <c r="I14" s="18"/>
      <c r="J14" s="18"/>
      <c r="K14" s="18"/>
      <c r="L14" s="18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8" t="s">
        <v>7</v>
      </c>
      <c r="AF14" s="18"/>
      <c r="AG14" s="18"/>
      <c r="AH14" s="18"/>
      <c r="AI14" s="18"/>
      <c r="AJ14" s="18"/>
      <c r="AK14" s="1"/>
      <c r="AL14" s="1"/>
      <c r="AM14" s="1"/>
      <c r="AN14" s="8" t="s">
        <v>1838</v>
      </c>
      <c r="AO14" s="18"/>
      <c r="AP14" s="18"/>
      <c r="AQ14" s="18"/>
      <c r="AR14" s="1"/>
      <c r="AS14" s="1"/>
    </row>
    <row r="15" spans="1:45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11.25" customHeight="1">
      <c r="A16" s="1"/>
      <c r="B16" s="1"/>
      <c r="C16" s="8" t="s">
        <v>1839</v>
      </c>
      <c r="D16" s="18"/>
      <c r="E16" s="1"/>
      <c r="F16" s="1"/>
      <c r="G16" s="1"/>
      <c r="H16" s="8" t="s">
        <v>1840</v>
      </c>
      <c r="I16" s="18"/>
      <c r="J16" s="18"/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8" t="s">
        <v>7</v>
      </c>
      <c r="AF16" s="18"/>
      <c r="AG16" s="18"/>
      <c r="AH16" s="18"/>
      <c r="AI16" s="18"/>
      <c r="AJ16" s="18"/>
      <c r="AK16" s="1"/>
      <c r="AL16" s="1"/>
      <c r="AM16" s="1"/>
      <c r="AN16" s="1"/>
      <c r="AO16" s="8" t="s">
        <v>1841</v>
      </c>
      <c r="AP16" s="18"/>
      <c r="AQ16" s="18"/>
      <c r="AR16" s="1"/>
      <c r="AS16" s="1"/>
    </row>
    <row r="17" spans="1:45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11.25" customHeight="1">
      <c r="A18" s="1"/>
      <c r="B18" s="1"/>
      <c r="C18" s="8" t="s">
        <v>1842</v>
      </c>
      <c r="D18" s="18"/>
      <c r="E18" s="1"/>
      <c r="F18" s="1"/>
      <c r="G18" s="1"/>
      <c r="H18" s="8" t="s">
        <v>1843</v>
      </c>
      <c r="I18" s="18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8" t="s">
        <v>7</v>
      </c>
      <c r="AF18" s="18"/>
      <c r="AG18" s="18"/>
      <c r="AH18" s="18"/>
      <c r="AI18" s="18"/>
      <c r="AJ18" s="18"/>
      <c r="AK18" s="1"/>
      <c r="AL18" s="1"/>
      <c r="AM18" s="1"/>
      <c r="AN18" s="1"/>
      <c r="AO18" s="8" t="s">
        <v>287</v>
      </c>
      <c r="AP18" s="18"/>
      <c r="AQ18" s="18"/>
      <c r="AR18" s="1"/>
      <c r="AS18" s="1"/>
    </row>
    <row r="19" spans="1:45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1.25" customHeight="1">
      <c r="A20" s="1"/>
      <c r="B20" s="1"/>
      <c r="C20" s="8" t="s">
        <v>1844</v>
      </c>
      <c r="D20" s="18"/>
      <c r="E20" s="1"/>
      <c r="F20" s="1"/>
      <c r="G20" s="1"/>
      <c r="H20" s="8" t="s">
        <v>1845</v>
      </c>
      <c r="I20" s="18"/>
      <c r="J20" s="18"/>
      <c r="K20" s="18"/>
      <c r="L20" s="18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8" t="s">
        <v>7</v>
      </c>
      <c r="AF20" s="18"/>
      <c r="AG20" s="18"/>
      <c r="AH20" s="18"/>
      <c r="AI20" s="18"/>
      <c r="AJ20" s="18"/>
      <c r="AK20" s="1"/>
      <c r="AL20" s="1"/>
      <c r="AM20" s="1"/>
      <c r="AN20" s="1"/>
      <c r="AO20" s="8" t="s">
        <v>1846</v>
      </c>
      <c r="AP20" s="18"/>
      <c r="AQ20" s="18"/>
      <c r="AR20" s="1"/>
      <c r="AS20" s="1"/>
    </row>
    <row r="21" spans="1:45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1.25" customHeight="1">
      <c r="A22" s="1"/>
      <c r="B22" s="1"/>
      <c r="C22" s="8" t="s">
        <v>1847</v>
      </c>
      <c r="D22" s="18"/>
      <c r="E22" s="1"/>
      <c r="F22" s="1"/>
      <c r="G22" s="1"/>
      <c r="H22" s="8" t="s">
        <v>1848</v>
      </c>
      <c r="I22" s="18"/>
      <c r="J22" s="18"/>
      <c r="K22" s="18"/>
      <c r="L22" s="1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8" t="s">
        <v>7</v>
      </c>
      <c r="AF22" s="18"/>
      <c r="AG22" s="18"/>
      <c r="AH22" s="18"/>
      <c r="AI22" s="18"/>
      <c r="AJ22" s="18"/>
      <c r="AK22" s="1"/>
      <c r="AL22" s="1"/>
      <c r="AM22" s="1"/>
      <c r="AN22" s="1"/>
      <c r="AO22" s="8" t="s">
        <v>1849</v>
      </c>
      <c r="AP22" s="18"/>
      <c r="AQ22" s="18"/>
      <c r="AR22" s="1"/>
      <c r="AS22" s="1"/>
    </row>
    <row r="23" spans="1:45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ht="11.25" customHeight="1">
      <c r="A24" s="1"/>
      <c r="B24" s="1"/>
      <c r="C24" s="8" t="s">
        <v>1850</v>
      </c>
      <c r="D24" s="18"/>
      <c r="E24" s="1"/>
      <c r="F24" s="1"/>
      <c r="G24" s="1"/>
      <c r="H24" s="8" t="s">
        <v>1851</v>
      </c>
      <c r="I24" s="18"/>
      <c r="J24" s="18"/>
      <c r="K24" s="18"/>
      <c r="L24" s="18"/>
      <c r="M24" s="18"/>
      <c r="N24" s="1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8" t="s">
        <v>7</v>
      </c>
      <c r="AF24" s="18"/>
      <c r="AG24" s="18"/>
      <c r="AH24" s="18"/>
      <c r="AI24" s="18"/>
      <c r="AJ24" s="18"/>
      <c r="AK24" s="1"/>
      <c r="AL24" s="1"/>
      <c r="AM24" s="1"/>
      <c r="AN24" s="1"/>
      <c r="AO24" s="8" t="s">
        <v>1025</v>
      </c>
      <c r="AP24" s="18"/>
      <c r="AQ24" s="18"/>
      <c r="AR24" s="1"/>
      <c r="AS24" s="1"/>
    </row>
    <row r="25" spans="1:45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ht="11.25" customHeight="1">
      <c r="A26" s="1"/>
      <c r="B26" s="1"/>
      <c r="C26" s="8" t="s">
        <v>1852</v>
      </c>
      <c r="D26" s="18"/>
      <c r="E26" s="1"/>
      <c r="F26" s="1"/>
      <c r="G26" s="1"/>
      <c r="H26" s="8" t="s">
        <v>1853</v>
      </c>
      <c r="I26" s="18"/>
      <c r="J26" s="18"/>
      <c r="K26" s="18"/>
      <c r="L26" s="1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8" t="s">
        <v>7</v>
      </c>
      <c r="AF26" s="18"/>
      <c r="AG26" s="18"/>
      <c r="AH26" s="18"/>
      <c r="AI26" s="18"/>
      <c r="AJ26" s="18"/>
      <c r="AK26" s="1"/>
      <c r="AL26" s="1"/>
      <c r="AM26" s="1"/>
      <c r="AN26" s="1"/>
      <c r="AO26" s="8" t="s">
        <v>1854</v>
      </c>
      <c r="AP26" s="18"/>
      <c r="AQ26" s="18"/>
      <c r="AR26" s="1"/>
      <c r="AS26" s="1"/>
    </row>
    <row r="27" spans="1:45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1.25" customHeight="1">
      <c r="A28" s="1"/>
      <c r="B28" s="1"/>
      <c r="C28" s="8" t="s">
        <v>1855</v>
      </c>
      <c r="D28" s="18"/>
      <c r="E28" s="1"/>
      <c r="F28" s="1"/>
      <c r="G28" s="1"/>
      <c r="H28" s="8" t="s">
        <v>1856</v>
      </c>
      <c r="I28" s="18"/>
      <c r="J28" s="18"/>
      <c r="K28" s="18"/>
      <c r="L28" s="18"/>
      <c r="M28" s="18"/>
      <c r="N28" s="18"/>
      <c r="O28" s="18"/>
      <c r="P28" s="18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8" t="s">
        <v>7</v>
      </c>
      <c r="AF28" s="18"/>
      <c r="AG28" s="18"/>
      <c r="AH28" s="18"/>
      <c r="AI28" s="18"/>
      <c r="AJ28" s="18"/>
      <c r="AK28" s="1"/>
      <c r="AL28" s="1"/>
      <c r="AM28" s="1"/>
      <c r="AN28" s="1"/>
      <c r="AO28" s="8" t="s">
        <v>1025</v>
      </c>
      <c r="AP28" s="18"/>
      <c r="AQ28" s="18"/>
      <c r="AR28" s="1"/>
      <c r="AS28" s="1"/>
    </row>
    <row r="29" spans="1:45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1.25" customHeight="1">
      <c r="A30" s="1"/>
      <c r="B30" s="1"/>
      <c r="C30" s="8" t="s">
        <v>1857</v>
      </c>
      <c r="D30" s="18"/>
      <c r="E30" s="1"/>
      <c r="F30" s="1"/>
      <c r="G30" s="1"/>
      <c r="H30" s="8" t="s">
        <v>1858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8" t="s">
        <v>7</v>
      </c>
      <c r="AF30" s="18"/>
      <c r="AG30" s="18"/>
      <c r="AH30" s="18"/>
      <c r="AI30" s="18"/>
      <c r="AJ30" s="18"/>
      <c r="AK30" s="1"/>
      <c r="AL30" s="1"/>
      <c r="AM30" s="1"/>
      <c r="AN30" s="8" t="s">
        <v>1859</v>
      </c>
      <c r="AO30" s="18"/>
      <c r="AP30" s="18"/>
      <c r="AQ30" s="18"/>
      <c r="AR30" s="1"/>
      <c r="AS30" s="1"/>
    </row>
    <row r="31" spans="1:45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ht="11.25" customHeight="1">
      <c r="A32" s="1"/>
      <c r="B32" s="1"/>
      <c r="C32" s="8" t="s">
        <v>1860</v>
      </c>
      <c r="D32" s="18"/>
      <c r="E32" s="18"/>
      <c r="F32" s="1"/>
      <c r="G32" s="1"/>
      <c r="H32" s="8" t="s">
        <v>1861</v>
      </c>
      <c r="I32" s="18"/>
      <c r="J32" s="18"/>
      <c r="K32" s="18"/>
      <c r="L32" s="18"/>
      <c r="M32" s="18"/>
      <c r="N32" s="18"/>
      <c r="O32" s="18"/>
      <c r="P32" s="18"/>
      <c r="Q32" s="1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8" t="s">
        <v>7</v>
      </c>
      <c r="AF32" s="18"/>
      <c r="AG32" s="18"/>
      <c r="AH32" s="18"/>
      <c r="AI32" s="18"/>
      <c r="AJ32" s="18"/>
      <c r="AK32" s="1"/>
      <c r="AL32" s="1"/>
      <c r="AM32" s="1"/>
      <c r="AN32" s="8" t="s">
        <v>1862</v>
      </c>
      <c r="AO32" s="18"/>
      <c r="AP32" s="18"/>
      <c r="AQ32" s="18"/>
      <c r="AR32" s="1"/>
      <c r="AS32" s="1"/>
    </row>
    <row r="33" spans="1:45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1.25" customHeight="1">
      <c r="A34" s="1"/>
      <c r="B34" s="1"/>
      <c r="C34" s="8" t="s">
        <v>1863</v>
      </c>
      <c r="D34" s="18"/>
      <c r="E34" s="18"/>
      <c r="F34" s="1"/>
      <c r="G34" s="1"/>
      <c r="H34" s="8" t="s">
        <v>1864</v>
      </c>
      <c r="I34" s="18"/>
      <c r="J34" s="18"/>
      <c r="K34" s="18"/>
      <c r="L34" s="18"/>
      <c r="M34" s="18"/>
      <c r="N34" s="18"/>
      <c r="O34" s="18"/>
      <c r="P34" s="18"/>
      <c r="Q34" s="18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8" t="s">
        <v>7</v>
      </c>
      <c r="AF34" s="18"/>
      <c r="AG34" s="18"/>
      <c r="AH34" s="18"/>
      <c r="AI34" s="18"/>
      <c r="AJ34" s="18"/>
      <c r="AK34" s="1"/>
      <c r="AL34" s="1"/>
      <c r="AM34" s="1"/>
      <c r="AN34" s="8" t="s">
        <v>1865</v>
      </c>
      <c r="AO34" s="18"/>
      <c r="AP34" s="18"/>
      <c r="AQ34" s="18"/>
      <c r="AR34" s="1"/>
      <c r="AS34" s="1"/>
    </row>
    <row r="35" spans="1:45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ht="11.25" customHeight="1">
      <c r="A36" s="1"/>
      <c r="B36" s="1"/>
      <c r="C36" s="8" t="s">
        <v>1866</v>
      </c>
      <c r="D36" s="18"/>
      <c r="E36" s="18"/>
      <c r="F36" s="1"/>
      <c r="G36" s="1"/>
      <c r="H36" s="8" t="s">
        <v>1867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"/>
      <c r="AA36" s="1"/>
      <c r="AB36" s="1"/>
      <c r="AC36" s="1"/>
      <c r="AD36" s="1"/>
      <c r="AE36" s="8" t="s">
        <v>7</v>
      </c>
      <c r="AF36" s="18"/>
      <c r="AG36" s="18"/>
      <c r="AH36" s="18"/>
      <c r="AI36" s="18"/>
      <c r="AJ36" s="18"/>
      <c r="AK36" s="1"/>
      <c r="AL36" s="1"/>
      <c r="AM36" s="1"/>
      <c r="AN36" s="8" t="s">
        <v>1865</v>
      </c>
      <c r="AO36" s="18"/>
      <c r="AP36" s="18"/>
      <c r="AQ36" s="18"/>
      <c r="AR36" s="1"/>
      <c r="AS36" s="1"/>
    </row>
    <row r="37" spans="1:45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1.25" customHeight="1">
      <c r="A38" s="1"/>
      <c r="B38" s="1"/>
      <c r="C38" s="8" t="s">
        <v>1868</v>
      </c>
      <c r="D38" s="18"/>
      <c r="E38" s="18"/>
      <c r="F38" s="1"/>
      <c r="G38" s="1"/>
      <c r="H38" s="8" t="s">
        <v>1869</v>
      </c>
      <c r="I38" s="18"/>
      <c r="J38" s="18"/>
      <c r="K38" s="18"/>
      <c r="L38" s="18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8" t="s">
        <v>7</v>
      </c>
      <c r="AF38" s="18"/>
      <c r="AG38" s="18"/>
      <c r="AH38" s="18"/>
      <c r="AI38" s="18"/>
      <c r="AJ38" s="18"/>
      <c r="AK38" s="1"/>
      <c r="AL38" s="1"/>
      <c r="AM38" s="1"/>
      <c r="AN38" s="8" t="s">
        <v>1865</v>
      </c>
      <c r="AO38" s="18"/>
      <c r="AP38" s="18"/>
      <c r="AQ38" s="18"/>
      <c r="AR38" s="1"/>
      <c r="AS38" s="1"/>
    </row>
    <row r="39" spans="1:45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ht="11.25" customHeight="1">
      <c r="A40" s="1"/>
      <c r="B40" s="1"/>
      <c r="C40" s="8" t="s">
        <v>1870</v>
      </c>
      <c r="D40" s="18"/>
      <c r="E40" s="18"/>
      <c r="F40" s="1"/>
      <c r="G40" s="1"/>
      <c r="H40" s="8" t="s">
        <v>1871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"/>
      <c r="AE40" s="8" t="s">
        <v>7</v>
      </c>
      <c r="AF40" s="18"/>
      <c r="AG40" s="18"/>
      <c r="AH40" s="18"/>
      <c r="AI40" s="18"/>
      <c r="AJ40" s="18"/>
      <c r="AK40" s="1"/>
      <c r="AL40" s="1"/>
      <c r="AM40" s="1"/>
      <c r="AN40" s="8" t="s">
        <v>1862</v>
      </c>
      <c r="AO40" s="18"/>
      <c r="AP40" s="18"/>
      <c r="AQ40" s="18"/>
      <c r="AR40" s="1"/>
      <c r="AS40" s="1"/>
    </row>
    <row r="41" spans="1:45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ht="11.25" customHeight="1">
      <c r="A42" s="1"/>
      <c r="B42" s="1"/>
      <c r="C42" s="8" t="s">
        <v>1872</v>
      </c>
      <c r="D42" s="18"/>
      <c r="E42" s="18"/>
      <c r="F42" s="1"/>
      <c r="G42" s="1"/>
      <c r="H42" s="8" t="s">
        <v>1873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"/>
      <c r="AD42" s="1"/>
      <c r="AE42" s="8" t="s">
        <v>7</v>
      </c>
      <c r="AF42" s="18"/>
      <c r="AG42" s="18"/>
      <c r="AH42" s="18"/>
      <c r="AI42" s="18"/>
      <c r="AJ42" s="18"/>
      <c r="AK42" s="1"/>
      <c r="AL42" s="1"/>
      <c r="AM42" s="1"/>
      <c r="AN42" s="8" t="s">
        <v>1862</v>
      </c>
      <c r="AO42" s="18"/>
      <c r="AP42" s="18"/>
      <c r="AQ42" s="18"/>
      <c r="AR42" s="1"/>
      <c r="AS42" s="1"/>
    </row>
    <row r="43" spans="1:45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1.25" customHeight="1">
      <c r="A44" s="1"/>
      <c r="B44" s="1"/>
      <c r="C44" s="8" t="s">
        <v>1874</v>
      </c>
      <c r="D44" s="18"/>
      <c r="E44" s="18"/>
      <c r="F44" s="1"/>
      <c r="G44" s="1"/>
      <c r="H44" s="8" t="s">
        <v>1875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"/>
      <c r="AC44" s="1"/>
      <c r="AD44" s="1"/>
      <c r="AE44" s="8" t="s">
        <v>7</v>
      </c>
      <c r="AF44" s="18"/>
      <c r="AG44" s="18"/>
      <c r="AH44" s="18"/>
      <c r="AI44" s="18"/>
      <c r="AJ44" s="18"/>
      <c r="AK44" s="1"/>
      <c r="AL44" s="1"/>
      <c r="AM44" s="1"/>
      <c r="AN44" s="8" t="s">
        <v>1862</v>
      </c>
      <c r="AO44" s="18"/>
      <c r="AP44" s="18"/>
      <c r="AQ44" s="18"/>
      <c r="AR44" s="1"/>
      <c r="AS44" s="1"/>
    </row>
    <row r="45" spans="1:45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1.25" customHeight="1">
      <c r="A46" s="1"/>
      <c r="B46" s="1"/>
      <c r="C46" s="8" t="s">
        <v>1876</v>
      </c>
      <c r="D46" s="18"/>
      <c r="E46" s="18"/>
      <c r="F46" s="1"/>
      <c r="G46" s="1"/>
      <c r="H46" s="8" t="s">
        <v>1877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"/>
      <c r="AD46" s="1"/>
      <c r="AE46" s="8" t="s">
        <v>7</v>
      </c>
      <c r="AF46" s="18"/>
      <c r="AG46" s="18"/>
      <c r="AH46" s="18"/>
      <c r="AI46" s="18"/>
      <c r="AJ46" s="18"/>
      <c r="AK46" s="1"/>
      <c r="AL46" s="1"/>
      <c r="AM46" s="1"/>
      <c r="AN46" s="8" t="s">
        <v>1865</v>
      </c>
      <c r="AO46" s="18"/>
      <c r="AP46" s="18"/>
      <c r="AQ46" s="18"/>
      <c r="AR46" s="1"/>
      <c r="AS46" s="1"/>
    </row>
    <row r="47" spans="1:45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1.25" customHeight="1">
      <c r="A48" s="1"/>
      <c r="B48" s="1"/>
      <c r="C48" s="8" t="s">
        <v>1878</v>
      </c>
      <c r="D48" s="18"/>
      <c r="E48" s="18"/>
      <c r="F48" s="1"/>
      <c r="G48" s="1"/>
      <c r="H48" s="8" t="s">
        <v>1879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"/>
      <c r="AD48" s="1"/>
      <c r="AE48" s="8" t="s">
        <v>7</v>
      </c>
      <c r="AF48" s="18"/>
      <c r="AG48" s="18"/>
      <c r="AH48" s="18"/>
      <c r="AI48" s="18"/>
      <c r="AJ48" s="18"/>
      <c r="AK48" s="1"/>
      <c r="AL48" s="1"/>
      <c r="AM48" s="1"/>
      <c r="AN48" s="8" t="s">
        <v>1865</v>
      </c>
      <c r="AO48" s="18"/>
      <c r="AP48" s="18"/>
      <c r="AQ48" s="18"/>
      <c r="AR48" s="1"/>
      <c r="AS48" s="1"/>
    </row>
    <row r="49" spans="1:45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1.25" customHeight="1">
      <c r="A50" s="1"/>
      <c r="B50" s="1"/>
      <c r="C50" s="8" t="s">
        <v>1880</v>
      </c>
      <c r="D50" s="18"/>
      <c r="E50" s="18"/>
      <c r="F50" s="1"/>
      <c r="G50" s="1"/>
      <c r="H50" s="8" t="s">
        <v>1881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"/>
      <c r="AD50" s="1"/>
      <c r="AE50" s="8" t="s">
        <v>7</v>
      </c>
      <c r="AF50" s="18"/>
      <c r="AG50" s="18"/>
      <c r="AH50" s="18"/>
      <c r="AI50" s="18"/>
      <c r="AJ50" s="18"/>
      <c r="AK50" s="1"/>
      <c r="AL50" s="1"/>
      <c r="AM50" s="1"/>
      <c r="AN50" s="8" t="s">
        <v>1882</v>
      </c>
      <c r="AO50" s="18"/>
      <c r="AP50" s="18"/>
      <c r="AQ50" s="18"/>
      <c r="AR50" s="1"/>
      <c r="AS50" s="1"/>
    </row>
    <row r="51" spans="1:45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1.25" customHeight="1">
      <c r="A52" s="1"/>
      <c r="B52" s="1"/>
      <c r="C52" s="8" t="s">
        <v>1883</v>
      </c>
      <c r="D52" s="18"/>
      <c r="E52" s="18"/>
      <c r="F52" s="1"/>
      <c r="G52" s="1"/>
      <c r="H52" s="8" t="s">
        <v>1884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"/>
      <c r="AD52" s="1"/>
      <c r="AE52" s="8" t="s">
        <v>7</v>
      </c>
      <c r="AF52" s="18"/>
      <c r="AG52" s="18"/>
      <c r="AH52" s="18"/>
      <c r="AI52" s="18"/>
      <c r="AJ52" s="18"/>
      <c r="AK52" s="1"/>
      <c r="AL52" s="1"/>
      <c r="AM52" s="1"/>
      <c r="AN52" s="8" t="s">
        <v>1865</v>
      </c>
      <c r="AO52" s="18"/>
      <c r="AP52" s="18"/>
      <c r="AQ52" s="18"/>
      <c r="AR52" s="1"/>
      <c r="AS52" s="1"/>
    </row>
    <row r="53" spans="1:45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1.25" customHeight="1">
      <c r="A54" s="1"/>
      <c r="B54" s="1"/>
      <c r="C54" s="8" t="s">
        <v>1885</v>
      </c>
      <c r="D54" s="18"/>
      <c r="E54" s="18"/>
      <c r="F54" s="1"/>
      <c r="G54" s="1"/>
      <c r="H54" s="8" t="s">
        <v>1886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"/>
      <c r="AB54" s="1"/>
      <c r="AC54" s="1"/>
      <c r="AD54" s="1"/>
      <c r="AE54" s="8" t="s">
        <v>7</v>
      </c>
      <c r="AF54" s="18"/>
      <c r="AG54" s="18"/>
      <c r="AH54" s="18"/>
      <c r="AI54" s="18"/>
      <c r="AJ54" s="18"/>
      <c r="AK54" s="1"/>
      <c r="AL54" s="1"/>
      <c r="AM54" s="1"/>
      <c r="AN54" s="8" t="s">
        <v>1865</v>
      </c>
      <c r="AO54" s="18"/>
      <c r="AP54" s="18"/>
      <c r="AQ54" s="18"/>
      <c r="AR54" s="1"/>
      <c r="AS54" s="1"/>
    </row>
    <row r="55" spans="1:45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1.25" customHeight="1">
      <c r="A56" s="1"/>
      <c r="B56" s="1"/>
      <c r="C56" s="8" t="s">
        <v>1887</v>
      </c>
      <c r="D56" s="18"/>
      <c r="E56" s="18"/>
      <c r="F56" s="1"/>
      <c r="G56" s="1"/>
      <c r="H56" s="8" t="s">
        <v>1888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"/>
      <c r="Y56" s="1"/>
      <c r="Z56" s="1"/>
      <c r="AA56" s="1"/>
      <c r="AB56" s="1"/>
      <c r="AC56" s="1"/>
      <c r="AD56" s="1"/>
      <c r="AE56" s="8" t="s">
        <v>7</v>
      </c>
      <c r="AF56" s="18"/>
      <c r="AG56" s="18"/>
      <c r="AH56" s="18"/>
      <c r="AI56" s="18"/>
      <c r="AJ56" s="18"/>
      <c r="AK56" s="1"/>
      <c r="AL56" s="1"/>
      <c r="AM56" s="1"/>
      <c r="AN56" s="8" t="s">
        <v>1862</v>
      </c>
      <c r="AO56" s="18"/>
      <c r="AP56" s="18"/>
      <c r="AQ56" s="18"/>
      <c r="AR56" s="1"/>
      <c r="AS56" s="1"/>
    </row>
    <row r="57" spans="1:45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1.25" customHeight="1">
      <c r="A58" s="1"/>
      <c r="B58" s="1"/>
      <c r="C58" s="8" t="s">
        <v>1889</v>
      </c>
      <c r="D58" s="18"/>
      <c r="E58" s="18"/>
      <c r="F58" s="1"/>
      <c r="G58" s="1"/>
      <c r="H58" s="8" t="s">
        <v>1888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"/>
      <c r="Y58" s="1"/>
      <c r="Z58" s="1"/>
      <c r="AA58" s="1"/>
      <c r="AB58" s="1"/>
      <c r="AC58" s="1"/>
      <c r="AD58" s="1"/>
      <c r="AE58" s="8" t="s">
        <v>7</v>
      </c>
      <c r="AF58" s="18"/>
      <c r="AG58" s="18"/>
      <c r="AH58" s="18"/>
      <c r="AI58" s="18"/>
      <c r="AJ58" s="18"/>
      <c r="AK58" s="1"/>
      <c r="AL58" s="1"/>
      <c r="AM58" s="1"/>
      <c r="AN58" s="8" t="s">
        <v>1862</v>
      </c>
      <c r="AO58" s="18"/>
      <c r="AP58" s="18"/>
      <c r="AQ58" s="18"/>
      <c r="AR58" s="1"/>
      <c r="AS58" s="1"/>
    </row>
    <row r="59" spans="1:45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1.25" customHeight="1">
      <c r="A60" s="1"/>
      <c r="B60" s="1"/>
      <c r="C60" s="8" t="s">
        <v>1890</v>
      </c>
      <c r="D60" s="18"/>
      <c r="E60" s="18"/>
      <c r="F60" s="1"/>
      <c r="G60" s="1"/>
      <c r="H60" s="8" t="s">
        <v>1891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"/>
      <c r="Y60" s="1"/>
      <c r="Z60" s="1"/>
      <c r="AA60" s="1"/>
      <c r="AB60" s="1"/>
      <c r="AC60" s="1"/>
      <c r="AD60" s="1"/>
      <c r="AE60" s="8" t="s">
        <v>7</v>
      </c>
      <c r="AF60" s="18"/>
      <c r="AG60" s="18"/>
      <c r="AH60" s="18"/>
      <c r="AI60" s="18"/>
      <c r="AJ60" s="18"/>
      <c r="AK60" s="1"/>
      <c r="AL60" s="1"/>
      <c r="AM60" s="1"/>
      <c r="AN60" s="8" t="s">
        <v>1862</v>
      </c>
      <c r="AO60" s="18"/>
      <c r="AP60" s="18"/>
      <c r="AQ60" s="18"/>
      <c r="AR60" s="1"/>
      <c r="AS60" s="1"/>
    </row>
    <row r="61" spans="1:45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1.25" customHeight="1">
      <c r="A62" s="1"/>
      <c r="B62" s="1"/>
      <c r="C62" s="8" t="s">
        <v>1892</v>
      </c>
      <c r="D62" s="18"/>
      <c r="E62" s="18"/>
      <c r="F62" s="1"/>
      <c r="G62" s="1"/>
      <c r="H62" s="8" t="s">
        <v>1893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"/>
      <c r="Y62" s="1"/>
      <c r="Z62" s="1"/>
      <c r="AA62" s="1"/>
      <c r="AB62" s="1"/>
      <c r="AC62" s="1"/>
      <c r="AD62" s="1"/>
      <c r="AE62" s="8" t="s">
        <v>7</v>
      </c>
      <c r="AF62" s="18"/>
      <c r="AG62" s="18"/>
      <c r="AH62" s="18"/>
      <c r="AI62" s="18"/>
      <c r="AJ62" s="18"/>
      <c r="AK62" s="1"/>
      <c r="AL62" s="1"/>
      <c r="AM62" s="1"/>
      <c r="AN62" s="8" t="s">
        <v>1865</v>
      </c>
      <c r="AO62" s="18"/>
      <c r="AP62" s="18"/>
      <c r="AQ62" s="18"/>
      <c r="AR62" s="1"/>
      <c r="AS62" s="1"/>
    </row>
    <row r="63" spans="1:45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1.25" customHeight="1">
      <c r="A64" s="1"/>
      <c r="B64" s="1"/>
      <c r="C64" s="8" t="s">
        <v>1894</v>
      </c>
      <c r="D64" s="18"/>
      <c r="E64" s="18"/>
      <c r="F64" s="1"/>
      <c r="G64" s="1"/>
      <c r="H64" s="8" t="s">
        <v>1895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"/>
      <c r="W64" s="1"/>
      <c r="X64" s="1"/>
      <c r="Y64" s="1"/>
      <c r="Z64" s="1"/>
      <c r="AA64" s="1"/>
      <c r="AB64" s="1"/>
      <c r="AC64" s="1"/>
      <c r="AD64" s="1"/>
      <c r="AE64" s="8" t="s">
        <v>7</v>
      </c>
      <c r="AF64" s="18"/>
      <c r="AG64" s="18"/>
      <c r="AH64" s="18"/>
      <c r="AI64" s="18"/>
      <c r="AJ64" s="18"/>
      <c r="AK64" s="1"/>
      <c r="AL64" s="1"/>
      <c r="AM64" s="1"/>
      <c r="AN64" s="8" t="s">
        <v>1865</v>
      </c>
      <c r="AO64" s="18"/>
      <c r="AP64" s="18"/>
      <c r="AQ64" s="18"/>
      <c r="AR64" s="1"/>
      <c r="AS64" s="1"/>
    </row>
    <row r="65" spans="1:45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1.25" customHeight="1">
      <c r="A66" s="1"/>
      <c r="B66" s="1"/>
      <c r="C66" s="8" t="s">
        <v>1896</v>
      </c>
      <c r="D66" s="18"/>
      <c r="E66" s="18"/>
      <c r="F66" s="1"/>
      <c r="G66" s="1"/>
      <c r="H66" s="8" t="s">
        <v>1897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"/>
      <c r="X66" s="1"/>
      <c r="Y66" s="1"/>
      <c r="Z66" s="1"/>
      <c r="AA66" s="1"/>
      <c r="AB66" s="1"/>
      <c r="AC66" s="1"/>
      <c r="AD66" s="1"/>
      <c r="AE66" s="8" t="s">
        <v>7</v>
      </c>
      <c r="AF66" s="18"/>
      <c r="AG66" s="18"/>
      <c r="AH66" s="18"/>
      <c r="AI66" s="18"/>
      <c r="AJ66" s="18"/>
      <c r="AK66" s="1"/>
      <c r="AL66" s="1"/>
      <c r="AM66" s="1"/>
      <c r="AN66" s="8" t="s">
        <v>1865</v>
      </c>
      <c r="AO66" s="18"/>
      <c r="AP66" s="18"/>
      <c r="AQ66" s="18"/>
      <c r="AR66" s="1"/>
      <c r="AS66" s="1"/>
    </row>
    <row r="67" spans="1:45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1.25" customHeight="1">
      <c r="A68" s="1"/>
      <c r="B68" s="1"/>
      <c r="C68" s="8" t="s">
        <v>1898</v>
      </c>
      <c r="D68" s="18"/>
      <c r="E68" s="18"/>
      <c r="F68" s="1"/>
      <c r="G68" s="1"/>
      <c r="H68" s="8" t="s">
        <v>1897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"/>
      <c r="X68" s="1"/>
      <c r="Y68" s="1"/>
      <c r="Z68" s="1"/>
      <c r="AA68" s="1"/>
      <c r="AB68" s="1"/>
      <c r="AC68" s="1"/>
      <c r="AD68" s="1"/>
      <c r="AE68" s="8" t="s">
        <v>7</v>
      </c>
      <c r="AF68" s="18"/>
      <c r="AG68" s="18"/>
      <c r="AH68" s="18"/>
      <c r="AI68" s="18"/>
      <c r="AJ68" s="18"/>
      <c r="AK68" s="1"/>
      <c r="AL68" s="1"/>
      <c r="AM68" s="1"/>
      <c r="AN68" s="8" t="s">
        <v>1865</v>
      </c>
      <c r="AO68" s="18"/>
      <c r="AP68" s="18"/>
      <c r="AQ68" s="18"/>
      <c r="AR68" s="1"/>
      <c r="AS68" s="1"/>
    </row>
    <row r="69" spans="1:45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1.25" customHeight="1">
      <c r="A70" s="1"/>
      <c r="B70" s="1"/>
      <c r="C70" s="8" t="s">
        <v>1899</v>
      </c>
      <c r="D70" s="18"/>
      <c r="E70" s="18"/>
      <c r="F70" s="1"/>
      <c r="G70" s="1"/>
      <c r="H70" s="8" t="s">
        <v>1900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"/>
      <c r="Z70" s="1"/>
      <c r="AA70" s="1"/>
      <c r="AB70" s="1"/>
      <c r="AC70" s="1"/>
      <c r="AD70" s="1"/>
      <c r="AE70" s="8" t="s">
        <v>7</v>
      </c>
      <c r="AF70" s="18"/>
      <c r="AG70" s="18"/>
      <c r="AH70" s="18"/>
      <c r="AI70" s="18"/>
      <c r="AJ70" s="18"/>
      <c r="AK70" s="1"/>
      <c r="AL70" s="1"/>
      <c r="AM70" s="1"/>
      <c r="AN70" s="8" t="s">
        <v>1865</v>
      </c>
      <c r="AO70" s="18"/>
      <c r="AP70" s="18"/>
      <c r="AQ70" s="18"/>
      <c r="AR70" s="1"/>
      <c r="AS70" s="1"/>
    </row>
    <row r="71" spans="1:45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1.25" customHeight="1">
      <c r="A72" s="1"/>
      <c r="B72" s="1"/>
      <c r="C72" s="8" t="s">
        <v>1901</v>
      </c>
      <c r="D72" s="18"/>
      <c r="E72" s="1"/>
      <c r="F72" s="1"/>
      <c r="G72" s="1"/>
      <c r="H72" s="8" t="s">
        <v>1902</v>
      </c>
      <c r="I72" s="18"/>
      <c r="J72" s="18"/>
      <c r="K72" s="18"/>
      <c r="L72" s="1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8" t="s">
        <v>7</v>
      </c>
      <c r="AF72" s="18"/>
      <c r="AG72" s="18"/>
      <c r="AH72" s="18"/>
      <c r="AI72" s="18"/>
      <c r="AJ72" s="18"/>
      <c r="AK72" s="1"/>
      <c r="AL72" s="1"/>
      <c r="AM72" s="1"/>
      <c r="AN72" s="1"/>
      <c r="AO72" s="8" t="s">
        <v>1903</v>
      </c>
      <c r="AP72" s="18"/>
      <c r="AQ72" s="18"/>
      <c r="AR72" s="1"/>
      <c r="AS72" s="1"/>
    </row>
    <row r="73" spans="1:45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1.25" customHeight="1">
      <c r="A74" s="1"/>
      <c r="B74" s="1"/>
      <c r="C74" s="8" t="s">
        <v>1904</v>
      </c>
      <c r="D74" s="18"/>
      <c r="E74" s="1"/>
      <c r="F74" s="1"/>
      <c r="G74" s="1"/>
      <c r="H74" s="8" t="s">
        <v>1905</v>
      </c>
      <c r="I74" s="18"/>
      <c r="J74" s="18"/>
      <c r="K74" s="18"/>
      <c r="L74" s="18"/>
      <c r="M74" s="18"/>
      <c r="N74" s="18"/>
      <c r="O74" s="18"/>
      <c r="P74" s="18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 t="s">
        <v>1628</v>
      </c>
      <c r="AH74" s="18"/>
      <c r="AI74" s="18"/>
      <c r="AJ74" s="18"/>
      <c r="AK74" s="1"/>
      <c r="AL74" s="1"/>
      <c r="AM74" s="1"/>
      <c r="AN74" s="8" t="s">
        <v>1906</v>
      </c>
      <c r="AO74" s="18"/>
      <c r="AP74" s="18"/>
      <c r="AQ74" s="18"/>
      <c r="AR74" s="1"/>
      <c r="AS74" s="1"/>
    </row>
    <row r="75" spans="1:45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1.25" customHeight="1">
      <c r="A76" s="1"/>
      <c r="B76" s="1"/>
      <c r="C76" s="8" t="s">
        <v>1907</v>
      </c>
      <c r="D76" s="18"/>
      <c r="E76" s="1"/>
      <c r="F76" s="1"/>
      <c r="G76" s="1"/>
      <c r="H76" s="8" t="s">
        <v>1908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 t="s">
        <v>26</v>
      </c>
      <c r="AJ76" s="18"/>
      <c r="AK76" s="1"/>
      <c r="AL76" s="1"/>
      <c r="AM76" s="1"/>
      <c r="AN76" s="1"/>
      <c r="AO76" s="1"/>
      <c r="AP76" s="1"/>
      <c r="AQ76" s="5" t="s">
        <v>183</v>
      </c>
      <c r="AR76" s="1"/>
      <c r="AS76" s="1"/>
    </row>
    <row r="77" spans="1:45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1.25" customHeight="1">
      <c r="A78" s="1"/>
      <c r="B78" s="1"/>
      <c r="C78" s="8" t="s">
        <v>1909</v>
      </c>
      <c r="D78" s="18"/>
      <c r="E78" s="1"/>
      <c r="F78" s="1"/>
      <c r="G78" s="1"/>
      <c r="H78" s="8" t="s">
        <v>1910</v>
      </c>
      <c r="I78" s="18"/>
      <c r="J78" s="18"/>
      <c r="K78" s="18"/>
      <c r="L78" s="1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8" t="s">
        <v>7</v>
      </c>
      <c r="AF78" s="18"/>
      <c r="AG78" s="18"/>
      <c r="AH78" s="18"/>
      <c r="AI78" s="18"/>
      <c r="AJ78" s="18"/>
      <c r="AK78" s="1"/>
      <c r="AL78" s="1"/>
      <c r="AM78" s="1"/>
      <c r="AN78" s="1"/>
      <c r="AO78" s="8" t="s">
        <v>1846</v>
      </c>
      <c r="AP78" s="18"/>
      <c r="AQ78" s="18"/>
      <c r="AR78" s="1"/>
      <c r="AS78" s="1"/>
    </row>
    <row r="79" spans="1:45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ht="11.25" customHeight="1">
      <c r="A80" s="1"/>
      <c r="B80" s="1"/>
      <c r="C80" s="8" t="s">
        <v>1911</v>
      </c>
      <c r="D80" s="18"/>
      <c r="E80" s="18"/>
      <c r="F80" s="1"/>
      <c r="G80" s="1"/>
      <c r="H80" s="8" t="s">
        <v>1912</v>
      </c>
      <c r="I80" s="18"/>
      <c r="J80" s="18"/>
      <c r="K80" s="18"/>
      <c r="L80" s="18"/>
      <c r="M80" s="18"/>
      <c r="N80" s="1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8" t="s">
        <v>1913</v>
      </c>
      <c r="AI80" s="18"/>
      <c r="AJ80" s="18"/>
      <c r="AK80" s="1"/>
      <c r="AL80" s="1"/>
      <c r="AM80" s="1"/>
      <c r="AN80" s="8" t="s">
        <v>1914</v>
      </c>
      <c r="AO80" s="18"/>
      <c r="AP80" s="18"/>
      <c r="AQ80" s="18"/>
      <c r="AR80" s="1"/>
      <c r="AS80" s="1"/>
    </row>
    <row r="81" spans="1:45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11.25" customHeight="1">
      <c r="A82" s="1"/>
      <c r="B82" s="1"/>
      <c r="C82" s="8" t="s">
        <v>1915</v>
      </c>
      <c r="D82" s="18"/>
      <c r="E82" s="18"/>
      <c r="F82" s="1"/>
      <c r="G82" s="1"/>
      <c r="H82" s="8" t="s">
        <v>1916</v>
      </c>
      <c r="I82" s="18"/>
      <c r="J82" s="18"/>
      <c r="K82" s="18"/>
      <c r="L82" s="18"/>
      <c r="M82" s="18"/>
      <c r="N82" s="1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8" t="s">
        <v>7</v>
      </c>
      <c r="AF82" s="18"/>
      <c r="AG82" s="18"/>
      <c r="AH82" s="18"/>
      <c r="AI82" s="18"/>
      <c r="AJ82" s="18"/>
      <c r="AK82" s="1"/>
      <c r="AL82" s="1"/>
      <c r="AM82" s="1"/>
      <c r="AN82" s="8" t="s">
        <v>1917</v>
      </c>
      <c r="AO82" s="18"/>
      <c r="AP82" s="18"/>
      <c r="AQ82" s="18"/>
      <c r="AR82" s="1"/>
      <c r="AS82" s="1"/>
    </row>
    <row r="83" spans="1:45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ht="11.25" customHeight="1">
      <c r="A84" s="1"/>
      <c r="B84" s="1"/>
      <c r="C84" s="8" t="s">
        <v>1918</v>
      </c>
      <c r="D84" s="18"/>
      <c r="E84" s="1"/>
      <c r="F84" s="1"/>
      <c r="G84" s="1"/>
      <c r="H84" s="8" t="s">
        <v>1919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8" t="s">
        <v>7</v>
      </c>
      <c r="AF84" s="18"/>
      <c r="AG84" s="18"/>
      <c r="AH84" s="18"/>
      <c r="AI84" s="18"/>
      <c r="AJ84" s="18"/>
      <c r="AK84" s="1"/>
      <c r="AL84" s="1"/>
      <c r="AM84" s="1"/>
      <c r="AN84" s="1"/>
      <c r="AO84" s="1"/>
      <c r="AP84" s="8" t="s">
        <v>692</v>
      </c>
      <c r="AQ84" s="18"/>
      <c r="AR84" s="1"/>
      <c r="AS84" s="1"/>
    </row>
    <row r="85" spans="1:45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ht="11.25" customHeight="1">
      <c r="A86" s="1"/>
      <c r="B86" s="1"/>
      <c r="C86" s="8" t="s">
        <v>1920</v>
      </c>
      <c r="D86" s="18"/>
      <c r="E86" s="18"/>
      <c r="F86" s="1"/>
      <c r="G86" s="1"/>
      <c r="H86" s="8" t="s">
        <v>1921</v>
      </c>
      <c r="I86" s="18"/>
      <c r="J86" s="18"/>
      <c r="K86" s="18"/>
      <c r="L86" s="1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8" t="s">
        <v>7</v>
      </c>
      <c r="AF86" s="18"/>
      <c r="AG86" s="18"/>
      <c r="AH86" s="18"/>
      <c r="AI86" s="18"/>
      <c r="AJ86" s="18"/>
      <c r="AK86" s="1"/>
      <c r="AL86" s="1"/>
      <c r="AM86" s="1"/>
      <c r="AN86" s="1"/>
      <c r="AO86" s="1"/>
      <c r="AP86" s="8" t="s">
        <v>208</v>
      </c>
      <c r="AQ86" s="18"/>
      <c r="AR86" s="1"/>
      <c r="AS86" s="1"/>
    </row>
    <row r="87" spans="1:45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1.25" customHeight="1">
      <c r="A88" s="1"/>
      <c r="B88" s="1"/>
      <c r="C88" s="8" t="s">
        <v>1922</v>
      </c>
      <c r="D88" s="18"/>
      <c r="E88" s="1"/>
      <c r="F88" s="1"/>
      <c r="G88" s="1"/>
      <c r="H88" s="8" t="s">
        <v>1923</v>
      </c>
      <c r="I88" s="18"/>
      <c r="J88" s="18"/>
      <c r="K88" s="18"/>
      <c r="L88" s="1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8" t="s">
        <v>7</v>
      </c>
      <c r="AF88" s="18"/>
      <c r="AG88" s="18"/>
      <c r="AH88" s="18"/>
      <c r="AI88" s="18"/>
      <c r="AJ88" s="18"/>
      <c r="AK88" s="1"/>
      <c r="AL88" s="1"/>
      <c r="AM88" s="1"/>
      <c r="AN88" s="1"/>
      <c r="AO88" s="1"/>
      <c r="AP88" s="8" t="s">
        <v>435</v>
      </c>
      <c r="AQ88" s="18"/>
      <c r="AR88" s="1"/>
      <c r="AS88" s="1"/>
    </row>
    <row r="89" spans="1:45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1.25" customHeight="1">
      <c r="A90" s="1"/>
      <c r="B90" s="1"/>
      <c r="C90" s="8" t="s">
        <v>1924</v>
      </c>
      <c r="D90" s="18"/>
      <c r="E90" s="18"/>
      <c r="F90" s="1"/>
      <c r="G90" s="1"/>
      <c r="H90" s="8" t="s">
        <v>1925</v>
      </c>
      <c r="I90" s="18"/>
      <c r="J90" s="18"/>
      <c r="K90" s="18"/>
      <c r="L90" s="18"/>
      <c r="M90" s="18"/>
      <c r="N90" s="1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8" t="s">
        <v>1913</v>
      </c>
      <c r="AI90" s="18"/>
      <c r="AJ90" s="18"/>
      <c r="AK90" s="1"/>
      <c r="AL90" s="1"/>
      <c r="AM90" s="1"/>
      <c r="AN90" s="1"/>
      <c r="AO90" s="1"/>
      <c r="AP90" s="8" t="s">
        <v>453</v>
      </c>
      <c r="AQ90" s="18"/>
      <c r="AR90" s="1"/>
      <c r="AS90" s="1"/>
    </row>
    <row r="91" spans="1:45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1.25" customHeight="1">
      <c r="A92" s="1"/>
      <c r="B92" s="1"/>
      <c r="C92" s="8" t="s">
        <v>1926</v>
      </c>
      <c r="D92" s="18"/>
      <c r="E92" s="18"/>
      <c r="F92" s="1"/>
      <c r="G92" s="1"/>
      <c r="H92" s="8" t="s">
        <v>1927</v>
      </c>
      <c r="I92" s="18"/>
      <c r="J92" s="18"/>
      <c r="K92" s="18"/>
      <c r="L92" s="18"/>
      <c r="M92" s="18"/>
      <c r="N92" s="18"/>
      <c r="O92" s="1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8" t="s">
        <v>1913</v>
      </c>
      <c r="AI92" s="18"/>
      <c r="AJ92" s="18"/>
      <c r="AK92" s="1"/>
      <c r="AL92" s="1"/>
      <c r="AM92" s="1"/>
      <c r="AN92" s="1"/>
      <c r="AO92" s="1"/>
      <c r="AP92" s="8" t="s">
        <v>8</v>
      </c>
      <c r="AQ92" s="18"/>
      <c r="AR92" s="1"/>
      <c r="AS92" s="1"/>
    </row>
    <row r="93" spans="1:45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1.25" customHeight="1">
      <c r="A94" s="1"/>
      <c r="B94" s="1"/>
      <c r="C94" s="8" t="s">
        <v>1928</v>
      </c>
      <c r="D94" s="18"/>
      <c r="E94" s="1"/>
      <c r="F94" s="1"/>
      <c r="G94" s="1"/>
      <c r="H94" s="8" t="s">
        <v>1929</v>
      </c>
      <c r="I94" s="18"/>
      <c r="J94" s="18"/>
      <c r="K94" s="18"/>
      <c r="L94" s="18"/>
      <c r="M94" s="18"/>
      <c r="N94" s="18"/>
      <c r="O94" s="1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8" t="s">
        <v>7</v>
      </c>
      <c r="AF94" s="18"/>
      <c r="AG94" s="18"/>
      <c r="AH94" s="18"/>
      <c r="AI94" s="18"/>
      <c r="AJ94" s="18"/>
      <c r="AK94" s="1"/>
      <c r="AL94" s="1"/>
      <c r="AM94" s="1"/>
      <c r="AN94" s="1"/>
      <c r="AO94" s="8" t="s">
        <v>1930</v>
      </c>
      <c r="AP94" s="18"/>
      <c r="AQ94" s="18"/>
      <c r="AR94" s="1"/>
      <c r="AS94" s="1"/>
    </row>
    <row r="95" spans="1:45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1.25" customHeight="1">
      <c r="A96" s="1"/>
      <c r="B96" s="1"/>
      <c r="C96" s="8" t="s">
        <v>1931</v>
      </c>
      <c r="D96" s="18"/>
      <c r="E96" s="18"/>
      <c r="F96" s="1"/>
      <c r="G96" s="1"/>
      <c r="H96" s="8" t="s">
        <v>1932</v>
      </c>
      <c r="I96" s="18"/>
      <c r="J96" s="18"/>
      <c r="K96" s="18"/>
      <c r="L96" s="1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8" t="s">
        <v>7</v>
      </c>
      <c r="AF96" s="18"/>
      <c r="AG96" s="18"/>
      <c r="AH96" s="18"/>
      <c r="AI96" s="18"/>
      <c r="AJ96" s="18"/>
      <c r="AK96" s="1"/>
      <c r="AL96" s="1"/>
      <c r="AM96" s="1"/>
      <c r="AN96" s="1"/>
      <c r="AO96" s="1"/>
      <c r="AP96" s="8" t="s">
        <v>290</v>
      </c>
      <c r="AQ96" s="18"/>
      <c r="AR96" s="1"/>
      <c r="AS96" s="1"/>
    </row>
    <row r="97" spans="1:45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1.25" customHeight="1">
      <c r="A98" s="1"/>
      <c r="B98" s="1"/>
      <c r="C98" s="8" t="s">
        <v>1933</v>
      </c>
      <c r="D98" s="18"/>
      <c r="E98" s="18"/>
      <c r="F98" s="1"/>
      <c r="G98" s="1"/>
      <c r="H98" s="8" t="s">
        <v>1934</v>
      </c>
      <c r="I98" s="18"/>
      <c r="J98" s="18"/>
      <c r="K98" s="18"/>
      <c r="L98" s="18"/>
      <c r="M98" s="1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8" t="s">
        <v>7</v>
      </c>
      <c r="AF98" s="18"/>
      <c r="AG98" s="18"/>
      <c r="AH98" s="18"/>
      <c r="AI98" s="18"/>
      <c r="AJ98" s="18"/>
      <c r="AK98" s="1"/>
      <c r="AL98" s="1"/>
      <c r="AM98" s="1"/>
      <c r="AN98" s="1"/>
      <c r="AO98" s="1"/>
      <c r="AP98" s="8" t="s">
        <v>1144</v>
      </c>
      <c r="AQ98" s="18"/>
      <c r="AR98" s="1"/>
      <c r="AS98" s="1"/>
    </row>
    <row r="99" spans="1:45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1.25" customHeight="1">
      <c r="A100" s="1"/>
      <c r="B100" s="1"/>
      <c r="C100" s="8" t="s">
        <v>1935</v>
      </c>
      <c r="D100" s="18"/>
      <c r="E100" s="18"/>
      <c r="F100" s="1"/>
      <c r="G100" s="1"/>
      <c r="H100" s="8" t="s">
        <v>1936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8" t="s">
        <v>7</v>
      </c>
      <c r="AF100" s="18"/>
      <c r="AG100" s="18"/>
      <c r="AH100" s="18"/>
      <c r="AI100" s="18"/>
      <c r="AJ100" s="18"/>
      <c r="AK100" s="1"/>
      <c r="AL100" s="1"/>
      <c r="AM100" s="1"/>
      <c r="AN100" s="1"/>
      <c r="AO100" s="1"/>
      <c r="AP100" s="8" t="s">
        <v>1669</v>
      </c>
      <c r="AQ100" s="18"/>
      <c r="AR100" s="1"/>
      <c r="AS100" s="1"/>
    </row>
    <row r="101" spans="1:45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8" t="s">
        <v>1937</v>
      </c>
      <c r="AN104" s="18"/>
      <c r="AO104" s="18"/>
      <c r="AP104" s="18"/>
      <c r="AQ104" s="18"/>
      <c r="AR104" s="18"/>
      <c r="AS104" s="1"/>
    </row>
    <row r="105" spans="1:45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</sheetData>
  <mergeCells count="196">
    <mergeCell ref="B2:F4"/>
    <mergeCell ref="G2:AE4"/>
    <mergeCell ref="AF2:AI4"/>
    <mergeCell ref="AL3:AR3"/>
    <mergeCell ref="AP6:AQ6"/>
    <mergeCell ref="C8:D8"/>
    <mergeCell ref="H8:M8"/>
    <mergeCell ref="AE8:AJ8"/>
    <mergeCell ref="AP8:AQ8"/>
    <mergeCell ref="AE6:AJ6"/>
    <mergeCell ref="C10:D10"/>
    <mergeCell ref="H10:O10"/>
    <mergeCell ref="AE10:AJ10"/>
    <mergeCell ref="AP10:AQ10"/>
    <mergeCell ref="C12:D12"/>
    <mergeCell ref="H12:R12"/>
    <mergeCell ref="AE12:AJ12"/>
    <mergeCell ref="AP12:AQ12"/>
    <mergeCell ref="C14:D14"/>
    <mergeCell ref="H14:M14"/>
    <mergeCell ref="AE14:AJ14"/>
    <mergeCell ref="AN14:AQ14"/>
    <mergeCell ref="C16:D16"/>
    <mergeCell ref="H16:K16"/>
    <mergeCell ref="AE16:AJ16"/>
    <mergeCell ref="AO16:AQ16"/>
    <mergeCell ref="C18:D18"/>
    <mergeCell ref="H18:J18"/>
    <mergeCell ref="AE18:AJ18"/>
    <mergeCell ref="AO18:AQ18"/>
    <mergeCell ref="C20:D20"/>
    <mergeCell ref="H20:M20"/>
    <mergeCell ref="AE20:AJ20"/>
    <mergeCell ref="AO20:AQ20"/>
    <mergeCell ref="C22:D22"/>
    <mergeCell ref="H22:L22"/>
    <mergeCell ref="AE22:AJ22"/>
    <mergeCell ref="AO22:AQ22"/>
    <mergeCell ref="C24:D24"/>
    <mergeCell ref="H24:N24"/>
    <mergeCell ref="AE24:AJ24"/>
    <mergeCell ref="AO24:AQ24"/>
    <mergeCell ref="C26:D26"/>
    <mergeCell ref="H26:L26"/>
    <mergeCell ref="AE26:AJ26"/>
    <mergeCell ref="AO26:AQ26"/>
    <mergeCell ref="C28:D28"/>
    <mergeCell ref="H28:P28"/>
    <mergeCell ref="AE28:AJ28"/>
    <mergeCell ref="AO28:AQ28"/>
    <mergeCell ref="C30:D30"/>
    <mergeCell ref="H30:S30"/>
    <mergeCell ref="AE30:AJ30"/>
    <mergeCell ref="AN30:AQ30"/>
    <mergeCell ref="C32:E32"/>
    <mergeCell ref="H32:Q32"/>
    <mergeCell ref="AE32:AJ32"/>
    <mergeCell ref="AN32:AQ32"/>
    <mergeCell ref="C34:E34"/>
    <mergeCell ref="H34:Q34"/>
    <mergeCell ref="AE34:AJ34"/>
    <mergeCell ref="AN34:AQ34"/>
    <mergeCell ref="C36:E36"/>
    <mergeCell ref="H36:Y36"/>
    <mergeCell ref="AE36:AJ36"/>
    <mergeCell ref="AN36:AQ36"/>
    <mergeCell ref="C38:E38"/>
    <mergeCell ref="H38:N38"/>
    <mergeCell ref="AE38:AJ38"/>
    <mergeCell ref="AN38:AQ38"/>
    <mergeCell ref="C40:E40"/>
    <mergeCell ref="H40:AC40"/>
    <mergeCell ref="AE40:AJ40"/>
    <mergeCell ref="AN40:AQ40"/>
    <mergeCell ref="C42:E42"/>
    <mergeCell ref="H42:AB42"/>
    <mergeCell ref="AE42:AJ42"/>
    <mergeCell ref="AN42:AQ42"/>
    <mergeCell ref="C44:E44"/>
    <mergeCell ref="H44:AA44"/>
    <mergeCell ref="AE44:AJ44"/>
    <mergeCell ref="AN44:AQ44"/>
    <mergeCell ref="C46:E46"/>
    <mergeCell ref="H46:AB46"/>
    <mergeCell ref="AE46:AJ46"/>
    <mergeCell ref="AN46:AQ46"/>
    <mergeCell ref="C48:E48"/>
    <mergeCell ref="H48:AB48"/>
    <mergeCell ref="AE48:AJ48"/>
    <mergeCell ref="AN48:AQ48"/>
    <mergeCell ref="C50:E50"/>
    <mergeCell ref="H50:AB50"/>
    <mergeCell ref="AE50:AJ50"/>
    <mergeCell ref="AN50:AQ50"/>
    <mergeCell ref="C52:E52"/>
    <mergeCell ref="H52:AB52"/>
    <mergeCell ref="AE52:AJ52"/>
    <mergeCell ref="AN52:AQ52"/>
    <mergeCell ref="C54:E54"/>
    <mergeCell ref="H54:Z54"/>
    <mergeCell ref="AE54:AJ54"/>
    <mergeCell ref="AN54:AQ54"/>
    <mergeCell ref="C56:E56"/>
    <mergeCell ref="H56:W56"/>
    <mergeCell ref="AE56:AJ56"/>
    <mergeCell ref="AN56:AQ56"/>
    <mergeCell ref="C58:E58"/>
    <mergeCell ref="H58:W58"/>
    <mergeCell ref="AE58:AJ58"/>
    <mergeCell ref="AN58:AQ58"/>
    <mergeCell ref="C60:E60"/>
    <mergeCell ref="H60:W60"/>
    <mergeCell ref="AE60:AJ60"/>
    <mergeCell ref="AN60:AQ60"/>
    <mergeCell ref="C62:E62"/>
    <mergeCell ref="H62:W62"/>
    <mergeCell ref="AE62:AJ62"/>
    <mergeCell ref="AN62:AQ62"/>
    <mergeCell ref="C64:E64"/>
    <mergeCell ref="H64:U64"/>
    <mergeCell ref="AE64:AJ64"/>
    <mergeCell ref="AN64:AQ64"/>
    <mergeCell ref="C66:E66"/>
    <mergeCell ref="H66:V66"/>
    <mergeCell ref="AE66:AJ66"/>
    <mergeCell ref="AN66:AQ66"/>
    <mergeCell ref="C68:E68"/>
    <mergeCell ref="H68:V68"/>
    <mergeCell ref="AE68:AJ68"/>
    <mergeCell ref="AN68:AQ68"/>
    <mergeCell ref="C70:E70"/>
    <mergeCell ref="H70:X70"/>
    <mergeCell ref="AE70:AJ70"/>
    <mergeCell ref="AN70:AQ70"/>
    <mergeCell ref="C72:D72"/>
    <mergeCell ref="H72:L72"/>
    <mergeCell ref="AE72:AJ72"/>
    <mergeCell ref="AO72:AQ72"/>
    <mergeCell ref="C74:D74"/>
    <mergeCell ref="H74:P74"/>
    <mergeCell ref="AG74:AJ74"/>
    <mergeCell ref="AN74:AQ74"/>
    <mergeCell ref="C76:D76"/>
    <mergeCell ref="H76:T76"/>
    <mergeCell ref="AI76:AJ76"/>
    <mergeCell ref="C78:D78"/>
    <mergeCell ref="H78:L78"/>
    <mergeCell ref="AE78:AJ78"/>
    <mergeCell ref="AO78:AQ78"/>
    <mergeCell ref="C80:E80"/>
    <mergeCell ref="H80:N80"/>
    <mergeCell ref="AH80:AJ80"/>
    <mergeCell ref="AN80:AQ80"/>
    <mergeCell ref="C82:E82"/>
    <mergeCell ref="H82:N82"/>
    <mergeCell ref="AE82:AJ82"/>
    <mergeCell ref="AN82:AQ82"/>
    <mergeCell ref="C84:D84"/>
    <mergeCell ref="H84:R84"/>
    <mergeCell ref="AE84:AJ84"/>
    <mergeCell ref="AP84:AQ84"/>
    <mergeCell ref="C86:E86"/>
    <mergeCell ref="H86:L86"/>
    <mergeCell ref="AE86:AJ86"/>
    <mergeCell ref="AP86:AQ86"/>
    <mergeCell ref="C88:D88"/>
    <mergeCell ref="H88:L88"/>
    <mergeCell ref="AE88:AJ88"/>
    <mergeCell ref="AP88:AQ88"/>
    <mergeCell ref="C90:E90"/>
    <mergeCell ref="H90:N90"/>
    <mergeCell ref="AH90:AJ90"/>
    <mergeCell ref="AP90:AQ90"/>
    <mergeCell ref="C92:E92"/>
    <mergeCell ref="H92:O92"/>
    <mergeCell ref="AH92:AJ92"/>
    <mergeCell ref="AP92:AQ92"/>
    <mergeCell ref="C100:E100"/>
    <mergeCell ref="H100:R100"/>
    <mergeCell ref="AE100:AJ100"/>
    <mergeCell ref="AP100:AQ100"/>
    <mergeCell ref="I102:X102"/>
    <mergeCell ref="J104:S104"/>
    <mergeCell ref="AM104:AR104"/>
    <mergeCell ref="C94:D94"/>
    <mergeCell ref="H94:O94"/>
    <mergeCell ref="AE94:AJ94"/>
    <mergeCell ref="AO94:AQ94"/>
    <mergeCell ref="C96:E96"/>
    <mergeCell ref="H96:L96"/>
    <mergeCell ref="AE96:AJ96"/>
    <mergeCell ref="AP96:AQ96"/>
    <mergeCell ref="C98:E98"/>
    <mergeCell ref="H98:M98"/>
    <mergeCell ref="AE98:AJ98"/>
    <mergeCell ref="AP98:AQ9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3.28515625" customWidth="1"/>
    <col min="5" max="5" width="3.42578125" customWidth="1"/>
    <col min="6" max="6" width="17.7109375" customWidth="1"/>
    <col min="7" max="7" width="0.140625" customWidth="1"/>
    <col min="8" max="8" width="3.7109375" customWidth="1"/>
    <col min="9" max="9" width="6" customWidth="1"/>
    <col min="10" max="10" width="4.7109375" customWidth="1"/>
    <col min="11" max="11" width="3.140625" customWidth="1"/>
    <col min="12" max="12" width="7" customWidth="1"/>
    <col min="13" max="13" width="2.42578125" customWidth="1"/>
    <col min="14" max="14" width="1.85546875" customWidth="1"/>
    <col min="15" max="16" width="1.7109375" customWidth="1"/>
    <col min="17" max="17" width="2" customWidth="1"/>
    <col min="18" max="18" width="4.28515625" customWidth="1"/>
    <col min="19" max="20" width="3.7109375" customWidth="1"/>
    <col min="21" max="21" width="1.5703125" customWidth="1"/>
    <col min="22" max="22" width="7.85546875" customWidth="1"/>
    <col min="23" max="23" width="2" customWidth="1"/>
    <col min="24" max="24" width="3.140625" customWidth="1"/>
    <col min="25" max="25" width="13" customWidth="1"/>
    <col min="26" max="26" width="0.28515625" customWidth="1"/>
    <col min="27" max="27" width="3.140625" customWidth="1"/>
    <col min="28" max="28" width="2.85546875" customWidth="1"/>
    <col min="29" max="29" width="0.42578125" customWidth="1"/>
    <col min="30" max="30" width="4.42578125" customWidth="1"/>
    <col min="31" max="31" width="1.85546875" customWidth="1"/>
    <col min="32" max="32" width="2.42578125" customWidth="1"/>
    <col min="33" max="33" width="6.140625" customWidth="1"/>
    <col min="34" max="34" width="1" customWidth="1"/>
    <col min="35" max="35" width="3.85546875" customWidth="1"/>
  </cols>
  <sheetData>
    <row r="1" spans="1:35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</row>
    <row r="2" spans="1:35" ht="1.7" customHeight="1">
      <c r="A2" s="3"/>
      <c r="B2" s="19" t="s">
        <v>0</v>
      </c>
      <c r="C2" s="10"/>
      <c r="D2" s="10"/>
      <c r="E2" s="10"/>
      <c r="F2" s="11"/>
      <c r="G2" s="19" t="s">
        <v>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19" t="s">
        <v>2</v>
      </c>
      <c r="AB2" s="11"/>
      <c r="AC2" s="4"/>
      <c r="AD2" s="1"/>
      <c r="AE2" s="1"/>
      <c r="AF2" s="1"/>
      <c r="AG2" s="1"/>
      <c r="AH2" s="1"/>
      <c r="AI2" s="1"/>
    </row>
    <row r="3" spans="1:35" ht="11.25" customHeight="1">
      <c r="A3" s="3"/>
      <c r="B3" s="12"/>
      <c r="C3" s="13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  <c r="AA3" s="12"/>
      <c r="AB3" s="14"/>
      <c r="AC3" s="4"/>
      <c r="AD3" s="1"/>
      <c r="AE3" s="8" t="s">
        <v>3</v>
      </c>
      <c r="AF3" s="18"/>
      <c r="AG3" s="18"/>
      <c r="AH3" s="18"/>
      <c r="AI3" s="1"/>
    </row>
    <row r="4" spans="1:35" ht="5.0999999999999996" customHeight="1">
      <c r="A4" s="3"/>
      <c r="B4" s="15"/>
      <c r="C4" s="16"/>
      <c r="D4" s="16"/>
      <c r="E4" s="16"/>
      <c r="F4" s="17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5"/>
      <c r="AB4" s="17"/>
      <c r="AC4" s="4"/>
      <c r="AD4" s="1"/>
      <c r="AE4" s="1"/>
      <c r="AF4" s="1"/>
      <c r="AG4" s="1"/>
      <c r="AH4" s="1"/>
      <c r="AI4" s="1"/>
    </row>
    <row r="5" spans="1:35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"/>
      <c r="AD5" s="1"/>
      <c r="AE5" s="1"/>
      <c r="AF5" s="1"/>
      <c r="AG5" s="1"/>
      <c r="AH5" s="1"/>
      <c r="AI5" s="1"/>
    </row>
    <row r="6" spans="1:35" ht="11.25" customHeight="1">
      <c r="A6" s="1"/>
      <c r="B6" s="1"/>
      <c r="C6" s="1" t="s">
        <v>2242</v>
      </c>
      <c r="D6" s="1"/>
      <c r="E6" s="1"/>
      <c r="F6" s="1"/>
      <c r="G6" s="1"/>
      <c r="H6" s="1" t="s">
        <v>2243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8" t="s">
        <v>7</v>
      </c>
      <c r="AA6" s="18"/>
      <c r="AB6" s="18"/>
      <c r="AC6" s="18"/>
      <c r="AD6" s="1"/>
      <c r="AE6" s="1"/>
      <c r="AF6" s="8" t="s">
        <v>1714</v>
      </c>
      <c r="AG6" s="18"/>
      <c r="AH6" s="1"/>
      <c r="AI6" s="1"/>
    </row>
    <row r="7" spans="1:35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1.25" customHeight="1">
      <c r="A8" s="1"/>
      <c r="B8" s="1"/>
      <c r="C8" s="8" t="s">
        <v>1938</v>
      </c>
      <c r="D8" s="18"/>
      <c r="E8" s="18"/>
      <c r="F8" s="1"/>
      <c r="G8" s="1"/>
      <c r="H8" s="8" t="s">
        <v>1939</v>
      </c>
      <c r="I8" s="18"/>
      <c r="J8" s="18"/>
      <c r="K8" s="1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8" t="s">
        <v>7</v>
      </c>
      <c r="AA8" s="18"/>
      <c r="AB8" s="18"/>
      <c r="AC8" s="18"/>
      <c r="AD8" s="1"/>
      <c r="AE8" s="1"/>
      <c r="AF8" s="8" t="s">
        <v>592</v>
      </c>
      <c r="AG8" s="18"/>
      <c r="AH8" s="1"/>
      <c r="AI8" s="1"/>
    </row>
    <row r="9" spans="1:35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1.25" customHeight="1">
      <c r="A10" s="1"/>
      <c r="B10" s="1"/>
      <c r="C10" s="8" t="s">
        <v>1940</v>
      </c>
      <c r="D10" s="18"/>
      <c r="E10" s="18"/>
      <c r="F10" s="1"/>
      <c r="G10" s="1"/>
      <c r="H10" s="8" t="s">
        <v>1939</v>
      </c>
      <c r="I10" s="18"/>
      <c r="J10" s="18"/>
      <c r="K10" s="1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8" t="s">
        <v>7</v>
      </c>
      <c r="AA10" s="18"/>
      <c r="AB10" s="18"/>
      <c r="AC10" s="18"/>
      <c r="AD10" s="1"/>
      <c r="AE10" s="1"/>
      <c r="AF10" s="8" t="s">
        <v>440</v>
      </c>
      <c r="AG10" s="18"/>
      <c r="AH10" s="1"/>
      <c r="AI10" s="1"/>
    </row>
    <row r="11" spans="1:35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1.25" customHeight="1">
      <c r="A12" s="1"/>
      <c r="B12" s="1"/>
      <c r="C12" s="8" t="s">
        <v>1941</v>
      </c>
      <c r="D12" s="18"/>
      <c r="E12" s="18"/>
      <c r="F12" s="1"/>
      <c r="G12" s="1"/>
      <c r="H12" s="8" t="s">
        <v>1942</v>
      </c>
      <c r="I12" s="18"/>
      <c r="J12" s="18"/>
      <c r="K12" s="18"/>
      <c r="L12" s="18"/>
      <c r="M12" s="18"/>
      <c r="N12" s="18"/>
      <c r="O12" s="18"/>
      <c r="P12" s="18"/>
      <c r="Q12" s="18"/>
      <c r="R12" s="1"/>
      <c r="S12" s="1"/>
      <c r="T12" s="1"/>
      <c r="U12" s="1"/>
      <c r="V12" s="1"/>
      <c r="W12" s="1"/>
      <c r="X12" s="1"/>
      <c r="Y12" s="1"/>
      <c r="Z12" s="8" t="s">
        <v>7</v>
      </c>
      <c r="AA12" s="18"/>
      <c r="AB12" s="18"/>
      <c r="AC12" s="18"/>
      <c r="AD12" s="1"/>
      <c r="AE12" s="1"/>
      <c r="AF12" s="8" t="s">
        <v>513</v>
      </c>
      <c r="AG12" s="18"/>
      <c r="AH12" s="1"/>
      <c r="AI12" s="1"/>
    </row>
    <row r="13" spans="1:35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1.25" customHeight="1">
      <c r="A14" s="1"/>
      <c r="B14" s="1"/>
      <c r="C14" s="8" t="s">
        <v>1943</v>
      </c>
      <c r="D14" s="18"/>
      <c r="E14" s="18"/>
      <c r="F14" s="1"/>
      <c r="G14" s="1"/>
      <c r="H14" s="8" t="s">
        <v>1944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"/>
      <c r="U14" s="1"/>
      <c r="V14" s="1"/>
      <c r="W14" s="1"/>
      <c r="X14" s="1"/>
      <c r="Y14" s="1"/>
      <c r="Z14" s="8" t="s">
        <v>7</v>
      </c>
      <c r="AA14" s="18"/>
      <c r="AB14" s="18"/>
      <c r="AC14" s="18"/>
      <c r="AD14" s="1"/>
      <c r="AE14" s="1"/>
      <c r="AF14" s="8" t="s">
        <v>604</v>
      </c>
      <c r="AG14" s="18"/>
      <c r="AH14" s="1"/>
      <c r="AI14" s="1"/>
    </row>
    <row r="15" spans="1:35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1.25" customHeight="1">
      <c r="A16" s="1"/>
      <c r="B16" s="1"/>
      <c r="C16" s="8" t="s">
        <v>1945</v>
      </c>
      <c r="D16" s="18"/>
      <c r="E16" s="1"/>
      <c r="F16" s="1"/>
      <c r="G16" s="1"/>
      <c r="H16" s="8" t="s">
        <v>1946</v>
      </c>
      <c r="I16" s="18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8" t="s">
        <v>7</v>
      </c>
      <c r="AA16" s="18"/>
      <c r="AB16" s="18"/>
      <c r="AC16" s="18"/>
      <c r="AD16" s="1"/>
      <c r="AE16" s="1"/>
      <c r="AF16" s="8" t="s">
        <v>1947</v>
      </c>
      <c r="AG16" s="18"/>
      <c r="AH16" s="1"/>
      <c r="AI16" s="1"/>
    </row>
    <row r="17" spans="1:35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1.25" customHeight="1">
      <c r="A18" s="1"/>
      <c r="B18" s="1"/>
      <c r="C18" s="8" t="s">
        <v>1948</v>
      </c>
      <c r="D18" s="18"/>
      <c r="E18" s="1"/>
      <c r="F18" s="1"/>
      <c r="G18" s="1"/>
      <c r="H18" s="8" t="s">
        <v>1949</v>
      </c>
      <c r="I18" s="18"/>
      <c r="J18" s="18"/>
      <c r="K18" s="18"/>
      <c r="L18" s="18"/>
      <c r="M18" s="18"/>
      <c r="N18" s="18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8" t="s">
        <v>7</v>
      </c>
      <c r="AA18" s="18"/>
      <c r="AB18" s="18"/>
      <c r="AC18" s="18"/>
      <c r="AD18" s="1"/>
      <c r="AE18" s="1"/>
      <c r="AF18" s="8" t="s">
        <v>1950</v>
      </c>
      <c r="AG18" s="18"/>
      <c r="AH18" s="1"/>
      <c r="AI18" s="1"/>
    </row>
    <row r="19" spans="1:35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1.25" customHeight="1">
      <c r="A20" s="1"/>
      <c r="B20" s="1"/>
      <c r="C20" s="8" t="s">
        <v>1951</v>
      </c>
      <c r="D20" s="18"/>
      <c r="E20" s="1"/>
      <c r="F20" s="1"/>
      <c r="G20" s="1"/>
      <c r="H20" s="8" t="s">
        <v>1952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"/>
      <c r="V20" s="1"/>
      <c r="W20" s="1"/>
      <c r="X20" s="1"/>
      <c r="Y20" s="1"/>
      <c r="Z20" s="1"/>
      <c r="AA20" s="1"/>
      <c r="AB20" s="8" t="s">
        <v>26</v>
      </c>
      <c r="AC20" s="18"/>
      <c r="AD20" s="1"/>
      <c r="AE20" s="1"/>
      <c r="AF20" s="8" t="s">
        <v>1316</v>
      </c>
      <c r="AG20" s="18"/>
      <c r="AH20" s="1"/>
      <c r="AI20" s="1"/>
    </row>
    <row r="21" spans="1:35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1.25" customHeight="1">
      <c r="A22" s="1"/>
      <c r="B22" s="1"/>
      <c r="C22" s="8" t="s">
        <v>1953</v>
      </c>
      <c r="D22" s="18"/>
      <c r="E22" s="18"/>
      <c r="F22" s="1"/>
      <c r="G22" s="1"/>
      <c r="H22" s="8" t="s">
        <v>1954</v>
      </c>
      <c r="I22" s="18"/>
      <c r="J22" s="18"/>
      <c r="K22" s="18"/>
      <c r="L22" s="18"/>
      <c r="M22" s="18"/>
      <c r="N22" s="18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8" t="s">
        <v>7</v>
      </c>
      <c r="AA22" s="18"/>
      <c r="AB22" s="18"/>
      <c r="AC22" s="18"/>
      <c r="AD22" s="1"/>
      <c r="AE22" s="8" t="s">
        <v>1955</v>
      </c>
      <c r="AF22" s="18"/>
      <c r="AG22" s="18"/>
      <c r="AH22" s="1"/>
      <c r="AI22" s="1"/>
    </row>
    <row r="23" spans="1:35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1.25" customHeight="1">
      <c r="A24" s="1"/>
      <c r="B24" s="1"/>
      <c r="C24" s="8" t="s">
        <v>1956</v>
      </c>
      <c r="D24" s="18"/>
      <c r="E24" s="18"/>
      <c r="F24" s="1"/>
      <c r="G24" s="1"/>
      <c r="H24" s="8" t="s">
        <v>1957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"/>
      <c r="U24" s="1"/>
      <c r="V24" s="1"/>
      <c r="W24" s="1"/>
      <c r="X24" s="1"/>
      <c r="Y24" s="1"/>
      <c r="Z24" s="8" t="s">
        <v>7</v>
      </c>
      <c r="AA24" s="18"/>
      <c r="AB24" s="18"/>
      <c r="AC24" s="18"/>
      <c r="AD24" s="1"/>
      <c r="AE24" s="8" t="s">
        <v>1958</v>
      </c>
      <c r="AF24" s="18"/>
      <c r="AG24" s="18"/>
      <c r="AH24" s="1"/>
      <c r="AI24" s="1"/>
    </row>
    <row r="25" spans="1:35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1.25" customHeight="1">
      <c r="A26" s="1"/>
      <c r="B26" s="1"/>
      <c r="C26" s="8" t="s">
        <v>1959</v>
      </c>
      <c r="D26" s="18"/>
      <c r="E26" s="18"/>
      <c r="F26" s="1"/>
      <c r="G26" s="1"/>
      <c r="H26" s="8" t="s">
        <v>1960</v>
      </c>
      <c r="I26" s="18"/>
      <c r="J26" s="18"/>
      <c r="K26" s="18"/>
      <c r="L26" s="1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8" t="s">
        <v>7</v>
      </c>
      <c r="AA26" s="18"/>
      <c r="AB26" s="18"/>
      <c r="AC26" s="18"/>
      <c r="AD26" s="1"/>
      <c r="AE26" s="8" t="s">
        <v>1961</v>
      </c>
      <c r="AF26" s="18"/>
      <c r="AG26" s="18"/>
      <c r="AH26" s="1"/>
      <c r="AI26" s="1"/>
    </row>
    <row r="27" spans="1:35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1.25" customHeight="1">
      <c r="A28" s="1"/>
      <c r="B28" s="1"/>
      <c r="C28" s="8" t="s">
        <v>1962</v>
      </c>
      <c r="D28" s="18"/>
      <c r="E28" s="1"/>
      <c r="F28" s="1"/>
      <c r="G28" s="1"/>
      <c r="H28" s="8" t="s">
        <v>1963</v>
      </c>
      <c r="I28" s="18"/>
      <c r="J28" s="18"/>
      <c r="K28" s="18"/>
      <c r="L28" s="18"/>
      <c r="M28" s="18"/>
      <c r="N28" s="1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8" t="s">
        <v>7</v>
      </c>
      <c r="AA28" s="18"/>
      <c r="AB28" s="18"/>
      <c r="AC28" s="18"/>
      <c r="AD28" s="1"/>
      <c r="AE28" s="1"/>
      <c r="AF28" s="8" t="s">
        <v>1964</v>
      </c>
      <c r="AG28" s="18"/>
      <c r="AH28" s="1"/>
      <c r="AI28" s="1"/>
    </row>
    <row r="29" spans="1:35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1.25" customHeight="1">
      <c r="A30" s="1"/>
      <c r="B30" s="1"/>
      <c r="C30" s="8" t="s">
        <v>1965</v>
      </c>
      <c r="D30" s="18"/>
      <c r="E30" s="1"/>
      <c r="F30" s="1"/>
      <c r="G30" s="1"/>
      <c r="H30" s="8" t="s">
        <v>1966</v>
      </c>
      <c r="I30" s="18"/>
      <c r="J30" s="18"/>
      <c r="K30" s="18"/>
      <c r="L30" s="18"/>
      <c r="M30" s="18"/>
      <c r="N30" s="18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8" t="s">
        <v>7</v>
      </c>
      <c r="AA30" s="18"/>
      <c r="AB30" s="18"/>
      <c r="AC30" s="18"/>
      <c r="AD30" s="1"/>
      <c r="AE30" s="1"/>
      <c r="AF30" s="8" t="s">
        <v>1158</v>
      </c>
      <c r="AG30" s="18"/>
      <c r="AH30" s="1"/>
      <c r="AI30" s="1"/>
    </row>
    <row r="31" spans="1:35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1.25" customHeight="1">
      <c r="A32" s="1"/>
      <c r="B32" s="1"/>
      <c r="C32" s="8" t="s">
        <v>1967</v>
      </c>
      <c r="D32" s="18"/>
      <c r="E32" s="1"/>
      <c r="F32" s="1"/>
      <c r="G32" s="1"/>
      <c r="H32" s="8" t="s">
        <v>1968</v>
      </c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8" t="s">
        <v>7</v>
      </c>
      <c r="AA32" s="18"/>
      <c r="AB32" s="18"/>
      <c r="AC32" s="18"/>
      <c r="AD32" s="1"/>
      <c r="AE32" s="1"/>
      <c r="AF32" s="8" t="s">
        <v>1969</v>
      </c>
      <c r="AG32" s="18"/>
      <c r="AH32" s="1"/>
      <c r="AI32" s="1"/>
    </row>
    <row r="33" spans="1:35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1.25" customHeight="1">
      <c r="A34" s="1"/>
      <c r="B34" s="1"/>
      <c r="C34" s="8" t="s">
        <v>1970</v>
      </c>
      <c r="D34" s="18"/>
      <c r="E34" s="1"/>
      <c r="F34" s="1"/>
      <c r="G34" s="1"/>
      <c r="H34" s="8" t="s">
        <v>1971</v>
      </c>
      <c r="I34" s="18"/>
      <c r="J34" s="18"/>
      <c r="K34" s="18"/>
      <c r="L34" s="1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8" t="s">
        <v>7</v>
      </c>
      <c r="AA34" s="18"/>
      <c r="AB34" s="18"/>
      <c r="AC34" s="18"/>
      <c r="AD34" s="1"/>
      <c r="AE34" s="1"/>
      <c r="AF34" s="8" t="s">
        <v>208</v>
      </c>
      <c r="AG34" s="18"/>
      <c r="AH34" s="1"/>
      <c r="AI34" s="1"/>
    </row>
    <row r="35" spans="1:35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1.25" customHeight="1">
      <c r="A36" s="1"/>
      <c r="B36" s="1"/>
      <c r="C36" s="8" t="s">
        <v>1972</v>
      </c>
      <c r="D36" s="18"/>
      <c r="E36" s="1"/>
      <c r="F36" s="1"/>
      <c r="G36" s="1"/>
      <c r="H36" s="8" t="s">
        <v>1971</v>
      </c>
      <c r="I36" s="18"/>
      <c r="J36" s="18"/>
      <c r="K36" s="18"/>
      <c r="L36" s="1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8" t="s">
        <v>7</v>
      </c>
      <c r="AA36" s="18"/>
      <c r="AB36" s="18"/>
      <c r="AC36" s="18"/>
      <c r="AD36" s="1"/>
      <c r="AE36" s="1"/>
      <c r="AF36" s="8" t="s">
        <v>166</v>
      </c>
      <c r="AG36" s="18"/>
      <c r="AH36" s="1"/>
      <c r="AI36" s="1"/>
    </row>
    <row r="37" spans="1:35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1.25" customHeight="1">
      <c r="A38" s="1"/>
      <c r="B38" s="1"/>
      <c r="C38" s="8" t="s">
        <v>1973</v>
      </c>
      <c r="D38" s="18"/>
      <c r="E38" s="1"/>
      <c r="F38" s="1"/>
      <c r="G38" s="1"/>
      <c r="H38" s="8" t="s">
        <v>1974</v>
      </c>
      <c r="I38" s="18"/>
      <c r="J38" s="1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8" t="s">
        <v>7</v>
      </c>
      <c r="AA38" s="18"/>
      <c r="AB38" s="18"/>
      <c r="AC38" s="18"/>
      <c r="AD38" s="1"/>
      <c r="AE38" s="1"/>
      <c r="AF38" s="1"/>
      <c r="AG38" s="5" t="s">
        <v>132</v>
      </c>
      <c r="AH38" s="1"/>
      <c r="AI38" s="1"/>
    </row>
    <row r="39" spans="1:35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1.25" customHeight="1">
      <c r="A40" s="1"/>
      <c r="B40" s="1"/>
      <c r="C40" s="8" t="s">
        <v>1975</v>
      </c>
      <c r="D40" s="18"/>
      <c r="E40" s="1"/>
      <c r="F40" s="1"/>
      <c r="G40" s="1"/>
      <c r="H40" s="8" t="s">
        <v>1976</v>
      </c>
      <c r="I40" s="18"/>
      <c r="J40" s="18"/>
      <c r="K40" s="1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8" t="s">
        <v>7</v>
      </c>
      <c r="AA40" s="18"/>
      <c r="AB40" s="18"/>
      <c r="AC40" s="18"/>
      <c r="AD40" s="1"/>
      <c r="AE40" s="1"/>
      <c r="AF40" s="1"/>
      <c r="AG40" s="5" t="s">
        <v>392</v>
      </c>
      <c r="AH40" s="1"/>
      <c r="AI40" s="1"/>
    </row>
    <row r="41" spans="1:35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1.25" customHeight="1">
      <c r="A42" s="1"/>
      <c r="B42" s="1"/>
      <c r="C42" s="8" t="s">
        <v>1977</v>
      </c>
      <c r="D42" s="18"/>
      <c r="E42" s="1"/>
      <c r="F42" s="1"/>
      <c r="G42" s="1"/>
      <c r="H42" s="8" t="s">
        <v>1978</v>
      </c>
      <c r="I42" s="1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8" t="s">
        <v>7</v>
      </c>
      <c r="AA42" s="18"/>
      <c r="AB42" s="18"/>
      <c r="AC42" s="18"/>
      <c r="AD42" s="1"/>
      <c r="AE42" s="1"/>
      <c r="AF42" s="1"/>
      <c r="AG42" s="5" t="s">
        <v>195</v>
      </c>
      <c r="AH42" s="1"/>
      <c r="AI42" s="1"/>
    </row>
    <row r="43" spans="1:35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1.25" customHeight="1">
      <c r="A44" s="1"/>
      <c r="B44" s="1"/>
      <c r="C44" s="8" t="s">
        <v>1979</v>
      </c>
      <c r="D44" s="18"/>
      <c r="E44" s="1"/>
      <c r="F44" s="1"/>
      <c r="G44" s="1"/>
      <c r="H44" s="8" t="s">
        <v>1980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"/>
      <c r="T44" s="1"/>
      <c r="U44" s="1"/>
      <c r="V44" s="1"/>
      <c r="W44" s="1"/>
      <c r="X44" s="1"/>
      <c r="Y44" s="1"/>
      <c r="Z44" s="8" t="s">
        <v>7</v>
      </c>
      <c r="AA44" s="18"/>
      <c r="AB44" s="18"/>
      <c r="AC44" s="18"/>
      <c r="AD44" s="1"/>
      <c r="AE44" s="1"/>
      <c r="AF44" s="1"/>
      <c r="AG44" s="5" t="s">
        <v>30</v>
      </c>
      <c r="AH44" s="1"/>
      <c r="AI44" s="1"/>
    </row>
    <row r="45" spans="1:35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1.25" customHeight="1">
      <c r="A46" s="1"/>
      <c r="B46" s="1"/>
      <c r="C46" s="8" t="s">
        <v>1981</v>
      </c>
      <c r="D46" s="18"/>
      <c r="E46" s="1"/>
      <c r="F46" s="1"/>
      <c r="G46" s="1"/>
      <c r="H46" s="8" t="s">
        <v>1982</v>
      </c>
      <c r="I46" s="18"/>
      <c r="J46" s="18"/>
      <c r="K46" s="18"/>
      <c r="L46" s="18"/>
      <c r="M46" s="18"/>
      <c r="N46" s="18"/>
      <c r="O46" s="18"/>
      <c r="P46" s="1"/>
      <c r="Q46" s="1"/>
      <c r="R46" s="1"/>
      <c r="S46" s="1"/>
      <c r="T46" s="1"/>
      <c r="U46" s="1"/>
      <c r="V46" s="1"/>
      <c r="W46" s="1"/>
      <c r="X46" s="1"/>
      <c r="Y46" s="1"/>
      <c r="Z46" s="8" t="s">
        <v>7</v>
      </c>
      <c r="AA46" s="18"/>
      <c r="AB46" s="18"/>
      <c r="AC46" s="18"/>
      <c r="AD46" s="1"/>
      <c r="AE46" s="1"/>
      <c r="AF46" s="1"/>
      <c r="AG46" s="5" t="s">
        <v>30</v>
      </c>
      <c r="AH46" s="1"/>
      <c r="AI46" s="1"/>
    </row>
    <row r="47" spans="1:35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1.25" customHeight="1">
      <c r="A48" s="1"/>
      <c r="B48" s="1"/>
      <c r="C48" s="8" t="s">
        <v>1983</v>
      </c>
      <c r="D48" s="18"/>
      <c r="E48" s="1"/>
      <c r="F48" s="1"/>
      <c r="G48" s="1"/>
      <c r="H48" s="8" t="s">
        <v>1984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"/>
      <c r="T48" s="1"/>
      <c r="U48" s="1"/>
      <c r="V48" s="1"/>
      <c r="W48" s="1"/>
      <c r="X48" s="1"/>
      <c r="Y48" s="1"/>
      <c r="Z48" s="8" t="s">
        <v>7</v>
      </c>
      <c r="AA48" s="18"/>
      <c r="AB48" s="18"/>
      <c r="AC48" s="18"/>
      <c r="AD48" s="1"/>
      <c r="AE48" s="1"/>
      <c r="AF48" s="8" t="s">
        <v>1985</v>
      </c>
      <c r="AG48" s="18"/>
      <c r="AH48" s="1"/>
      <c r="AI48" s="1"/>
    </row>
    <row r="49" spans="1:35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1.25" customHeight="1">
      <c r="A50" s="1"/>
      <c r="B50" s="1"/>
      <c r="C50" s="8" t="s">
        <v>1986</v>
      </c>
      <c r="D50" s="18"/>
      <c r="E50" s="1"/>
      <c r="F50" s="1"/>
      <c r="G50" s="1"/>
      <c r="H50" s="8" t="s">
        <v>1987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"/>
      <c r="Z50" s="8" t="s">
        <v>7</v>
      </c>
      <c r="AA50" s="18"/>
      <c r="AB50" s="18"/>
      <c r="AC50" s="18"/>
      <c r="AD50" s="1"/>
      <c r="AE50" s="8" t="s">
        <v>1988</v>
      </c>
      <c r="AF50" s="18"/>
      <c r="AG50" s="18"/>
      <c r="AH50" s="1"/>
      <c r="AI50" s="1"/>
    </row>
    <row r="51" spans="1:35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1.25" customHeight="1">
      <c r="A52" s="1"/>
      <c r="B52" s="1"/>
      <c r="C52" s="8" t="s">
        <v>1989</v>
      </c>
      <c r="D52" s="18"/>
      <c r="E52" s="1"/>
      <c r="F52" s="1"/>
      <c r="G52" s="1"/>
      <c r="H52" s="8" t="s">
        <v>1990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"/>
      <c r="W52" s="1"/>
      <c r="X52" s="1"/>
      <c r="Y52" s="1"/>
      <c r="Z52" s="8" t="s">
        <v>7</v>
      </c>
      <c r="AA52" s="18"/>
      <c r="AB52" s="18"/>
      <c r="AC52" s="18"/>
      <c r="AD52" s="1"/>
      <c r="AE52" s="1"/>
      <c r="AF52" s="8" t="s">
        <v>1991</v>
      </c>
      <c r="AG52" s="18"/>
      <c r="AH52" s="1"/>
      <c r="AI52" s="1"/>
    </row>
    <row r="53" spans="1:35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1.25" customHeight="1">
      <c r="A54" s="1"/>
      <c r="B54" s="1"/>
      <c r="C54" s="8" t="s">
        <v>1992</v>
      </c>
      <c r="D54" s="18"/>
      <c r="E54" s="1"/>
      <c r="F54" s="1"/>
      <c r="G54" s="1"/>
      <c r="H54" s="8" t="s">
        <v>1993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"/>
      <c r="V54" s="1"/>
      <c r="W54" s="1"/>
      <c r="X54" s="1"/>
      <c r="Y54" s="1"/>
      <c r="Z54" s="8" t="s">
        <v>7</v>
      </c>
      <c r="AA54" s="18"/>
      <c r="AB54" s="18"/>
      <c r="AC54" s="18"/>
      <c r="AD54" s="1"/>
      <c r="AE54" s="1"/>
      <c r="AF54" s="1"/>
      <c r="AG54" s="5" t="s">
        <v>195</v>
      </c>
      <c r="AH54" s="1"/>
      <c r="AI54" s="1"/>
    </row>
    <row r="55" spans="1:35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1.25" customHeight="1">
      <c r="A56" s="1"/>
      <c r="B56" s="1"/>
      <c r="C56" s="8" t="s">
        <v>1994</v>
      </c>
      <c r="D56" s="18"/>
      <c r="E56" s="1"/>
      <c r="F56" s="1"/>
      <c r="G56" s="1"/>
      <c r="H56" s="8" t="s">
        <v>1995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"/>
      <c r="V56" s="1"/>
      <c r="W56" s="1"/>
      <c r="X56" s="1"/>
      <c r="Y56" s="1"/>
      <c r="Z56" s="8" t="s">
        <v>7</v>
      </c>
      <c r="AA56" s="18"/>
      <c r="AB56" s="18"/>
      <c r="AC56" s="18"/>
      <c r="AD56" s="1"/>
      <c r="AE56" s="1"/>
      <c r="AF56" s="1"/>
      <c r="AG56" s="5" t="s">
        <v>195</v>
      </c>
      <c r="AH56" s="1"/>
      <c r="AI56" s="1"/>
    </row>
    <row r="57" spans="1:35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1.25" customHeight="1">
      <c r="A58" s="1"/>
      <c r="B58" s="1"/>
      <c r="C58" s="8" t="s">
        <v>1996</v>
      </c>
      <c r="D58" s="18"/>
      <c r="E58" s="1"/>
      <c r="F58" s="1"/>
      <c r="G58" s="1"/>
      <c r="H58" s="8" t="s">
        <v>1997</v>
      </c>
      <c r="I58" s="18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8" t="s">
        <v>7</v>
      </c>
      <c r="AA58" s="18"/>
      <c r="AB58" s="18"/>
      <c r="AC58" s="18"/>
      <c r="AD58" s="1"/>
      <c r="AE58" s="1"/>
      <c r="AF58" s="8" t="s">
        <v>842</v>
      </c>
      <c r="AG58" s="18"/>
      <c r="AH58" s="1"/>
      <c r="AI58" s="1"/>
    </row>
    <row r="59" spans="1:35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1.25" customHeight="1">
      <c r="A60" s="1"/>
      <c r="B60" s="1"/>
      <c r="C60" s="8" t="s">
        <v>1998</v>
      </c>
      <c r="D60" s="18"/>
      <c r="E60" s="1"/>
      <c r="F60" s="1"/>
      <c r="G60" s="1"/>
      <c r="H60" s="8" t="s">
        <v>1999</v>
      </c>
      <c r="I60" s="18"/>
      <c r="J60" s="18"/>
      <c r="K60" s="18"/>
      <c r="L60" s="18"/>
      <c r="M60" s="18"/>
      <c r="N60" s="1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8" t="s">
        <v>7</v>
      </c>
      <c r="AA60" s="18"/>
      <c r="AB60" s="18"/>
      <c r="AC60" s="18"/>
      <c r="AD60" s="1"/>
      <c r="AE60" s="1"/>
      <c r="AF60" s="1"/>
      <c r="AG60" s="5" t="s">
        <v>27</v>
      </c>
      <c r="AH60" s="1"/>
      <c r="AI60" s="1"/>
    </row>
    <row r="61" spans="1:35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1.25" customHeight="1">
      <c r="A62" s="1"/>
      <c r="B62" s="1"/>
      <c r="C62" s="8" t="s">
        <v>2000</v>
      </c>
      <c r="D62" s="18"/>
      <c r="E62" s="1"/>
      <c r="F62" s="1"/>
      <c r="G62" s="1"/>
      <c r="H62" s="8" t="s">
        <v>2001</v>
      </c>
      <c r="I62" s="18"/>
      <c r="J62" s="18"/>
      <c r="K62" s="18"/>
      <c r="L62" s="18"/>
      <c r="M62" s="18"/>
      <c r="N62" s="18"/>
      <c r="O62" s="18"/>
      <c r="P62" s="1"/>
      <c r="Q62" s="1"/>
      <c r="R62" s="1"/>
      <c r="S62" s="1"/>
      <c r="T62" s="1"/>
      <c r="U62" s="1"/>
      <c r="V62" s="1"/>
      <c r="W62" s="1"/>
      <c r="X62" s="1"/>
      <c r="Y62" s="1"/>
      <c r="Z62" s="8" t="s">
        <v>7</v>
      </c>
      <c r="AA62" s="18"/>
      <c r="AB62" s="18"/>
      <c r="AC62" s="18"/>
      <c r="AD62" s="1"/>
      <c r="AE62" s="1"/>
      <c r="AF62" s="1"/>
      <c r="AG62" s="5" t="s">
        <v>132</v>
      </c>
      <c r="AH62" s="1"/>
      <c r="AI62" s="1"/>
    </row>
    <row r="63" spans="1:35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1.25" customHeight="1">
      <c r="A64" s="1"/>
      <c r="B64" s="1"/>
      <c r="C64" s="8" t="s">
        <v>2002</v>
      </c>
      <c r="D64" s="18"/>
      <c r="E64" s="1"/>
      <c r="F64" s="1"/>
      <c r="G64" s="1"/>
      <c r="H64" s="8" t="s">
        <v>2003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"/>
      <c r="V64" s="1"/>
      <c r="W64" s="1"/>
      <c r="X64" s="1"/>
      <c r="Y64" s="1"/>
      <c r="Z64" s="1"/>
      <c r="AA64" s="1"/>
      <c r="AB64" s="8" t="s">
        <v>26</v>
      </c>
      <c r="AC64" s="18"/>
      <c r="AD64" s="1"/>
      <c r="AE64" s="1"/>
      <c r="AF64" s="1"/>
      <c r="AG64" s="5" t="s">
        <v>183</v>
      </c>
      <c r="AH64" s="1"/>
      <c r="AI64" s="1"/>
    </row>
    <row r="65" spans="1:35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1.25" customHeight="1">
      <c r="A66" s="1"/>
      <c r="B66" s="1"/>
      <c r="C66" s="8" t="s">
        <v>2004</v>
      </c>
      <c r="D66" s="18"/>
      <c r="E66" s="18"/>
      <c r="F66" s="1"/>
      <c r="G66" s="1"/>
      <c r="H66" s="8" t="s">
        <v>2005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"/>
      <c r="X66" s="1"/>
      <c r="Y66" s="1"/>
      <c r="Z66" s="8" t="s">
        <v>7</v>
      </c>
      <c r="AA66" s="18"/>
      <c r="AB66" s="18"/>
      <c r="AC66" s="18"/>
      <c r="AD66" s="1"/>
      <c r="AE66" s="1"/>
      <c r="AF66" s="8" t="s">
        <v>2006</v>
      </c>
      <c r="AG66" s="18"/>
      <c r="AH66" s="1"/>
      <c r="AI66" s="1"/>
    </row>
    <row r="67" spans="1:35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1.25" customHeight="1">
      <c r="A68" s="1"/>
      <c r="B68" s="1"/>
      <c r="C68" s="8" t="s">
        <v>2007</v>
      </c>
      <c r="D68" s="18"/>
      <c r="E68" s="18"/>
      <c r="F68" s="1"/>
      <c r="G68" s="1"/>
      <c r="H68" s="8" t="s">
        <v>2005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"/>
      <c r="X68" s="1"/>
      <c r="Y68" s="1"/>
      <c r="Z68" s="8" t="s">
        <v>7</v>
      </c>
      <c r="AA68" s="18"/>
      <c r="AB68" s="18"/>
      <c r="AC68" s="18"/>
      <c r="AD68" s="1"/>
      <c r="AE68" s="1"/>
      <c r="AF68" s="8" t="s">
        <v>2008</v>
      </c>
      <c r="AG68" s="18"/>
      <c r="AH68" s="1"/>
      <c r="AI68" s="1"/>
    </row>
    <row r="69" spans="1:35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1.25" customHeight="1">
      <c r="A70" s="1"/>
      <c r="B70" s="1"/>
      <c r="C70" s="8" t="s">
        <v>2009</v>
      </c>
      <c r="D70" s="18"/>
      <c r="E70" s="18"/>
      <c r="F70" s="1"/>
      <c r="G70" s="1"/>
      <c r="H70" s="8" t="s">
        <v>2010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"/>
      <c r="X70" s="1"/>
      <c r="Y70" s="1"/>
      <c r="Z70" s="8" t="s">
        <v>7</v>
      </c>
      <c r="AA70" s="18"/>
      <c r="AB70" s="18"/>
      <c r="AC70" s="18"/>
      <c r="AD70" s="1"/>
      <c r="AE70" s="1"/>
      <c r="AF70" s="8" t="s">
        <v>2011</v>
      </c>
      <c r="AG70" s="18"/>
      <c r="AH70" s="1"/>
      <c r="AI70" s="1"/>
    </row>
    <row r="71" spans="1:35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1.25" customHeight="1">
      <c r="A72" s="1"/>
      <c r="B72" s="1"/>
      <c r="C72" s="8" t="s">
        <v>2012</v>
      </c>
      <c r="D72" s="18"/>
      <c r="E72" s="18"/>
      <c r="F72" s="1"/>
      <c r="G72" s="1"/>
      <c r="H72" s="8" t="s">
        <v>2010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"/>
      <c r="X72" s="1"/>
      <c r="Y72" s="1"/>
      <c r="Z72" s="8" t="s">
        <v>7</v>
      </c>
      <c r="AA72" s="18"/>
      <c r="AB72" s="18"/>
      <c r="AC72" s="18"/>
      <c r="AD72" s="1"/>
      <c r="AE72" s="1"/>
      <c r="AF72" s="8" t="s">
        <v>2013</v>
      </c>
      <c r="AG72" s="18"/>
      <c r="AH72" s="1"/>
      <c r="AI72" s="1"/>
    </row>
    <row r="73" spans="1:35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1.25" customHeight="1">
      <c r="A74" s="1"/>
      <c r="B74" s="1"/>
      <c r="C74" s="8" t="s">
        <v>2014</v>
      </c>
      <c r="D74" s="18"/>
      <c r="E74" s="18"/>
      <c r="F74" s="1"/>
      <c r="G74" s="1"/>
      <c r="H74" s="8" t="s">
        <v>2015</v>
      </c>
      <c r="I74" s="18"/>
      <c r="J74" s="18"/>
      <c r="K74" s="18"/>
      <c r="L74" s="1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8" t="s">
        <v>7</v>
      </c>
      <c r="AA74" s="18"/>
      <c r="AB74" s="18"/>
      <c r="AC74" s="18"/>
      <c r="AD74" s="1"/>
      <c r="AE74" s="8" t="s">
        <v>2016</v>
      </c>
      <c r="AF74" s="18"/>
      <c r="AG74" s="18"/>
      <c r="AH74" s="1"/>
      <c r="AI74" s="1"/>
    </row>
    <row r="75" spans="1:35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1.25" customHeight="1">
      <c r="A76" s="1"/>
      <c r="B76" s="1"/>
      <c r="C76" s="8" t="s">
        <v>2017</v>
      </c>
      <c r="D76" s="18"/>
      <c r="E76" s="18"/>
      <c r="F76" s="1"/>
      <c r="G76" s="1"/>
      <c r="H76" s="8" t="s">
        <v>2015</v>
      </c>
      <c r="I76" s="18"/>
      <c r="J76" s="18"/>
      <c r="K76" s="18"/>
      <c r="L76" s="1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8" t="s">
        <v>7</v>
      </c>
      <c r="AA76" s="18"/>
      <c r="AB76" s="18"/>
      <c r="AC76" s="18"/>
      <c r="AD76" s="1"/>
      <c r="AE76" s="8" t="s">
        <v>2018</v>
      </c>
      <c r="AF76" s="18"/>
      <c r="AG76" s="18"/>
      <c r="AH76" s="1"/>
      <c r="AI76" s="1"/>
    </row>
    <row r="77" spans="1:35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1.25" customHeight="1">
      <c r="A78" s="1"/>
      <c r="B78" s="1"/>
      <c r="C78" s="8" t="s">
        <v>2019</v>
      </c>
      <c r="D78" s="18"/>
      <c r="E78" s="18"/>
      <c r="F78" s="1"/>
      <c r="G78" s="1"/>
      <c r="H78" s="8" t="s">
        <v>2020</v>
      </c>
      <c r="I78" s="1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8" t="s">
        <v>7</v>
      </c>
      <c r="AA78" s="18"/>
      <c r="AB78" s="18"/>
      <c r="AC78" s="18"/>
      <c r="AD78" s="1"/>
      <c r="AE78" s="1"/>
      <c r="AF78" s="8" t="s">
        <v>2021</v>
      </c>
      <c r="AG78" s="18"/>
      <c r="AH78" s="1"/>
      <c r="AI78" s="1"/>
    </row>
    <row r="79" spans="1:35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1.25" customHeight="1">
      <c r="A80" s="1"/>
      <c r="B80" s="1"/>
      <c r="C80" s="8" t="s">
        <v>2022</v>
      </c>
      <c r="D80" s="18"/>
      <c r="E80" s="18"/>
      <c r="F80" s="1"/>
      <c r="G80" s="1"/>
      <c r="H80" s="8" t="s">
        <v>2020</v>
      </c>
      <c r="I80" s="1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8" t="s">
        <v>7</v>
      </c>
      <c r="AA80" s="18"/>
      <c r="AB80" s="18"/>
      <c r="AC80" s="18"/>
      <c r="AD80" s="1"/>
      <c r="AE80" s="1"/>
      <c r="AF80" s="8" t="s">
        <v>2023</v>
      </c>
      <c r="AG80" s="18"/>
      <c r="AH80" s="1"/>
      <c r="AI80" s="1"/>
    </row>
    <row r="81" spans="1:35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1.25" customHeight="1">
      <c r="A82" s="1"/>
      <c r="B82" s="1"/>
      <c r="C82" s="8" t="s">
        <v>2024</v>
      </c>
      <c r="D82" s="18"/>
      <c r="E82" s="18"/>
      <c r="F82" s="1"/>
      <c r="G82" s="1"/>
      <c r="H82" s="8" t="s">
        <v>2025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"/>
      <c r="Z82" s="8" t="s">
        <v>1913</v>
      </c>
      <c r="AA82" s="18"/>
      <c r="AB82" s="18"/>
      <c r="AC82" s="18"/>
      <c r="AD82" s="1"/>
      <c r="AE82" s="1"/>
      <c r="AF82" s="8" t="s">
        <v>2023</v>
      </c>
      <c r="AG82" s="18"/>
      <c r="AH82" s="1"/>
      <c r="AI82" s="1"/>
    </row>
    <row r="83" spans="1:35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1.25" customHeight="1">
      <c r="A84" s="1"/>
      <c r="B84" s="1"/>
      <c r="C84" s="8" t="s">
        <v>2026</v>
      </c>
      <c r="D84" s="18"/>
      <c r="E84" s="18"/>
      <c r="F84" s="1"/>
      <c r="G84" s="1"/>
      <c r="H84" s="8" t="s">
        <v>2027</v>
      </c>
      <c r="I84" s="18"/>
      <c r="J84" s="18"/>
      <c r="K84" s="1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8" t="s">
        <v>7</v>
      </c>
      <c r="AA84" s="18"/>
      <c r="AB84" s="18"/>
      <c r="AC84" s="18"/>
      <c r="AD84" s="1"/>
      <c r="AE84" s="1"/>
      <c r="AF84" s="8" t="s">
        <v>2028</v>
      </c>
      <c r="AG84" s="18"/>
      <c r="AH84" s="1"/>
      <c r="AI84" s="1"/>
    </row>
    <row r="85" spans="1:35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1.25" customHeight="1">
      <c r="A86" s="1"/>
      <c r="B86" s="1"/>
      <c r="C86" s="8" t="s">
        <v>2029</v>
      </c>
      <c r="D86" s="18"/>
      <c r="E86" s="18"/>
      <c r="F86" s="1"/>
      <c r="G86" s="1"/>
      <c r="H86" s="8" t="s">
        <v>2027</v>
      </c>
      <c r="I86" s="18"/>
      <c r="J86" s="18"/>
      <c r="K86" s="1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8" t="s">
        <v>7</v>
      </c>
      <c r="AA86" s="18"/>
      <c r="AB86" s="18"/>
      <c r="AC86" s="18"/>
      <c r="AD86" s="1"/>
      <c r="AE86" s="1"/>
      <c r="AF86" s="8" t="s">
        <v>2030</v>
      </c>
      <c r="AG86" s="18"/>
      <c r="AH86" s="1"/>
      <c r="AI86" s="1"/>
    </row>
    <row r="87" spans="1:35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1.25" customHeight="1">
      <c r="A88" s="1"/>
      <c r="B88" s="1"/>
      <c r="C88" s="8" t="s">
        <v>2031</v>
      </c>
      <c r="D88" s="18"/>
      <c r="E88" s="18"/>
      <c r="F88" s="1"/>
      <c r="G88" s="1"/>
      <c r="H88" s="8" t="s">
        <v>2032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"/>
      <c r="T88" s="1"/>
      <c r="U88" s="1"/>
      <c r="V88" s="1"/>
      <c r="W88" s="1"/>
      <c r="X88" s="1"/>
      <c r="Y88" s="1"/>
      <c r="Z88" s="8" t="s">
        <v>7</v>
      </c>
      <c r="AA88" s="18"/>
      <c r="AB88" s="18"/>
      <c r="AC88" s="18"/>
      <c r="AD88" s="1"/>
      <c r="AE88" s="1"/>
      <c r="AF88" s="8" t="s">
        <v>2033</v>
      </c>
      <c r="AG88" s="18"/>
      <c r="AH88" s="1"/>
      <c r="AI88" s="1"/>
    </row>
    <row r="89" spans="1:35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1.25" customHeight="1">
      <c r="A90" s="1"/>
      <c r="B90" s="1"/>
      <c r="C90" s="8" t="s">
        <v>2034</v>
      </c>
      <c r="D90" s="18"/>
      <c r="E90" s="18"/>
      <c r="F90" s="1"/>
      <c r="G90" s="1"/>
      <c r="H90" s="8" t="s">
        <v>2032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"/>
      <c r="T90" s="1"/>
      <c r="U90" s="1"/>
      <c r="V90" s="1"/>
      <c r="W90" s="1"/>
      <c r="X90" s="1"/>
      <c r="Y90" s="1"/>
      <c r="Z90" s="8" t="s">
        <v>7</v>
      </c>
      <c r="AA90" s="18"/>
      <c r="AB90" s="18"/>
      <c r="AC90" s="18"/>
      <c r="AD90" s="1"/>
      <c r="AE90" s="1"/>
      <c r="AF90" s="8" t="s">
        <v>2033</v>
      </c>
      <c r="AG90" s="18"/>
      <c r="AH90" s="1"/>
      <c r="AI90" s="1"/>
    </row>
    <row r="91" spans="1:35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1.25" customHeight="1">
      <c r="A92" s="1"/>
      <c r="B92" s="1"/>
      <c r="C92" s="8" t="s">
        <v>2035</v>
      </c>
      <c r="D92" s="18"/>
      <c r="E92" s="1"/>
      <c r="F92" s="1"/>
      <c r="G92" s="1"/>
      <c r="H92" s="8" t="s">
        <v>2036</v>
      </c>
      <c r="I92" s="18"/>
      <c r="J92" s="18"/>
      <c r="K92" s="18"/>
      <c r="L92" s="18"/>
      <c r="M92" s="1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8" t="s">
        <v>7</v>
      </c>
      <c r="AA92" s="18"/>
      <c r="AB92" s="18"/>
      <c r="AC92" s="18"/>
      <c r="AD92" s="1"/>
      <c r="AE92" s="1"/>
      <c r="AF92" s="8" t="s">
        <v>2037</v>
      </c>
      <c r="AG92" s="18"/>
      <c r="AH92" s="1"/>
      <c r="AI92" s="1"/>
    </row>
    <row r="93" spans="1:35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1.25" customHeight="1">
      <c r="A94" s="1"/>
      <c r="B94" s="1"/>
      <c r="C94" s="8" t="s">
        <v>2038</v>
      </c>
      <c r="D94" s="18"/>
      <c r="E94" s="1"/>
      <c r="F94" s="1"/>
      <c r="G94" s="1"/>
      <c r="H94" s="8" t="s">
        <v>2039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"/>
      <c r="Y94" s="1"/>
      <c r="Z94" s="8" t="s">
        <v>7</v>
      </c>
      <c r="AA94" s="18"/>
      <c r="AB94" s="18"/>
      <c r="AC94" s="18"/>
      <c r="AD94" s="1"/>
      <c r="AE94" s="1"/>
      <c r="AF94" s="8" t="s">
        <v>2040</v>
      </c>
      <c r="AG94" s="18"/>
      <c r="AH94" s="1"/>
      <c r="AI94" s="1"/>
    </row>
    <row r="95" spans="1:35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1.25" customHeight="1">
      <c r="A96" s="1"/>
      <c r="B96" s="1"/>
      <c r="C96" s="8" t="s">
        <v>2041</v>
      </c>
      <c r="D96" s="18"/>
      <c r="E96" s="1"/>
      <c r="F96" s="1"/>
      <c r="G96" s="1"/>
      <c r="H96" s="8" t="s">
        <v>2042</v>
      </c>
      <c r="I96" s="18"/>
      <c r="J96" s="18"/>
      <c r="K96" s="18"/>
      <c r="L96" s="18"/>
      <c r="M96" s="18"/>
      <c r="N96" s="18"/>
      <c r="O96" s="18"/>
      <c r="P96" s="18"/>
      <c r="Q96" s="1"/>
      <c r="R96" s="1"/>
      <c r="S96" s="1"/>
      <c r="T96" s="1"/>
      <c r="U96" s="1"/>
      <c r="V96" s="1"/>
      <c r="W96" s="1"/>
      <c r="X96" s="1"/>
      <c r="Y96" s="1"/>
      <c r="Z96" s="8" t="s">
        <v>7</v>
      </c>
      <c r="AA96" s="18"/>
      <c r="AB96" s="18"/>
      <c r="AC96" s="18"/>
      <c r="AD96" s="1"/>
      <c r="AE96" s="1"/>
      <c r="AF96" s="8" t="s">
        <v>744</v>
      </c>
      <c r="AG96" s="18"/>
      <c r="AH96" s="1"/>
      <c r="AI96" s="1"/>
    </row>
    <row r="97" spans="1:35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1.25" customHeight="1">
      <c r="A98" s="1"/>
      <c r="B98" s="1"/>
      <c r="C98" s="8" t="s">
        <v>2043</v>
      </c>
      <c r="D98" s="18"/>
      <c r="E98" s="1"/>
      <c r="F98" s="1"/>
      <c r="G98" s="1"/>
      <c r="H98" s="8" t="s">
        <v>2044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"/>
      <c r="X98" s="1"/>
      <c r="Y98" s="1"/>
      <c r="Z98" s="8" t="s">
        <v>7</v>
      </c>
      <c r="AA98" s="18"/>
      <c r="AB98" s="18"/>
      <c r="AC98" s="18"/>
      <c r="AD98" s="1"/>
      <c r="AE98" s="1"/>
      <c r="AF98" s="8" t="s">
        <v>2045</v>
      </c>
      <c r="AG98" s="18"/>
      <c r="AH98" s="1"/>
      <c r="AI98" s="1"/>
    </row>
    <row r="99" spans="1:35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1.25" customHeight="1">
      <c r="A100" s="1"/>
      <c r="B100" s="1"/>
      <c r="C100" s="8" t="s">
        <v>2046</v>
      </c>
      <c r="D100" s="18"/>
      <c r="E100" s="1"/>
      <c r="F100" s="1"/>
      <c r="G100" s="1"/>
      <c r="H100" s="8" t="s">
        <v>2047</v>
      </c>
      <c r="I100" s="18"/>
      <c r="J100" s="18"/>
      <c r="K100" s="1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8" t="s">
        <v>7</v>
      </c>
      <c r="AA100" s="18"/>
      <c r="AB100" s="18"/>
      <c r="AC100" s="18"/>
      <c r="AD100" s="1"/>
      <c r="AE100" s="1"/>
      <c r="AF100" s="8" t="s">
        <v>518</v>
      </c>
      <c r="AG100" s="18"/>
      <c r="AH100" s="1"/>
      <c r="AI100" s="1"/>
    </row>
    <row r="101" spans="1:35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0.15" customHeight="1">
      <c r="A102" s="1"/>
      <c r="B102" s="1"/>
      <c r="C102" s="1"/>
      <c r="D102" s="1"/>
      <c r="E102" s="1"/>
      <c r="F102" s="1"/>
      <c r="G102" s="1"/>
      <c r="H102" s="1"/>
      <c r="I102" s="8" t="s">
        <v>133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8" t="s">
        <v>135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"/>
      <c r="X104" s="1"/>
      <c r="Y104" s="1"/>
      <c r="Z104" s="1"/>
      <c r="AA104" s="1"/>
      <c r="AB104" s="1"/>
      <c r="AC104" s="1"/>
      <c r="AD104" s="1"/>
      <c r="AE104" s="8" t="s">
        <v>2048</v>
      </c>
      <c r="AF104" s="18"/>
      <c r="AG104" s="18"/>
      <c r="AH104" s="18"/>
      <c r="AI104" s="1"/>
    </row>
    <row r="105" spans="1:35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</sheetData>
  <mergeCells count="187">
    <mergeCell ref="B2:F4"/>
    <mergeCell ref="G2:Z4"/>
    <mergeCell ref="AA2:AB4"/>
    <mergeCell ref="AE3:AH3"/>
    <mergeCell ref="AF6:AG6"/>
    <mergeCell ref="C8:E8"/>
    <mergeCell ref="H8:K8"/>
    <mergeCell ref="Z8:AC8"/>
    <mergeCell ref="AF8:AG8"/>
    <mergeCell ref="Z6:AC6"/>
    <mergeCell ref="C10:E10"/>
    <mergeCell ref="H10:K10"/>
    <mergeCell ref="Z10:AC10"/>
    <mergeCell ref="AF10:AG10"/>
    <mergeCell ref="C12:E12"/>
    <mergeCell ref="H12:Q12"/>
    <mergeCell ref="Z12:AC12"/>
    <mergeCell ref="AF12:AG12"/>
    <mergeCell ref="C14:E14"/>
    <mergeCell ref="H14:S14"/>
    <mergeCell ref="Z14:AC14"/>
    <mergeCell ref="AF14:AG14"/>
    <mergeCell ref="C16:D16"/>
    <mergeCell ref="H16:J16"/>
    <mergeCell ref="Z16:AC16"/>
    <mergeCell ref="AF16:AG16"/>
    <mergeCell ref="C18:D18"/>
    <mergeCell ref="H18:O18"/>
    <mergeCell ref="Z18:AC18"/>
    <mergeCell ref="AF18:AG18"/>
    <mergeCell ref="C20:D20"/>
    <mergeCell ref="H20:T20"/>
    <mergeCell ref="AB20:AC20"/>
    <mergeCell ref="AF20:AG20"/>
    <mergeCell ref="C22:E22"/>
    <mergeCell ref="H22:O22"/>
    <mergeCell ref="Z22:AC22"/>
    <mergeCell ref="AE22:AG22"/>
    <mergeCell ref="C24:E24"/>
    <mergeCell ref="H24:S24"/>
    <mergeCell ref="Z24:AC24"/>
    <mergeCell ref="AE24:AG24"/>
    <mergeCell ref="C26:E26"/>
    <mergeCell ref="H26:L26"/>
    <mergeCell ref="Z26:AC26"/>
    <mergeCell ref="AE26:AG26"/>
    <mergeCell ref="C28:D28"/>
    <mergeCell ref="H28:N28"/>
    <mergeCell ref="Z28:AC28"/>
    <mergeCell ref="AF28:AG28"/>
    <mergeCell ref="C30:D30"/>
    <mergeCell ref="H30:O30"/>
    <mergeCell ref="Z30:AC30"/>
    <mergeCell ref="AF30:AG30"/>
    <mergeCell ref="C32:D32"/>
    <mergeCell ref="H32:K32"/>
    <mergeCell ref="Z32:AC32"/>
    <mergeCell ref="AF32:AG32"/>
    <mergeCell ref="C34:D34"/>
    <mergeCell ref="H34:L34"/>
    <mergeCell ref="Z34:AC34"/>
    <mergeCell ref="AF34:AG34"/>
    <mergeCell ref="C36:D36"/>
    <mergeCell ref="H36:L36"/>
    <mergeCell ref="Z36:AC36"/>
    <mergeCell ref="AF36:AG36"/>
    <mergeCell ref="C38:D38"/>
    <mergeCell ref="H38:J38"/>
    <mergeCell ref="Z38:AC38"/>
    <mergeCell ref="C40:D40"/>
    <mergeCell ref="H40:K40"/>
    <mergeCell ref="Z40:AC40"/>
    <mergeCell ref="C42:D42"/>
    <mergeCell ref="H42:I42"/>
    <mergeCell ref="Z42:AC42"/>
    <mergeCell ref="C44:D44"/>
    <mergeCell ref="H44:R44"/>
    <mergeCell ref="Z44:AC44"/>
    <mergeCell ref="C46:D46"/>
    <mergeCell ref="H46:O46"/>
    <mergeCell ref="Z46:AC46"/>
    <mergeCell ref="C48:D48"/>
    <mergeCell ref="H48:R48"/>
    <mergeCell ref="Z48:AC48"/>
    <mergeCell ref="AF48:AG48"/>
    <mergeCell ref="C50:D50"/>
    <mergeCell ref="H50:X50"/>
    <mergeCell ref="Z50:AC50"/>
    <mergeCell ref="AE50:AG50"/>
    <mergeCell ref="C52:D52"/>
    <mergeCell ref="H52:U52"/>
    <mergeCell ref="Z52:AC52"/>
    <mergeCell ref="AF52:AG52"/>
    <mergeCell ref="C54:D54"/>
    <mergeCell ref="H54:T54"/>
    <mergeCell ref="Z54:AC54"/>
    <mergeCell ref="C56:D56"/>
    <mergeCell ref="H56:T56"/>
    <mergeCell ref="Z56:AC56"/>
    <mergeCell ref="C58:D58"/>
    <mergeCell ref="H58:J58"/>
    <mergeCell ref="Z58:AC58"/>
    <mergeCell ref="AF58:AG58"/>
    <mergeCell ref="C60:D60"/>
    <mergeCell ref="H60:N60"/>
    <mergeCell ref="Z60:AC60"/>
    <mergeCell ref="C62:D62"/>
    <mergeCell ref="H62:O62"/>
    <mergeCell ref="Z62:AC62"/>
    <mergeCell ref="C64:D64"/>
    <mergeCell ref="H64:T64"/>
    <mergeCell ref="AB64:AC64"/>
    <mergeCell ref="C66:E66"/>
    <mergeCell ref="H66:V66"/>
    <mergeCell ref="Z66:AC66"/>
    <mergeCell ref="AF66:AG66"/>
    <mergeCell ref="C68:E68"/>
    <mergeCell ref="H68:V68"/>
    <mergeCell ref="Z68:AC68"/>
    <mergeCell ref="AF68:AG68"/>
    <mergeCell ref="C70:E70"/>
    <mergeCell ref="H70:V70"/>
    <mergeCell ref="Z70:AC70"/>
    <mergeCell ref="AF70:AG70"/>
    <mergeCell ref="C72:E72"/>
    <mergeCell ref="H72:V72"/>
    <mergeCell ref="Z72:AC72"/>
    <mergeCell ref="AF72:AG72"/>
    <mergeCell ref="C74:E74"/>
    <mergeCell ref="H74:L74"/>
    <mergeCell ref="Z74:AC74"/>
    <mergeCell ref="AE74:AG74"/>
    <mergeCell ref="C76:E76"/>
    <mergeCell ref="H76:L76"/>
    <mergeCell ref="Z76:AC76"/>
    <mergeCell ref="AE76:AG76"/>
    <mergeCell ref="C78:E78"/>
    <mergeCell ref="H78:I78"/>
    <mergeCell ref="Z78:AC78"/>
    <mergeCell ref="AF78:AG78"/>
    <mergeCell ref="C80:E80"/>
    <mergeCell ref="H80:I80"/>
    <mergeCell ref="Z80:AC80"/>
    <mergeCell ref="AF80:AG80"/>
    <mergeCell ref="C82:E82"/>
    <mergeCell ref="H82:X82"/>
    <mergeCell ref="Z82:AC82"/>
    <mergeCell ref="AF82:AG82"/>
    <mergeCell ref="C84:E84"/>
    <mergeCell ref="H84:K84"/>
    <mergeCell ref="Z84:AC84"/>
    <mergeCell ref="AF84:AG84"/>
    <mergeCell ref="C86:E86"/>
    <mergeCell ref="H86:K86"/>
    <mergeCell ref="Z86:AC86"/>
    <mergeCell ref="AF86:AG86"/>
    <mergeCell ref="C88:E88"/>
    <mergeCell ref="H88:R88"/>
    <mergeCell ref="Z88:AC88"/>
    <mergeCell ref="AF88:AG88"/>
    <mergeCell ref="C90:E90"/>
    <mergeCell ref="H90:R90"/>
    <mergeCell ref="Z90:AC90"/>
    <mergeCell ref="AF90:AG90"/>
    <mergeCell ref="C92:D92"/>
    <mergeCell ref="H92:M92"/>
    <mergeCell ref="Z92:AC92"/>
    <mergeCell ref="AF92:AG92"/>
    <mergeCell ref="C100:D100"/>
    <mergeCell ref="H100:K100"/>
    <mergeCell ref="Z100:AC100"/>
    <mergeCell ref="AF100:AG100"/>
    <mergeCell ref="I102:X102"/>
    <mergeCell ref="J104:V104"/>
    <mergeCell ref="AE104:AH104"/>
    <mergeCell ref="C94:D94"/>
    <mergeCell ref="H94:W94"/>
    <mergeCell ref="Z94:AC94"/>
    <mergeCell ref="AF94:AG94"/>
    <mergeCell ref="C96:D96"/>
    <mergeCell ref="H96:P96"/>
    <mergeCell ref="Z96:AC96"/>
    <mergeCell ref="AF96:AG96"/>
    <mergeCell ref="C98:D98"/>
    <mergeCell ref="H98:V98"/>
    <mergeCell ref="Z98:AC98"/>
    <mergeCell ref="AF98:AG9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105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1.7109375" customWidth="1"/>
    <col min="5" max="5" width="1.42578125" customWidth="1"/>
    <col min="6" max="6" width="3.42578125" customWidth="1"/>
    <col min="7" max="8" width="1.7109375" customWidth="1"/>
    <col min="9" max="9" width="14.28515625" customWidth="1"/>
    <col min="10" max="10" width="0.140625" customWidth="1"/>
    <col min="11" max="11" width="3.7109375" customWidth="1"/>
    <col min="12" max="12" width="6.140625" customWidth="1"/>
    <col min="13" max="13" width="6" customWidth="1"/>
    <col min="14" max="14" width="7.140625" customWidth="1"/>
    <col min="15" max="16" width="5" customWidth="1"/>
    <col min="17" max="17" width="2" customWidth="1"/>
    <col min="18" max="18" width="3.7109375" customWidth="1"/>
    <col min="19" max="21" width="1.7109375" customWidth="1"/>
    <col min="22" max="22" width="3.42578125" customWidth="1"/>
    <col min="23" max="23" width="2.5703125" customWidth="1"/>
    <col min="24" max="24" width="2.42578125" customWidth="1"/>
    <col min="25" max="25" width="2.28515625" customWidth="1"/>
    <col min="26" max="26" width="4.140625" customWidth="1"/>
    <col min="27" max="27" width="3.28515625" customWidth="1"/>
    <col min="28" max="28" width="11.7109375" customWidth="1"/>
    <col min="29" max="29" width="0.28515625" customWidth="1"/>
    <col min="30" max="30" width="1.140625" customWidth="1"/>
    <col min="31" max="31" width="2" customWidth="1"/>
    <col min="32" max="32" width="2.85546875" customWidth="1"/>
    <col min="33" max="33" width="0.42578125" customWidth="1"/>
    <col min="34" max="34" width="4.42578125" customWidth="1"/>
    <col min="35" max="35" width="3" customWidth="1"/>
    <col min="36" max="36" width="7.28515625" customWidth="1"/>
    <col min="37" max="37" width="1" customWidth="1"/>
    <col min="38" max="38" width="3.85546875" customWidth="1"/>
  </cols>
  <sheetData>
    <row r="1" spans="1:38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  <c r="AH1" s="1"/>
      <c r="AI1" s="1"/>
      <c r="AJ1" s="1"/>
      <c r="AK1" s="1"/>
      <c r="AL1" s="1"/>
    </row>
    <row r="2" spans="1:38" ht="1.7" customHeight="1">
      <c r="A2" s="3"/>
      <c r="B2" s="19" t="s">
        <v>0</v>
      </c>
      <c r="C2" s="10"/>
      <c r="D2" s="10"/>
      <c r="E2" s="10"/>
      <c r="F2" s="10"/>
      <c r="G2" s="10"/>
      <c r="H2" s="10"/>
      <c r="I2" s="11"/>
      <c r="J2" s="19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  <c r="AD2" s="19" t="s">
        <v>2</v>
      </c>
      <c r="AE2" s="10"/>
      <c r="AF2" s="11"/>
      <c r="AG2" s="4"/>
      <c r="AH2" s="1"/>
      <c r="AI2" s="1"/>
      <c r="AJ2" s="1"/>
      <c r="AK2" s="1"/>
      <c r="AL2" s="1"/>
    </row>
    <row r="3" spans="1:38" ht="11.25" customHeight="1">
      <c r="A3" s="3"/>
      <c r="B3" s="12"/>
      <c r="C3" s="13"/>
      <c r="D3" s="13"/>
      <c r="E3" s="13"/>
      <c r="F3" s="13"/>
      <c r="G3" s="13"/>
      <c r="H3" s="13"/>
      <c r="I3" s="14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  <c r="AD3" s="12"/>
      <c r="AE3" s="13"/>
      <c r="AF3" s="14"/>
      <c r="AG3" s="4"/>
      <c r="AH3" s="1"/>
      <c r="AI3" s="8" t="s">
        <v>3</v>
      </c>
      <c r="AJ3" s="18"/>
      <c r="AK3" s="18"/>
      <c r="AL3" s="1"/>
    </row>
    <row r="4" spans="1:38" ht="5.0999999999999996" customHeight="1">
      <c r="A4" s="3"/>
      <c r="B4" s="15"/>
      <c r="C4" s="16"/>
      <c r="D4" s="16"/>
      <c r="E4" s="16"/>
      <c r="F4" s="16"/>
      <c r="G4" s="16"/>
      <c r="H4" s="16"/>
      <c r="I4" s="17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/>
      <c r="AD4" s="15"/>
      <c r="AE4" s="16"/>
      <c r="AF4" s="17"/>
      <c r="AG4" s="4"/>
      <c r="AH4" s="1"/>
      <c r="AI4" s="1"/>
      <c r="AJ4" s="1"/>
      <c r="AK4" s="1"/>
      <c r="AL4" s="1"/>
    </row>
    <row r="5" spans="1:38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"/>
      <c r="AH5" s="1"/>
      <c r="AI5" s="1"/>
      <c r="AJ5" s="1"/>
      <c r="AK5" s="1"/>
      <c r="AL5" s="1"/>
    </row>
    <row r="6" spans="1:38" ht="11.25" customHeight="1">
      <c r="A6" s="1"/>
      <c r="B6" s="1"/>
      <c r="C6" s="1" t="s">
        <v>2244</v>
      </c>
      <c r="D6" s="1"/>
      <c r="E6" s="1"/>
      <c r="F6" s="1"/>
      <c r="G6" s="1"/>
      <c r="H6" s="1"/>
      <c r="I6" s="1"/>
      <c r="J6" s="1"/>
      <c r="K6" s="1" t="s">
        <v>2245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8" t="s">
        <v>7</v>
      </c>
      <c r="AD6" s="18"/>
      <c r="AE6" s="18"/>
      <c r="AF6" s="18"/>
      <c r="AG6" s="18"/>
      <c r="AH6" s="1"/>
      <c r="AI6" s="1"/>
      <c r="AJ6" s="5" t="s">
        <v>991</v>
      </c>
      <c r="AK6" s="1"/>
      <c r="AL6" s="1"/>
    </row>
    <row r="7" spans="1:38" ht="5.4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1.25" customHeight="1">
      <c r="A8" s="1"/>
      <c r="B8" s="1"/>
      <c r="C8" s="8" t="s">
        <v>2049</v>
      </c>
      <c r="D8" s="18"/>
      <c r="E8" s="18"/>
      <c r="F8" s="1"/>
      <c r="G8" s="1"/>
      <c r="H8" s="1"/>
      <c r="I8" s="1"/>
      <c r="J8" s="1"/>
      <c r="K8" s="8" t="s">
        <v>2050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"/>
      <c r="W8" s="1"/>
      <c r="X8" s="1"/>
      <c r="Y8" s="1"/>
      <c r="Z8" s="1"/>
      <c r="AA8" s="1"/>
      <c r="AB8" s="1"/>
      <c r="AC8" s="1"/>
      <c r="AD8" s="1"/>
      <c r="AE8" s="8" t="s">
        <v>1542</v>
      </c>
      <c r="AF8" s="18"/>
      <c r="AG8" s="18"/>
      <c r="AH8" s="1"/>
      <c r="AI8" s="1"/>
      <c r="AJ8" s="5" t="s">
        <v>453</v>
      </c>
      <c r="AK8" s="1"/>
      <c r="AL8" s="1"/>
    </row>
    <row r="9" spans="1:38" ht="5.4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1.25" customHeight="1">
      <c r="A10" s="1"/>
      <c r="B10" s="1"/>
      <c r="C10" s="8" t="s">
        <v>2051</v>
      </c>
      <c r="D10" s="18"/>
      <c r="E10" s="18"/>
      <c r="F10" s="1"/>
      <c r="G10" s="1"/>
      <c r="H10" s="1"/>
      <c r="I10" s="1"/>
      <c r="J10" s="1"/>
      <c r="K10" s="8" t="s">
        <v>2052</v>
      </c>
      <c r="L10" s="18"/>
      <c r="M10" s="18"/>
      <c r="N10" s="18"/>
      <c r="O10" s="18"/>
      <c r="P10" s="18"/>
      <c r="Q10" s="18"/>
      <c r="R10" s="18"/>
      <c r="S10" s="18"/>
      <c r="T10" s="1"/>
      <c r="U10" s="1"/>
      <c r="V10" s="1"/>
      <c r="W10" s="1"/>
      <c r="X10" s="1"/>
      <c r="Y10" s="1"/>
      <c r="Z10" s="1"/>
      <c r="AA10" s="1"/>
      <c r="AB10" s="1"/>
      <c r="AC10" s="8" t="s">
        <v>7</v>
      </c>
      <c r="AD10" s="18"/>
      <c r="AE10" s="18"/>
      <c r="AF10" s="18"/>
      <c r="AG10" s="18"/>
      <c r="AH10" s="1"/>
      <c r="AI10" s="1"/>
      <c r="AJ10" s="5" t="s">
        <v>137</v>
      </c>
      <c r="AK10" s="1"/>
      <c r="AL10" s="1"/>
    </row>
    <row r="11" spans="1:38" ht="5.4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1.25" customHeight="1">
      <c r="A12" s="1"/>
      <c r="B12" s="1"/>
      <c r="C12" s="8" t="s">
        <v>2053</v>
      </c>
      <c r="D12" s="18"/>
      <c r="E12" s="18"/>
      <c r="F12" s="1"/>
      <c r="G12" s="1"/>
      <c r="H12" s="1"/>
      <c r="I12" s="1"/>
      <c r="J12" s="1"/>
      <c r="K12" s="8" t="s">
        <v>2054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"/>
      <c r="Y12" s="1"/>
      <c r="Z12" s="1"/>
      <c r="AA12" s="1"/>
      <c r="AB12" s="1"/>
      <c r="AC12" s="8" t="s">
        <v>7</v>
      </c>
      <c r="AD12" s="18"/>
      <c r="AE12" s="18"/>
      <c r="AF12" s="18"/>
      <c r="AG12" s="18"/>
      <c r="AH12" s="1"/>
      <c r="AI12" s="1"/>
      <c r="AJ12" s="5" t="s">
        <v>27</v>
      </c>
      <c r="AK12" s="1"/>
      <c r="AL12" s="1"/>
    </row>
    <row r="13" spans="1:38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1.25" customHeight="1">
      <c r="A14" s="1"/>
      <c r="B14" s="1"/>
      <c r="C14" s="8" t="s">
        <v>2055</v>
      </c>
      <c r="D14" s="18"/>
      <c r="E14" s="18"/>
      <c r="F14" s="1"/>
      <c r="G14" s="1"/>
      <c r="H14" s="1"/>
      <c r="I14" s="1"/>
      <c r="J14" s="1"/>
      <c r="K14" s="8" t="s">
        <v>2056</v>
      </c>
      <c r="L14" s="18"/>
      <c r="M14" s="18"/>
      <c r="N14" s="18"/>
      <c r="O14" s="18"/>
      <c r="P14" s="18"/>
      <c r="Q14" s="18"/>
      <c r="R14" s="18"/>
      <c r="S14" s="18"/>
      <c r="T14" s="18"/>
      <c r="U14" s="1"/>
      <c r="V14" s="1"/>
      <c r="W14" s="1"/>
      <c r="X14" s="1"/>
      <c r="Y14" s="1"/>
      <c r="Z14" s="1"/>
      <c r="AA14" s="1"/>
      <c r="AB14" s="1"/>
      <c r="AC14" s="8" t="s">
        <v>7</v>
      </c>
      <c r="AD14" s="18"/>
      <c r="AE14" s="18"/>
      <c r="AF14" s="18"/>
      <c r="AG14" s="18"/>
      <c r="AH14" s="1"/>
      <c r="AI14" s="1"/>
      <c r="AJ14" s="5" t="s">
        <v>137</v>
      </c>
      <c r="AK14" s="1"/>
      <c r="AL14" s="1"/>
    </row>
    <row r="15" spans="1:38" ht="5.4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1.25" customHeight="1">
      <c r="A16" s="1"/>
      <c r="B16" s="1"/>
      <c r="C16" s="8" t="s">
        <v>2057</v>
      </c>
      <c r="D16" s="18"/>
      <c r="E16" s="18"/>
      <c r="F16" s="1"/>
      <c r="G16" s="1"/>
      <c r="H16" s="1"/>
      <c r="I16" s="1"/>
      <c r="J16" s="1"/>
      <c r="K16" s="8" t="s">
        <v>2058</v>
      </c>
      <c r="L16" s="18"/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8" t="s">
        <v>7</v>
      </c>
      <c r="AD16" s="18"/>
      <c r="AE16" s="18"/>
      <c r="AF16" s="18"/>
      <c r="AG16" s="18"/>
      <c r="AH16" s="1"/>
      <c r="AI16" s="1"/>
      <c r="AJ16" s="5" t="s">
        <v>30</v>
      </c>
      <c r="AK16" s="1"/>
      <c r="AL16" s="1"/>
    </row>
    <row r="17" spans="1:38" ht="5.4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1.25" customHeight="1">
      <c r="A18" s="1"/>
      <c r="B18" s="1"/>
      <c r="C18" s="8" t="s">
        <v>2059</v>
      </c>
      <c r="D18" s="18"/>
      <c r="E18" s="18"/>
      <c r="F18" s="1"/>
      <c r="G18" s="1"/>
      <c r="H18" s="1"/>
      <c r="I18" s="1"/>
      <c r="J18" s="1"/>
      <c r="K18" s="8" t="s">
        <v>2060</v>
      </c>
      <c r="L18" s="18"/>
      <c r="M18" s="18"/>
      <c r="N18" s="18"/>
      <c r="O18" s="18"/>
      <c r="P18" s="1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8" t="s">
        <v>7</v>
      </c>
      <c r="AD18" s="18"/>
      <c r="AE18" s="18"/>
      <c r="AF18" s="18"/>
      <c r="AG18" s="18"/>
      <c r="AH18" s="1"/>
      <c r="AI18" s="1"/>
      <c r="AJ18" s="5" t="s">
        <v>183</v>
      </c>
      <c r="AK18" s="1"/>
      <c r="AL18" s="1"/>
    </row>
    <row r="19" spans="1:38" ht="5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1.25" customHeight="1">
      <c r="A20" s="1"/>
      <c r="B20" s="1"/>
      <c r="C20" s="8" t="s">
        <v>2061</v>
      </c>
      <c r="D20" s="18"/>
      <c r="E20" s="18"/>
      <c r="F20" s="1"/>
      <c r="G20" s="1"/>
      <c r="H20" s="1"/>
      <c r="I20" s="1"/>
      <c r="J20" s="1"/>
      <c r="K20" s="8" t="s">
        <v>2062</v>
      </c>
      <c r="L20" s="18"/>
      <c r="M20" s="18"/>
      <c r="N20" s="18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8" t="s">
        <v>7</v>
      </c>
      <c r="AD20" s="18"/>
      <c r="AE20" s="18"/>
      <c r="AF20" s="18"/>
      <c r="AG20" s="18"/>
      <c r="AH20" s="1"/>
      <c r="AI20" s="1"/>
      <c r="AJ20" s="5" t="s">
        <v>183</v>
      </c>
      <c r="AK20" s="1"/>
      <c r="AL20" s="1"/>
    </row>
    <row r="21" spans="1:38" ht="5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1.25" customHeight="1">
      <c r="A22" s="1"/>
      <c r="B22" s="1"/>
      <c r="C22" s="8" t="s">
        <v>2063</v>
      </c>
      <c r="D22" s="18"/>
      <c r="E22" s="18"/>
      <c r="F22" s="1"/>
      <c r="G22" s="1"/>
      <c r="H22" s="1"/>
      <c r="I22" s="1"/>
      <c r="J22" s="1"/>
      <c r="K22" s="8" t="s">
        <v>2064</v>
      </c>
      <c r="L22" s="18"/>
      <c r="M22" s="18"/>
      <c r="N22" s="18"/>
      <c r="O22" s="18"/>
      <c r="P22" s="18"/>
      <c r="Q22" s="18"/>
      <c r="R22" s="18"/>
      <c r="S22" s="18"/>
      <c r="T22" s="1"/>
      <c r="U22" s="1"/>
      <c r="V22" s="1"/>
      <c r="W22" s="1"/>
      <c r="X22" s="1"/>
      <c r="Y22" s="1"/>
      <c r="Z22" s="1"/>
      <c r="AA22" s="1"/>
      <c r="AB22" s="1"/>
      <c r="AC22" s="8" t="s">
        <v>7</v>
      </c>
      <c r="AD22" s="18"/>
      <c r="AE22" s="18"/>
      <c r="AF22" s="18"/>
      <c r="AG22" s="18"/>
      <c r="AH22" s="1"/>
      <c r="AI22" s="1"/>
      <c r="AJ22" s="5" t="s">
        <v>110</v>
      </c>
      <c r="AK22" s="1"/>
      <c r="AL22" s="1"/>
    </row>
    <row r="23" spans="1:38" ht="5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1.25" customHeight="1">
      <c r="A24" s="1"/>
      <c r="B24" s="1"/>
      <c r="C24" s="8" t="s">
        <v>2065</v>
      </c>
      <c r="D24" s="18"/>
      <c r="E24" s="18"/>
      <c r="F24" s="1"/>
      <c r="G24" s="1"/>
      <c r="H24" s="1"/>
      <c r="I24" s="1"/>
      <c r="J24" s="1"/>
      <c r="K24" s="8" t="s">
        <v>2066</v>
      </c>
      <c r="L24" s="18"/>
      <c r="M24" s="18"/>
      <c r="N24" s="1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8" t="s">
        <v>26</v>
      </c>
      <c r="AG24" s="18"/>
      <c r="AH24" s="1"/>
      <c r="AI24" s="1"/>
      <c r="AJ24" s="5" t="s">
        <v>392</v>
      </c>
      <c r="AK24" s="1"/>
      <c r="AL24" s="1"/>
    </row>
    <row r="25" spans="1:38" ht="5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1.25" customHeight="1">
      <c r="A26" s="1"/>
      <c r="B26" s="1"/>
      <c r="C26" s="8" t="s">
        <v>2067</v>
      </c>
      <c r="D26" s="18"/>
      <c r="E26" s="18"/>
      <c r="F26" s="1"/>
      <c r="G26" s="1"/>
      <c r="H26" s="1"/>
      <c r="I26" s="1"/>
      <c r="J26" s="1"/>
      <c r="K26" s="8" t="s">
        <v>2068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"/>
      <c r="X26" s="1"/>
      <c r="Y26" s="1"/>
      <c r="Z26" s="1"/>
      <c r="AA26" s="1"/>
      <c r="AB26" s="1"/>
      <c r="AC26" s="1"/>
      <c r="AD26" s="1"/>
      <c r="AE26" s="8" t="s">
        <v>1542</v>
      </c>
      <c r="AF26" s="18"/>
      <c r="AG26" s="18"/>
      <c r="AH26" s="1"/>
      <c r="AI26" s="1"/>
      <c r="AJ26" s="5" t="s">
        <v>589</v>
      </c>
      <c r="AK26" s="1"/>
      <c r="AL26" s="1"/>
    </row>
    <row r="27" spans="1:38" ht="5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1.25" customHeight="1">
      <c r="A28" s="1"/>
      <c r="B28" s="1"/>
      <c r="C28" s="8" t="s">
        <v>2069</v>
      </c>
      <c r="D28" s="18"/>
      <c r="E28" s="18"/>
      <c r="F28" s="1"/>
      <c r="G28" s="1"/>
      <c r="H28" s="1"/>
      <c r="I28" s="1"/>
      <c r="J28" s="1"/>
      <c r="K28" s="8" t="s">
        <v>2070</v>
      </c>
      <c r="L28" s="18"/>
      <c r="M28" s="18"/>
      <c r="N28" s="18"/>
      <c r="O28" s="18"/>
      <c r="P28" s="18"/>
      <c r="Q28" s="18"/>
      <c r="R28" s="18"/>
      <c r="S28" s="1"/>
      <c r="T28" s="1"/>
      <c r="U28" s="1"/>
      <c r="V28" s="1"/>
      <c r="W28" s="1"/>
      <c r="X28" s="1"/>
      <c r="Y28" s="1"/>
      <c r="Z28" s="1"/>
      <c r="AA28" s="1"/>
      <c r="AB28" s="1"/>
      <c r="AC28" s="8" t="s">
        <v>7</v>
      </c>
      <c r="AD28" s="18"/>
      <c r="AE28" s="18"/>
      <c r="AF28" s="18"/>
      <c r="AG28" s="18"/>
      <c r="AH28" s="1"/>
      <c r="AI28" s="1"/>
      <c r="AJ28" s="5" t="s">
        <v>33</v>
      </c>
      <c r="AK28" s="1"/>
      <c r="AL28" s="1"/>
    </row>
    <row r="29" spans="1:38" ht="5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1.25" customHeight="1">
      <c r="A30" s="1"/>
      <c r="B30" s="1"/>
      <c r="C30" s="8" t="s">
        <v>2071</v>
      </c>
      <c r="D30" s="18"/>
      <c r="E30" s="18"/>
      <c r="F30" s="1"/>
      <c r="G30" s="1"/>
      <c r="H30" s="1"/>
      <c r="I30" s="1"/>
      <c r="J30" s="1"/>
      <c r="K30" s="8" t="s">
        <v>2072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"/>
      <c r="Z30" s="1"/>
      <c r="AA30" s="1"/>
      <c r="AB30" s="1"/>
      <c r="AC30" s="8" t="s">
        <v>7</v>
      </c>
      <c r="AD30" s="18"/>
      <c r="AE30" s="18"/>
      <c r="AF30" s="18"/>
      <c r="AG30" s="18"/>
      <c r="AH30" s="1"/>
      <c r="AI30" s="1"/>
      <c r="AJ30" s="5" t="s">
        <v>2073</v>
      </c>
      <c r="AK30" s="1"/>
      <c r="AL30" s="1"/>
    </row>
    <row r="31" spans="1:38" ht="5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1.25" customHeight="1">
      <c r="A32" s="1"/>
      <c r="B32" s="1"/>
      <c r="C32" s="8" t="s">
        <v>2074</v>
      </c>
      <c r="D32" s="18"/>
      <c r="E32" s="18"/>
      <c r="F32" s="1"/>
      <c r="G32" s="1"/>
      <c r="H32" s="1"/>
      <c r="I32" s="1"/>
      <c r="J32" s="1"/>
      <c r="K32" s="8" t="s">
        <v>2075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"/>
      <c r="Z32" s="1"/>
      <c r="AA32" s="1"/>
      <c r="AB32" s="1"/>
      <c r="AC32" s="8" t="s">
        <v>7</v>
      </c>
      <c r="AD32" s="18"/>
      <c r="AE32" s="18"/>
      <c r="AF32" s="18"/>
      <c r="AG32" s="18"/>
      <c r="AH32" s="1"/>
      <c r="AI32" s="1"/>
      <c r="AJ32" s="5" t="s">
        <v>812</v>
      </c>
      <c r="AK32" s="1"/>
      <c r="AL32" s="1"/>
    </row>
    <row r="33" spans="1:38" ht="5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1.25" customHeight="1">
      <c r="A34" s="1"/>
      <c r="B34" s="1"/>
      <c r="C34" s="8" t="s">
        <v>2076</v>
      </c>
      <c r="D34" s="18"/>
      <c r="E34" s="18"/>
      <c r="F34" s="1"/>
      <c r="G34" s="1"/>
      <c r="H34" s="1"/>
      <c r="I34" s="1"/>
      <c r="J34" s="1"/>
      <c r="K34" s="8" t="s">
        <v>2077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"/>
      <c r="Z34" s="1"/>
      <c r="AA34" s="1"/>
      <c r="AB34" s="1"/>
      <c r="AC34" s="8" t="s">
        <v>7</v>
      </c>
      <c r="AD34" s="18"/>
      <c r="AE34" s="18"/>
      <c r="AF34" s="18"/>
      <c r="AG34" s="18"/>
      <c r="AH34" s="1"/>
      <c r="AI34" s="1"/>
      <c r="AJ34" s="5" t="s">
        <v>1316</v>
      </c>
      <c r="AK34" s="1"/>
      <c r="AL34" s="1"/>
    </row>
    <row r="35" spans="1:38" ht="5.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1.25" customHeight="1">
      <c r="A36" s="1"/>
      <c r="B36" s="1"/>
      <c r="C36" s="8" t="s">
        <v>2078</v>
      </c>
      <c r="D36" s="18"/>
      <c r="E36" s="18"/>
      <c r="F36" s="1"/>
      <c r="G36" s="1"/>
      <c r="H36" s="1"/>
      <c r="I36" s="1"/>
      <c r="J36" s="1"/>
      <c r="K36" s="8" t="s">
        <v>2079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"/>
      <c r="Y36" s="1"/>
      <c r="Z36" s="1"/>
      <c r="AA36" s="1"/>
      <c r="AB36" s="1"/>
      <c r="AC36" s="8" t="s">
        <v>7</v>
      </c>
      <c r="AD36" s="18"/>
      <c r="AE36" s="18"/>
      <c r="AF36" s="18"/>
      <c r="AG36" s="18"/>
      <c r="AH36" s="1"/>
      <c r="AI36" s="1"/>
      <c r="AJ36" s="5" t="s">
        <v>842</v>
      </c>
      <c r="AK36" s="1"/>
      <c r="AL36" s="1"/>
    </row>
    <row r="37" spans="1:38" ht="5.4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1.25" customHeight="1">
      <c r="A38" s="1"/>
      <c r="B38" s="1"/>
      <c r="C38" s="8" t="s">
        <v>2080</v>
      </c>
      <c r="D38" s="18"/>
      <c r="E38" s="18"/>
      <c r="F38" s="1"/>
      <c r="G38" s="1"/>
      <c r="H38" s="1"/>
      <c r="I38" s="1"/>
      <c r="J38" s="1"/>
      <c r="K38" s="8" t="s">
        <v>2081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"/>
      <c r="Y38" s="1"/>
      <c r="Z38" s="1"/>
      <c r="AA38" s="1"/>
      <c r="AB38" s="1"/>
      <c r="AC38" s="8" t="s">
        <v>7</v>
      </c>
      <c r="AD38" s="18"/>
      <c r="AE38" s="18"/>
      <c r="AF38" s="18"/>
      <c r="AG38" s="18"/>
      <c r="AH38" s="1"/>
      <c r="AI38" s="1"/>
      <c r="AJ38" s="5" t="s">
        <v>2073</v>
      </c>
      <c r="AK38" s="1"/>
      <c r="AL38" s="1"/>
    </row>
    <row r="39" spans="1:38" ht="5.4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1.25" customHeight="1">
      <c r="A40" s="1"/>
      <c r="B40" s="1"/>
      <c r="C40" s="8" t="s">
        <v>2082</v>
      </c>
      <c r="D40" s="18"/>
      <c r="E40" s="18"/>
      <c r="F40" s="1"/>
      <c r="G40" s="1"/>
      <c r="H40" s="1"/>
      <c r="I40" s="1"/>
      <c r="J40" s="1"/>
      <c r="K40" s="8" t="s">
        <v>2083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"/>
      <c r="Z40" s="1"/>
      <c r="AA40" s="1"/>
      <c r="AB40" s="1"/>
      <c r="AC40" s="8" t="s">
        <v>7</v>
      </c>
      <c r="AD40" s="18"/>
      <c r="AE40" s="18"/>
      <c r="AF40" s="18"/>
      <c r="AG40" s="18"/>
      <c r="AH40" s="1"/>
      <c r="AI40" s="1"/>
      <c r="AJ40" s="5" t="s">
        <v>2073</v>
      </c>
      <c r="AK40" s="1"/>
      <c r="AL40" s="1"/>
    </row>
    <row r="41" spans="1:38" ht="5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1.25" customHeight="1">
      <c r="A42" s="1"/>
      <c r="B42" s="1"/>
      <c r="C42" s="8" t="s">
        <v>2084</v>
      </c>
      <c r="D42" s="18"/>
      <c r="E42" s="18"/>
      <c r="F42" s="1"/>
      <c r="G42" s="1"/>
      <c r="H42" s="1"/>
      <c r="I42" s="1"/>
      <c r="J42" s="1"/>
      <c r="K42" s="8" t="s">
        <v>2085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"/>
      <c r="Z42" s="1"/>
      <c r="AA42" s="1"/>
      <c r="AB42" s="1"/>
      <c r="AC42" s="8" t="s">
        <v>7</v>
      </c>
      <c r="AD42" s="18"/>
      <c r="AE42" s="18"/>
      <c r="AF42" s="18"/>
      <c r="AG42" s="18"/>
      <c r="AH42" s="1"/>
      <c r="AI42" s="1"/>
      <c r="AJ42" s="5" t="s">
        <v>2073</v>
      </c>
      <c r="AK42" s="1"/>
      <c r="AL42" s="1"/>
    </row>
    <row r="43" spans="1:38" ht="5.4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1.25" customHeight="1">
      <c r="A44" s="1"/>
      <c r="B44" s="1"/>
      <c r="C44" s="8" t="s">
        <v>2086</v>
      </c>
      <c r="D44" s="18"/>
      <c r="E44" s="18"/>
      <c r="F44" s="1"/>
      <c r="G44" s="1"/>
      <c r="H44" s="1"/>
      <c r="I44" s="1"/>
      <c r="J44" s="1"/>
      <c r="K44" s="8" t="s">
        <v>2087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"/>
      <c r="Z44" s="1"/>
      <c r="AA44" s="1"/>
      <c r="AB44" s="1"/>
      <c r="AC44" s="8" t="s">
        <v>7</v>
      </c>
      <c r="AD44" s="18"/>
      <c r="AE44" s="18"/>
      <c r="AF44" s="18"/>
      <c r="AG44" s="18"/>
      <c r="AH44" s="1"/>
      <c r="AI44" s="1"/>
      <c r="AJ44" s="5" t="s">
        <v>2073</v>
      </c>
      <c r="AK44" s="1"/>
      <c r="AL44" s="1"/>
    </row>
    <row r="45" spans="1:38" ht="5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1.25" customHeight="1">
      <c r="A46" s="1"/>
      <c r="B46" s="1"/>
      <c r="C46" s="8" t="s">
        <v>2088</v>
      </c>
      <c r="D46" s="18"/>
      <c r="E46" s="18"/>
      <c r="F46" s="1"/>
      <c r="G46" s="1"/>
      <c r="H46" s="1"/>
      <c r="I46" s="1"/>
      <c r="J46" s="1"/>
      <c r="K46" s="8" t="s">
        <v>2072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"/>
      <c r="Z46" s="1"/>
      <c r="AA46" s="1"/>
      <c r="AB46" s="1"/>
      <c r="AC46" s="8" t="s">
        <v>7</v>
      </c>
      <c r="AD46" s="18"/>
      <c r="AE46" s="18"/>
      <c r="AF46" s="18"/>
      <c r="AG46" s="18"/>
      <c r="AH46" s="1"/>
      <c r="AI46" s="1"/>
      <c r="AJ46" s="5" t="s">
        <v>2073</v>
      </c>
      <c r="AK46" s="1"/>
      <c r="AL46" s="1"/>
    </row>
    <row r="47" spans="1:38" ht="5.4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1.25" customHeight="1">
      <c r="A48" s="1"/>
      <c r="B48" s="1"/>
      <c r="C48" s="8" t="s">
        <v>2089</v>
      </c>
      <c r="D48" s="18"/>
      <c r="E48" s="18"/>
      <c r="F48" s="1"/>
      <c r="G48" s="1"/>
      <c r="H48" s="1"/>
      <c r="I48" s="1"/>
      <c r="J48" s="1"/>
      <c r="K48" s="8" t="s">
        <v>2090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"/>
      <c r="Y48" s="1"/>
      <c r="Z48" s="1"/>
      <c r="AA48" s="1"/>
      <c r="AB48" s="1"/>
      <c r="AC48" s="8" t="s">
        <v>7</v>
      </c>
      <c r="AD48" s="18"/>
      <c r="AE48" s="18"/>
      <c r="AF48" s="18"/>
      <c r="AG48" s="18"/>
      <c r="AH48" s="1"/>
      <c r="AI48" s="1"/>
      <c r="AJ48" s="5" t="s">
        <v>27</v>
      </c>
      <c r="AK48" s="1"/>
      <c r="AL48" s="1"/>
    </row>
    <row r="49" spans="1:38" ht="5.4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1.25" customHeight="1">
      <c r="A50" s="1"/>
      <c r="B50" s="1"/>
      <c r="C50" s="8" t="s">
        <v>2091</v>
      </c>
      <c r="D50" s="18"/>
      <c r="E50" s="18"/>
      <c r="F50" s="1"/>
      <c r="G50" s="1"/>
      <c r="H50" s="1"/>
      <c r="I50" s="1"/>
      <c r="J50" s="1"/>
      <c r="K50" s="8" t="s">
        <v>2092</v>
      </c>
      <c r="L50" s="18"/>
      <c r="M50" s="18"/>
      <c r="N50" s="18"/>
      <c r="O50" s="18"/>
      <c r="P50" s="18"/>
      <c r="Q50" s="18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8" t="s">
        <v>1542</v>
      </c>
      <c r="AF50" s="18"/>
      <c r="AG50" s="18"/>
      <c r="AH50" s="1"/>
      <c r="AI50" s="1"/>
      <c r="AJ50" s="5" t="s">
        <v>453</v>
      </c>
      <c r="AK50" s="1"/>
      <c r="AL50" s="1"/>
    </row>
    <row r="51" spans="1:38" ht="5.4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1.25" customHeight="1">
      <c r="A52" s="1"/>
      <c r="B52" s="1"/>
      <c r="C52" s="8" t="s">
        <v>2093</v>
      </c>
      <c r="D52" s="18"/>
      <c r="E52" s="18"/>
      <c r="F52" s="1"/>
      <c r="G52" s="1"/>
      <c r="H52" s="1"/>
      <c r="I52" s="1"/>
      <c r="J52" s="1"/>
      <c r="K52" s="8" t="s">
        <v>2094</v>
      </c>
      <c r="L52" s="18"/>
      <c r="M52" s="18"/>
      <c r="N52" s="18"/>
      <c r="O52" s="18"/>
      <c r="P52" s="18"/>
      <c r="Q52" s="18"/>
      <c r="R52" s="1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8" t="s">
        <v>1542</v>
      </c>
      <c r="AF52" s="18"/>
      <c r="AG52" s="18"/>
      <c r="AH52" s="1"/>
      <c r="AI52" s="1"/>
      <c r="AJ52" s="5" t="s">
        <v>453</v>
      </c>
      <c r="AK52" s="1"/>
      <c r="AL52" s="1"/>
    </row>
    <row r="53" spans="1:38" ht="5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1.25" customHeight="1">
      <c r="A54" s="1"/>
      <c r="B54" s="1"/>
      <c r="C54" s="8" t="s">
        <v>2095</v>
      </c>
      <c r="D54" s="18"/>
      <c r="E54" s="18"/>
      <c r="F54" s="1"/>
      <c r="G54" s="1"/>
      <c r="H54" s="1"/>
      <c r="I54" s="1"/>
      <c r="J54" s="1"/>
      <c r="K54" s="8" t="s">
        <v>2096</v>
      </c>
      <c r="L54" s="18"/>
      <c r="M54" s="18"/>
      <c r="N54" s="18"/>
      <c r="O54" s="18"/>
      <c r="P54" s="18"/>
      <c r="Q54" s="18"/>
      <c r="R54" s="18"/>
      <c r="S54" s="18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8" t="s">
        <v>26</v>
      </c>
      <c r="AG54" s="18"/>
      <c r="AH54" s="1"/>
      <c r="AI54" s="1"/>
      <c r="AJ54" s="5" t="s">
        <v>183</v>
      </c>
      <c r="AK54" s="1"/>
      <c r="AL54" s="1"/>
    </row>
    <row r="55" spans="1:38" ht="5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1.25" customHeight="1">
      <c r="A56" s="1"/>
      <c r="B56" s="1"/>
      <c r="C56" s="8" t="s">
        <v>2097</v>
      </c>
      <c r="D56" s="18"/>
      <c r="E56" s="18"/>
      <c r="F56" s="18"/>
      <c r="G56" s="1"/>
      <c r="H56" s="1"/>
      <c r="I56" s="1"/>
      <c r="J56" s="1"/>
      <c r="K56" s="8" t="s">
        <v>2098</v>
      </c>
      <c r="L56" s="18"/>
      <c r="M56" s="18"/>
      <c r="N56" s="18"/>
      <c r="O56" s="18"/>
      <c r="P56" s="18"/>
      <c r="Q56" s="18"/>
      <c r="R56" s="18"/>
      <c r="S56" s="18"/>
      <c r="T56" s="1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8" t="s">
        <v>26</v>
      </c>
      <c r="AG56" s="18"/>
      <c r="AH56" s="1"/>
      <c r="AI56" s="1"/>
      <c r="AJ56" s="5" t="s">
        <v>30</v>
      </c>
      <c r="AK56" s="1"/>
      <c r="AL56" s="1"/>
    </row>
    <row r="57" spans="1:38" ht="5.4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1.25" customHeight="1">
      <c r="A58" s="1"/>
      <c r="B58" s="1"/>
      <c r="C58" s="8" t="s">
        <v>2099</v>
      </c>
      <c r="D58" s="18"/>
      <c r="E58" s="18"/>
      <c r="F58" s="1"/>
      <c r="G58" s="1"/>
      <c r="H58" s="1"/>
      <c r="I58" s="1"/>
      <c r="J58" s="1"/>
      <c r="K58" s="8" t="s">
        <v>2100</v>
      </c>
      <c r="L58" s="18"/>
      <c r="M58" s="1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8" t="s">
        <v>7</v>
      </c>
      <c r="AD58" s="18"/>
      <c r="AE58" s="18"/>
      <c r="AF58" s="18"/>
      <c r="AG58" s="18"/>
      <c r="AH58" s="1"/>
      <c r="AI58" s="1"/>
      <c r="AJ58" s="5" t="s">
        <v>27</v>
      </c>
      <c r="AK58" s="1"/>
      <c r="AL58" s="1"/>
    </row>
    <row r="59" spans="1:38" ht="5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1.25" customHeight="1">
      <c r="A60" s="1"/>
      <c r="B60" s="1"/>
      <c r="C60" s="8" t="s">
        <v>2101</v>
      </c>
      <c r="D60" s="18"/>
      <c r="E60" s="18"/>
      <c r="F60" s="18"/>
      <c r="G60" s="1"/>
      <c r="H60" s="1"/>
      <c r="I60" s="1"/>
      <c r="J60" s="1"/>
      <c r="K60" s="8" t="s">
        <v>2102</v>
      </c>
      <c r="L60" s="18"/>
      <c r="M60" s="18"/>
      <c r="N60" s="18"/>
      <c r="O60" s="18"/>
      <c r="P60" s="18"/>
      <c r="Q60" s="18"/>
      <c r="R60" s="18"/>
      <c r="S60" s="1"/>
      <c r="T60" s="1"/>
      <c r="U60" s="1"/>
      <c r="V60" s="1"/>
      <c r="W60" s="1"/>
      <c r="X60" s="1"/>
      <c r="Y60" s="1"/>
      <c r="Z60" s="1"/>
      <c r="AA60" s="1"/>
      <c r="AB60" s="1"/>
      <c r="AC60" s="8" t="s">
        <v>7</v>
      </c>
      <c r="AD60" s="18"/>
      <c r="AE60" s="18"/>
      <c r="AF60" s="18"/>
      <c r="AG60" s="18"/>
      <c r="AH60" s="1"/>
      <c r="AI60" s="1"/>
      <c r="AJ60" s="5" t="s">
        <v>2103</v>
      </c>
      <c r="AK60" s="1"/>
      <c r="AL60" s="1"/>
    </row>
    <row r="61" spans="1:38" ht="5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1.25" customHeight="1">
      <c r="A62" s="1"/>
      <c r="B62" s="1"/>
      <c r="C62" s="8" t="s">
        <v>2104</v>
      </c>
      <c r="D62" s="18"/>
      <c r="E62" s="18"/>
      <c r="F62" s="18"/>
      <c r="G62" s="1"/>
      <c r="H62" s="1"/>
      <c r="I62" s="1"/>
      <c r="J62" s="1"/>
      <c r="K62" s="8" t="s">
        <v>2105</v>
      </c>
      <c r="L62" s="18"/>
      <c r="M62" s="18"/>
      <c r="N62" s="18"/>
      <c r="O62" s="18"/>
      <c r="P62" s="18"/>
      <c r="Q62" s="18"/>
      <c r="R62" s="18"/>
      <c r="S62" s="1"/>
      <c r="T62" s="1"/>
      <c r="U62" s="1"/>
      <c r="V62" s="1"/>
      <c r="W62" s="1"/>
      <c r="X62" s="1"/>
      <c r="Y62" s="1"/>
      <c r="Z62" s="1"/>
      <c r="AA62" s="1"/>
      <c r="AB62" s="1"/>
      <c r="AC62" s="8" t="s">
        <v>7</v>
      </c>
      <c r="AD62" s="18"/>
      <c r="AE62" s="18"/>
      <c r="AF62" s="18"/>
      <c r="AG62" s="18"/>
      <c r="AH62" s="1"/>
      <c r="AI62" s="1"/>
      <c r="AJ62" s="5" t="s">
        <v>2103</v>
      </c>
      <c r="AK62" s="1"/>
      <c r="AL62" s="1"/>
    </row>
    <row r="63" spans="1:38" ht="5.4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1.25" customHeight="1">
      <c r="A64" s="1"/>
      <c r="B64" s="1"/>
      <c r="C64" s="8" t="s">
        <v>2106</v>
      </c>
      <c r="D64" s="18"/>
      <c r="E64" s="18"/>
      <c r="F64" s="1"/>
      <c r="G64" s="1"/>
      <c r="H64" s="1"/>
      <c r="I64" s="1"/>
      <c r="J64" s="1"/>
      <c r="K64" s="8" t="s">
        <v>2107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"/>
      <c r="AA64" s="1"/>
      <c r="AB64" s="1"/>
      <c r="AC64" s="8" t="s">
        <v>607</v>
      </c>
      <c r="AD64" s="18"/>
      <c r="AE64" s="18"/>
      <c r="AF64" s="18"/>
      <c r="AG64" s="18"/>
      <c r="AH64" s="1"/>
      <c r="AI64" s="1"/>
      <c r="AJ64" s="5" t="s">
        <v>2108</v>
      </c>
      <c r="AK64" s="1"/>
      <c r="AL64" s="1"/>
    </row>
    <row r="65" spans="1:38" ht="5.4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1.25" customHeight="1">
      <c r="A66" s="1"/>
      <c r="B66" s="1"/>
      <c r="C66" s="8" t="s">
        <v>2109</v>
      </c>
      <c r="D66" s="18"/>
      <c r="E66" s="18"/>
      <c r="F66" s="1"/>
      <c r="G66" s="1"/>
      <c r="H66" s="1"/>
      <c r="I66" s="1"/>
      <c r="J66" s="1"/>
      <c r="K66" s="8" t="s">
        <v>2110</v>
      </c>
      <c r="L66" s="18"/>
      <c r="M66" s="18"/>
      <c r="N66" s="18"/>
      <c r="O66" s="18"/>
      <c r="P66" s="18"/>
      <c r="Q66" s="18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" t="s">
        <v>7</v>
      </c>
      <c r="AD66" s="18"/>
      <c r="AE66" s="18"/>
      <c r="AF66" s="18"/>
      <c r="AG66" s="18"/>
      <c r="AH66" s="1"/>
      <c r="AI66" s="1"/>
      <c r="AJ66" s="5" t="s">
        <v>1158</v>
      </c>
      <c r="AK66" s="1"/>
      <c r="AL66" s="1"/>
    </row>
    <row r="67" spans="1:38" ht="5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1.25" customHeight="1">
      <c r="A68" s="1"/>
      <c r="B68" s="1"/>
      <c r="C68" s="8" t="s">
        <v>2111</v>
      </c>
      <c r="D68" s="18"/>
      <c r="E68" s="18"/>
      <c r="F68" s="1"/>
      <c r="G68" s="1"/>
      <c r="H68" s="1"/>
      <c r="I68" s="1"/>
      <c r="J68" s="1"/>
      <c r="K68" s="8" t="s">
        <v>2112</v>
      </c>
      <c r="L68" s="18"/>
      <c r="M68" s="18"/>
      <c r="N68" s="18"/>
      <c r="O68" s="1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8" t="s">
        <v>26</v>
      </c>
      <c r="AG68" s="18"/>
      <c r="AH68" s="1"/>
      <c r="AI68" s="1"/>
      <c r="AJ68" s="5" t="s">
        <v>2113</v>
      </c>
      <c r="AK68" s="1"/>
      <c r="AL68" s="1"/>
    </row>
    <row r="69" spans="1:38" ht="5.4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1.25" customHeight="1">
      <c r="A70" s="1"/>
      <c r="B70" s="1"/>
      <c r="C70" s="8" t="s">
        <v>2114</v>
      </c>
      <c r="D70" s="18"/>
      <c r="E70" s="18"/>
      <c r="F70" s="1"/>
      <c r="G70" s="1"/>
      <c r="H70" s="1"/>
      <c r="I70" s="1"/>
      <c r="J70" s="1"/>
      <c r="K70" s="8" t="s">
        <v>2115</v>
      </c>
      <c r="L70" s="18"/>
      <c r="M70" s="18"/>
      <c r="N70" s="18"/>
      <c r="O70" s="1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8" t="s">
        <v>7</v>
      </c>
      <c r="AD70" s="18"/>
      <c r="AE70" s="18"/>
      <c r="AF70" s="18"/>
      <c r="AG70" s="18"/>
      <c r="AH70" s="1"/>
      <c r="AI70" s="1"/>
      <c r="AJ70" s="5" t="s">
        <v>2116</v>
      </c>
      <c r="AK70" s="1"/>
      <c r="AL70" s="1"/>
    </row>
    <row r="71" spans="1:38" ht="5.4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1.25" customHeight="1">
      <c r="A72" s="1"/>
      <c r="B72" s="1"/>
      <c r="C72" s="8" t="s">
        <v>2117</v>
      </c>
      <c r="D72" s="18"/>
      <c r="E72" s="18"/>
      <c r="F72" s="1"/>
      <c r="G72" s="1"/>
      <c r="H72" s="1"/>
      <c r="I72" s="1"/>
      <c r="J72" s="1"/>
      <c r="K72" s="8" t="s">
        <v>2118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"/>
      <c r="X72" s="1"/>
      <c r="Y72" s="1"/>
      <c r="Z72" s="1"/>
      <c r="AA72" s="1"/>
      <c r="AB72" s="1"/>
      <c r="AC72" s="8" t="s">
        <v>1628</v>
      </c>
      <c r="AD72" s="18"/>
      <c r="AE72" s="18"/>
      <c r="AF72" s="18"/>
      <c r="AG72" s="18"/>
      <c r="AH72" s="1"/>
      <c r="AI72" s="1"/>
      <c r="AJ72" s="5" t="s">
        <v>2113</v>
      </c>
      <c r="AK72" s="1"/>
      <c r="AL72" s="1"/>
    </row>
    <row r="73" spans="1:38" ht="5.4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1.25" customHeight="1">
      <c r="A74" s="1"/>
      <c r="B74" s="1"/>
      <c r="C74" s="8" t="s">
        <v>2119</v>
      </c>
      <c r="D74" s="18"/>
      <c r="E74" s="18"/>
      <c r="F74" s="1"/>
      <c r="G74" s="1"/>
      <c r="H74" s="1"/>
      <c r="I74" s="1"/>
      <c r="J74" s="1"/>
      <c r="K74" s="8" t="s">
        <v>2120</v>
      </c>
      <c r="L74" s="18"/>
      <c r="M74" s="18"/>
      <c r="N74" s="18"/>
      <c r="O74" s="18"/>
      <c r="P74" s="18"/>
      <c r="Q74" s="18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8" t="s">
        <v>7</v>
      </c>
      <c r="AD74" s="18"/>
      <c r="AE74" s="18"/>
      <c r="AF74" s="18"/>
      <c r="AG74" s="18"/>
      <c r="AH74" s="1"/>
      <c r="AI74" s="1"/>
      <c r="AJ74" s="5" t="s">
        <v>518</v>
      </c>
      <c r="AK74" s="1"/>
      <c r="AL74" s="1"/>
    </row>
    <row r="75" spans="1:38" ht="5.4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1.25" customHeight="1">
      <c r="A76" s="1"/>
      <c r="B76" s="1"/>
      <c r="C76" s="8" t="s">
        <v>2121</v>
      </c>
      <c r="D76" s="18"/>
      <c r="E76" s="18"/>
      <c r="F76" s="1"/>
      <c r="G76" s="1"/>
      <c r="H76" s="1"/>
      <c r="I76" s="1"/>
      <c r="J76" s="1"/>
      <c r="K76" s="8" t="s">
        <v>2122</v>
      </c>
      <c r="L76" s="18"/>
      <c r="M76" s="18"/>
      <c r="N76" s="18"/>
      <c r="O76" s="18"/>
      <c r="P76" s="18"/>
      <c r="Q76" s="18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8" t="s">
        <v>26</v>
      </c>
      <c r="AG76" s="18"/>
      <c r="AH76" s="1"/>
      <c r="AI76" s="1"/>
      <c r="AJ76" s="5" t="s">
        <v>2123</v>
      </c>
      <c r="AK76" s="1"/>
      <c r="AL76" s="1"/>
    </row>
    <row r="77" spans="1:38" ht="5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1.25" customHeight="1">
      <c r="A78" s="1"/>
      <c r="B78" s="1"/>
      <c r="C78" s="8" t="s">
        <v>2124</v>
      </c>
      <c r="D78" s="18"/>
      <c r="E78" s="18"/>
      <c r="F78" s="18"/>
      <c r="G78" s="18"/>
      <c r="H78" s="1"/>
      <c r="I78" s="1"/>
      <c r="J78" s="1"/>
      <c r="K78" s="8" t="s">
        <v>2125</v>
      </c>
      <c r="L78" s="18"/>
      <c r="M78" s="18"/>
      <c r="N78" s="18"/>
      <c r="O78" s="18"/>
      <c r="P78" s="18"/>
      <c r="Q78" s="18"/>
      <c r="R78" s="18"/>
      <c r="S78" s="18"/>
      <c r="T78" s="18"/>
      <c r="U78" s="1"/>
      <c r="V78" s="1"/>
      <c r="W78" s="1"/>
      <c r="X78" s="1"/>
      <c r="Y78" s="1"/>
      <c r="Z78" s="1"/>
      <c r="AA78" s="1"/>
      <c r="AB78" s="1"/>
      <c r="AC78" s="8" t="s">
        <v>7</v>
      </c>
      <c r="AD78" s="18"/>
      <c r="AE78" s="18"/>
      <c r="AF78" s="18"/>
      <c r="AG78" s="18"/>
      <c r="AH78" s="1"/>
      <c r="AI78" s="1"/>
      <c r="AJ78" s="5" t="s">
        <v>17</v>
      </c>
      <c r="AK78" s="1"/>
      <c r="AL78" s="1"/>
    </row>
    <row r="79" spans="1:38" ht="5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1.25" customHeight="1">
      <c r="A80" s="1"/>
      <c r="B80" s="1"/>
      <c r="C80" s="8" t="s">
        <v>2126</v>
      </c>
      <c r="D80" s="18"/>
      <c r="E80" s="1"/>
      <c r="F80" s="1"/>
      <c r="G80" s="1"/>
      <c r="H80" s="1"/>
      <c r="I80" s="1"/>
      <c r="J80" s="1"/>
      <c r="K80" s="8" t="s">
        <v>2127</v>
      </c>
      <c r="L80" s="18"/>
      <c r="M80" s="18"/>
      <c r="N80" s="18"/>
      <c r="O80" s="18"/>
      <c r="P80" s="18"/>
      <c r="Q80" s="18"/>
      <c r="R80" s="18"/>
      <c r="S80" s="1"/>
      <c r="T80" s="1"/>
      <c r="U80" s="1"/>
      <c r="V80" s="1"/>
      <c r="W80" s="1"/>
      <c r="X80" s="1"/>
      <c r="Y80" s="1"/>
      <c r="Z80" s="1"/>
      <c r="AA80" s="1"/>
      <c r="AB80" s="1"/>
      <c r="AC80" s="8" t="s">
        <v>7</v>
      </c>
      <c r="AD80" s="18"/>
      <c r="AE80" s="18"/>
      <c r="AF80" s="18"/>
      <c r="AG80" s="18"/>
      <c r="AH80" s="1"/>
      <c r="AI80" s="1"/>
      <c r="AJ80" s="5" t="s">
        <v>1194</v>
      </c>
      <c r="AK80" s="1"/>
      <c r="AL80" s="1"/>
    </row>
    <row r="81" spans="1:38" ht="5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1.25" customHeight="1">
      <c r="A82" s="1"/>
      <c r="B82" s="1"/>
      <c r="C82" s="8" t="s">
        <v>2128</v>
      </c>
      <c r="D82" s="18"/>
      <c r="E82" s="18"/>
      <c r="F82" s="18"/>
      <c r="G82" s="18"/>
      <c r="H82" s="18"/>
      <c r="I82" s="1"/>
      <c r="J82" s="1"/>
      <c r="K82" s="8" t="s">
        <v>2129</v>
      </c>
      <c r="L82" s="18"/>
      <c r="M82" s="18"/>
      <c r="N82" s="18"/>
      <c r="O82" s="18"/>
      <c r="P82" s="18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8" t="s">
        <v>7</v>
      </c>
      <c r="AD82" s="18"/>
      <c r="AE82" s="18"/>
      <c r="AF82" s="18"/>
      <c r="AG82" s="18"/>
      <c r="AH82" s="1"/>
      <c r="AI82" s="8" t="s">
        <v>2130</v>
      </c>
      <c r="AJ82" s="18"/>
      <c r="AK82" s="1"/>
      <c r="AL82" s="1"/>
    </row>
    <row r="83" spans="1:38" ht="5.4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1.25" customHeight="1">
      <c r="A84" s="1"/>
      <c r="B84" s="1"/>
      <c r="C84" s="8" t="s">
        <v>2131</v>
      </c>
      <c r="D84" s="18"/>
      <c r="E84" s="18"/>
      <c r="F84" s="18"/>
      <c r="G84" s="18"/>
      <c r="H84" s="18"/>
      <c r="I84" s="1"/>
      <c r="J84" s="1"/>
      <c r="K84" s="8" t="s">
        <v>2132</v>
      </c>
      <c r="L84" s="18"/>
      <c r="M84" s="18"/>
      <c r="N84" s="18"/>
      <c r="O84" s="18"/>
      <c r="P84" s="18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8" t="s">
        <v>7</v>
      </c>
      <c r="AD84" s="18"/>
      <c r="AE84" s="18"/>
      <c r="AF84" s="18"/>
      <c r="AG84" s="18"/>
      <c r="AH84" s="1"/>
      <c r="AI84" s="8" t="s">
        <v>2130</v>
      </c>
      <c r="AJ84" s="18"/>
      <c r="AK84" s="1"/>
      <c r="AL84" s="1"/>
    </row>
    <row r="85" spans="1:38" ht="5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1.25" customHeight="1">
      <c r="A86" s="1"/>
      <c r="B86" s="1"/>
      <c r="C86" s="8" t="s">
        <v>2133</v>
      </c>
      <c r="D86" s="18"/>
      <c r="E86" s="18"/>
      <c r="F86" s="18"/>
      <c r="G86" s="18"/>
      <c r="H86" s="18"/>
      <c r="I86" s="1"/>
      <c r="J86" s="1"/>
      <c r="K86" s="8" t="s">
        <v>2134</v>
      </c>
      <c r="L86" s="18"/>
      <c r="M86" s="18"/>
      <c r="N86" s="18"/>
      <c r="O86" s="18"/>
      <c r="P86" s="18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8" t="s">
        <v>7</v>
      </c>
      <c r="AD86" s="18"/>
      <c r="AE86" s="18"/>
      <c r="AF86" s="18"/>
      <c r="AG86" s="18"/>
      <c r="AH86" s="1"/>
      <c r="AI86" s="8" t="s">
        <v>2130</v>
      </c>
      <c r="AJ86" s="18"/>
      <c r="AK86" s="1"/>
      <c r="AL86" s="1"/>
    </row>
    <row r="87" spans="1:38" ht="5.4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1.25" customHeight="1">
      <c r="A88" s="1"/>
      <c r="B88" s="1"/>
      <c r="C88" s="8" t="s">
        <v>2135</v>
      </c>
      <c r="D88" s="18"/>
      <c r="E88" s="18"/>
      <c r="F88" s="18"/>
      <c r="G88" s="18"/>
      <c r="H88" s="18"/>
      <c r="I88" s="1"/>
      <c r="J88" s="1"/>
      <c r="K88" s="8" t="s">
        <v>2136</v>
      </c>
      <c r="L88" s="18"/>
      <c r="M88" s="18"/>
      <c r="N88" s="18"/>
      <c r="O88" s="18"/>
      <c r="P88" s="18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8" t="s">
        <v>7</v>
      </c>
      <c r="AD88" s="18"/>
      <c r="AE88" s="18"/>
      <c r="AF88" s="18"/>
      <c r="AG88" s="18"/>
      <c r="AH88" s="1"/>
      <c r="AI88" s="8" t="s">
        <v>2130</v>
      </c>
      <c r="AJ88" s="18"/>
      <c r="AK88" s="1"/>
      <c r="AL88" s="1"/>
    </row>
    <row r="89" spans="1:38" ht="5.4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1.25" customHeight="1">
      <c r="A90" s="1"/>
      <c r="B90" s="1"/>
      <c r="C90" s="8" t="s">
        <v>2137</v>
      </c>
      <c r="D90" s="18"/>
      <c r="E90" s="18"/>
      <c r="F90" s="18"/>
      <c r="G90" s="18"/>
      <c r="H90" s="18"/>
      <c r="I90" s="1"/>
      <c r="J90" s="1"/>
      <c r="K90" s="8" t="s">
        <v>2138</v>
      </c>
      <c r="L90" s="18"/>
      <c r="M90" s="18"/>
      <c r="N90" s="18"/>
      <c r="O90" s="18"/>
      <c r="P90" s="18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8" t="s">
        <v>7</v>
      </c>
      <c r="AD90" s="18"/>
      <c r="AE90" s="18"/>
      <c r="AF90" s="18"/>
      <c r="AG90" s="18"/>
      <c r="AH90" s="1"/>
      <c r="AI90" s="8" t="s">
        <v>2130</v>
      </c>
      <c r="AJ90" s="18"/>
      <c r="AK90" s="1"/>
      <c r="AL90" s="1"/>
    </row>
    <row r="91" spans="1:38" ht="5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1.25" customHeight="1">
      <c r="A92" s="1"/>
      <c r="B92" s="1"/>
      <c r="C92" s="8" t="s">
        <v>2139</v>
      </c>
      <c r="D92" s="18"/>
      <c r="E92" s="18"/>
      <c r="F92" s="18"/>
      <c r="G92" s="18"/>
      <c r="H92" s="18"/>
      <c r="I92" s="1"/>
      <c r="J92" s="1"/>
      <c r="K92" s="8" t="s">
        <v>2140</v>
      </c>
      <c r="L92" s="18"/>
      <c r="M92" s="18"/>
      <c r="N92" s="18"/>
      <c r="O92" s="18"/>
      <c r="P92" s="18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8" t="s">
        <v>7</v>
      </c>
      <c r="AD92" s="18"/>
      <c r="AE92" s="18"/>
      <c r="AF92" s="18"/>
      <c r="AG92" s="18"/>
      <c r="AH92" s="1"/>
      <c r="AI92" s="8" t="s">
        <v>2130</v>
      </c>
      <c r="AJ92" s="18"/>
      <c r="AK92" s="1"/>
      <c r="AL92" s="1"/>
    </row>
    <row r="93" spans="1:38" ht="5.4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1.25" customHeight="1">
      <c r="A94" s="1"/>
      <c r="B94" s="1"/>
      <c r="C94" s="8" t="s">
        <v>2141</v>
      </c>
      <c r="D94" s="18"/>
      <c r="E94" s="18"/>
      <c r="F94" s="18"/>
      <c r="G94" s="18"/>
      <c r="H94" s="18"/>
      <c r="I94" s="1"/>
      <c r="J94" s="1"/>
      <c r="K94" s="8" t="s">
        <v>2142</v>
      </c>
      <c r="L94" s="18"/>
      <c r="M94" s="18"/>
      <c r="N94" s="18"/>
      <c r="O94" s="18"/>
      <c r="P94" s="18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8" t="s">
        <v>7</v>
      </c>
      <c r="AD94" s="18"/>
      <c r="AE94" s="18"/>
      <c r="AF94" s="18"/>
      <c r="AG94" s="18"/>
      <c r="AH94" s="1"/>
      <c r="AI94" s="8" t="s">
        <v>2130</v>
      </c>
      <c r="AJ94" s="18"/>
      <c r="AK94" s="1"/>
      <c r="AL94" s="1"/>
    </row>
    <row r="95" spans="1:38" ht="5.4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1.25" customHeight="1">
      <c r="A96" s="1"/>
      <c r="B96" s="1"/>
      <c r="C96" s="8" t="s">
        <v>2143</v>
      </c>
      <c r="D96" s="18"/>
      <c r="E96" s="18"/>
      <c r="F96" s="18"/>
      <c r="G96" s="18"/>
      <c r="H96" s="1"/>
      <c r="I96" s="1"/>
      <c r="J96" s="1"/>
      <c r="K96" s="8" t="s">
        <v>2144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"/>
      <c r="AB96" s="1"/>
      <c r="AC96" s="8" t="s">
        <v>7</v>
      </c>
      <c r="AD96" s="18"/>
      <c r="AE96" s="18"/>
      <c r="AF96" s="18"/>
      <c r="AG96" s="18"/>
      <c r="AH96" s="1"/>
      <c r="AI96" s="8" t="s">
        <v>2145</v>
      </c>
      <c r="AJ96" s="18"/>
      <c r="AK96" s="1"/>
      <c r="AL96" s="1"/>
    </row>
    <row r="97" spans="1:38" ht="5.4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1.25" customHeight="1">
      <c r="A98" s="1"/>
      <c r="B98" s="1"/>
      <c r="C98" s="8" t="s">
        <v>2146</v>
      </c>
      <c r="D98" s="18"/>
      <c r="E98" s="18"/>
      <c r="F98" s="18"/>
      <c r="G98" s="18"/>
      <c r="H98" s="1"/>
      <c r="I98" s="1"/>
      <c r="J98" s="1"/>
      <c r="K98" s="8" t="s">
        <v>2147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"/>
      <c r="AC98" s="8" t="s">
        <v>7</v>
      </c>
      <c r="AD98" s="18"/>
      <c r="AE98" s="18"/>
      <c r="AF98" s="18"/>
      <c r="AG98" s="18"/>
      <c r="AH98" s="1"/>
      <c r="AI98" s="8" t="s">
        <v>2148</v>
      </c>
      <c r="AJ98" s="18"/>
      <c r="AK98" s="1"/>
      <c r="AL98" s="1"/>
    </row>
    <row r="99" spans="1:38" ht="5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1.25" customHeight="1">
      <c r="A100" s="1"/>
      <c r="B100" s="1"/>
      <c r="C100" s="8" t="s">
        <v>2149</v>
      </c>
      <c r="D100" s="18"/>
      <c r="E100" s="18"/>
      <c r="F100" s="18"/>
      <c r="G100" s="18"/>
      <c r="H100" s="1"/>
      <c r="I100" s="1"/>
      <c r="J100" s="1"/>
      <c r="K100" s="8" t="s">
        <v>2150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"/>
      <c r="AC100" s="8" t="s">
        <v>7</v>
      </c>
      <c r="AD100" s="18"/>
      <c r="AE100" s="18"/>
      <c r="AF100" s="18"/>
      <c r="AG100" s="18"/>
      <c r="AH100" s="1"/>
      <c r="AI100" s="8" t="s">
        <v>2151</v>
      </c>
      <c r="AJ100" s="18"/>
      <c r="AK100" s="1"/>
      <c r="AL100" s="1"/>
    </row>
    <row r="101" spans="1:38" ht="1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0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8" t="s">
        <v>133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4.349999999999999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" customHeight="1">
      <c r="A104" s="1"/>
      <c r="B104" s="1"/>
      <c r="C104" s="5" t="s">
        <v>134</v>
      </c>
      <c r="D104" s="1"/>
      <c r="E104" s="1"/>
      <c r="F104" s="1"/>
      <c r="G104" s="1"/>
      <c r="H104" s="1"/>
      <c r="I104" s="1"/>
      <c r="J104" s="1"/>
      <c r="K104" s="1"/>
      <c r="L104" s="1"/>
      <c r="M104" s="8" t="s">
        <v>135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"/>
      <c r="AA104" s="1"/>
      <c r="AB104" s="1"/>
      <c r="AC104" s="1"/>
      <c r="AD104" s="1"/>
      <c r="AE104" s="1"/>
      <c r="AF104" s="1"/>
      <c r="AG104" s="1"/>
      <c r="AH104" s="1"/>
      <c r="AI104" s="8" t="s">
        <v>2152</v>
      </c>
      <c r="AJ104" s="18"/>
      <c r="AK104" s="18"/>
      <c r="AL104" s="1"/>
    </row>
    <row r="105" spans="1:38" ht="2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</sheetData>
  <mergeCells count="159">
    <mergeCell ref="B2:I4"/>
    <mergeCell ref="J2:AC4"/>
    <mergeCell ref="AD2:AF4"/>
    <mergeCell ref="AI3:AK3"/>
    <mergeCell ref="C8:E8"/>
    <mergeCell ref="K8:U8"/>
    <mergeCell ref="AE8:AG8"/>
    <mergeCell ref="C10:E10"/>
    <mergeCell ref="K10:S10"/>
    <mergeCell ref="AC10:AG10"/>
    <mergeCell ref="AC6:AG6"/>
    <mergeCell ref="C12:E12"/>
    <mergeCell ref="K12:W12"/>
    <mergeCell ref="AC12:AG12"/>
    <mergeCell ref="C14:E14"/>
    <mergeCell ref="K14:T14"/>
    <mergeCell ref="AC14:AG14"/>
    <mergeCell ref="C16:E16"/>
    <mergeCell ref="K16:M16"/>
    <mergeCell ref="AC16:AG16"/>
    <mergeCell ref="C18:E18"/>
    <mergeCell ref="K18:P18"/>
    <mergeCell ref="AC18:AG18"/>
    <mergeCell ref="C20:E20"/>
    <mergeCell ref="K20:O20"/>
    <mergeCell ref="AC20:AG20"/>
    <mergeCell ref="C22:E22"/>
    <mergeCell ref="K22:S22"/>
    <mergeCell ref="AC22:AG22"/>
    <mergeCell ref="C24:E24"/>
    <mergeCell ref="K24:N24"/>
    <mergeCell ref="AF24:AG24"/>
    <mergeCell ref="C26:E26"/>
    <mergeCell ref="K26:V26"/>
    <mergeCell ref="AE26:AG26"/>
    <mergeCell ref="C28:E28"/>
    <mergeCell ref="K28:R28"/>
    <mergeCell ref="AC28:AG28"/>
    <mergeCell ref="C30:E30"/>
    <mergeCell ref="K30:X30"/>
    <mergeCell ref="AC30:AG30"/>
    <mergeCell ref="C32:E32"/>
    <mergeCell ref="K32:X32"/>
    <mergeCell ref="AC32:AG32"/>
    <mergeCell ref="C34:E34"/>
    <mergeCell ref="K34:X34"/>
    <mergeCell ref="AC34:AG34"/>
    <mergeCell ref="C36:E36"/>
    <mergeCell ref="K36:W36"/>
    <mergeCell ref="AC36:AG36"/>
    <mergeCell ref="C38:E38"/>
    <mergeCell ref="K38:W38"/>
    <mergeCell ref="AC38:AG38"/>
    <mergeCell ref="C40:E40"/>
    <mergeCell ref="K40:X40"/>
    <mergeCell ref="AC40:AG40"/>
    <mergeCell ref="C42:E42"/>
    <mergeCell ref="K42:X42"/>
    <mergeCell ref="AC42:AG42"/>
    <mergeCell ref="C44:E44"/>
    <mergeCell ref="K44:X44"/>
    <mergeCell ref="AC44:AG44"/>
    <mergeCell ref="C46:E46"/>
    <mergeCell ref="K46:X46"/>
    <mergeCell ref="AC46:AG46"/>
    <mergeCell ref="C48:E48"/>
    <mergeCell ref="K48:W48"/>
    <mergeCell ref="AC48:AG48"/>
    <mergeCell ref="C50:E50"/>
    <mergeCell ref="K50:Q50"/>
    <mergeCell ref="AE50:AG50"/>
    <mergeCell ref="C52:E52"/>
    <mergeCell ref="K52:R52"/>
    <mergeCell ref="AE52:AG52"/>
    <mergeCell ref="C54:E54"/>
    <mergeCell ref="K54:S54"/>
    <mergeCell ref="AF54:AG54"/>
    <mergeCell ref="C56:F56"/>
    <mergeCell ref="K56:T56"/>
    <mergeCell ref="AF56:AG56"/>
    <mergeCell ref="C58:E58"/>
    <mergeCell ref="K58:M58"/>
    <mergeCell ref="AC58:AG58"/>
    <mergeCell ref="C60:F60"/>
    <mergeCell ref="K60:R60"/>
    <mergeCell ref="AC60:AG60"/>
    <mergeCell ref="C62:F62"/>
    <mergeCell ref="K62:R62"/>
    <mergeCell ref="AC62:AG62"/>
    <mergeCell ref="C64:E64"/>
    <mergeCell ref="K64:Y64"/>
    <mergeCell ref="AC64:AG64"/>
    <mergeCell ref="C66:E66"/>
    <mergeCell ref="K66:Q66"/>
    <mergeCell ref="AC66:AG66"/>
    <mergeCell ref="C68:E68"/>
    <mergeCell ref="K68:O68"/>
    <mergeCell ref="AF68:AG68"/>
    <mergeCell ref="C70:E70"/>
    <mergeCell ref="K70:O70"/>
    <mergeCell ref="AC70:AG70"/>
    <mergeCell ref="C72:E72"/>
    <mergeCell ref="K72:V72"/>
    <mergeCell ref="AC72:AG72"/>
    <mergeCell ref="C74:E74"/>
    <mergeCell ref="K74:Q74"/>
    <mergeCell ref="AC74:AG74"/>
    <mergeCell ref="C76:E76"/>
    <mergeCell ref="K76:Q76"/>
    <mergeCell ref="AF76:AG76"/>
    <mergeCell ref="C78:G78"/>
    <mergeCell ref="K78:T78"/>
    <mergeCell ref="AC78:AG78"/>
    <mergeCell ref="C80:D80"/>
    <mergeCell ref="K80:R80"/>
    <mergeCell ref="AC80:AG80"/>
    <mergeCell ref="C82:H82"/>
    <mergeCell ref="K82:P82"/>
    <mergeCell ref="AC82:AG82"/>
    <mergeCell ref="AI82:AJ82"/>
    <mergeCell ref="C84:H84"/>
    <mergeCell ref="K84:P84"/>
    <mergeCell ref="AC84:AG84"/>
    <mergeCell ref="AI84:AJ84"/>
    <mergeCell ref="C86:H86"/>
    <mergeCell ref="K86:P86"/>
    <mergeCell ref="AC86:AG86"/>
    <mergeCell ref="AI86:AJ86"/>
    <mergeCell ref="C88:H88"/>
    <mergeCell ref="K88:P88"/>
    <mergeCell ref="AC88:AG88"/>
    <mergeCell ref="AI88:AJ88"/>
    <mergeCell ref="C90:H90"/>
    <mergeCell ref="K90:P90"/>
    <mergeCell ref="AC90:AG90"/>
    <mergeCell ref="AI90:AJ90"/>
    <mergeCell ref="C92:H92"/>
    <mergeCell ref="K92:P92"/>
    <mergeCell ref="AC92:AG92"/>
    <mergeCell ref="AI92:AJ92"/>
    <mergeCell ref="C100:G100"/>
    <mergeCell ref="K100:AA100"/>
    <mergeCell ref="AC100:AG100"/>
    <mergeCell ref="AI100:AJ100"/>
    <mergeCell ref="L102:AA102"/>
    <mergeCell ref="M104:Y104"/>
    <mergeCell ref="AI104:AK104"/>
    <mergeCell ref="C94:H94"/>
    <mergeCell ref="K94:P94"/>
    <mergeCell ref="AC94:AG94"/>
    <mergeCell ref="AI94:AJ94"/>
    <mergeCell ref="C96:G96"/>
    <mergeCell ref="K96:Z96"/>
    <mergeCell ref="AC96:AG96"/>
    <mergeCell ref="AI96:AJ96"/>
    <mergeCell ref="C98:G98"/>
    <mergeCell ref="K98:AA98"/>
    <mergeCell ref="AC98:AG98"/>
    <mergeCell ref="AI98:AJ9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1"/>
  <sheetViews>
    <sheetView workbookViewId="0">
      <selection activeCell="T6" sqref="T6:W6"/>
    </sheetView>
  </sheetViews>
  <sheetFormatPr defaultRowHeight="15"/>
  <cols>
    <col min="1" max="1" width="4" customWidth="1"/>
    <col min="2" max="2" width="0.140625" customWidth="1"/>
    <col min="3" max="3" width="7.42578125" customWidth="1"/>
    <col min="4" max="4" width="24.42578125" customWidth="1"/>
    <col min="5" max="5" width="3.85546875" customWidth="1"/>
    <col min="6" max="6" width="6.140625" customWidth="1"/>
    <col min="7" max="7" width="44.85546875" customWidth="1"/>
    <col min="8" max="8" width="6.140625" customWidth="1"/>
    <col min="9" max="9" width="13.140625" customWidth="1"/>
    <col min="10" max="10" width="6" customWidth="1"/>
    <col min="11" max="11" width="4.140625" customWidth="1"/>
    <col min="12" max="12" width="2.42578125" customWidth="1"/>
    <col min="13" max="13" width="8.5703125" customWidth="1"/>
    <col min="14" max="14" width="1" customWidth="1"/>
    <col min="15" max="15" width="3.85546875" customWidth="1"/>
  </cols>
  <sheetData>
    <row r="1" spans="1:15" ht="79.7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</row>
    <row r="2" spans="1:15" ht="1.7" customHeight="1">
      <c r="A2" s="3"/>
      <c r="B2" s="19" t="s">
        <v>0</v>
      </c>
      <c r="C2" s="10"/>
      <c r="D2" s="11"/>
      <c r="E2" s="19" t="s">
        <v>1</v>
      </c>
      <c r="F2" s="10"/>
      <c r="G2" s="10"/>
      <c r="H2" s="10"/>
      <c r="I2" s="11"/>
      <c r="J2" s="19" t="s">
        <v>2</v>
      </c>
      <c r="K2" s="4"/>
      <c r="L2" s="1"/>
      <c r="M2" s="1"/>
      <c r="N2" s="1"/>
      <c r="O2" s="1"/>
    </row>
    <row r="3" spans="1:15" ht="11.25" customHeight="1">
      <c r="A3" s="3"/>
      <c r="B3" s="12"/>
      <c r="C3" s="13"/>
      <c r="D3" s="14"/>
      <c r="E3" s="12"/>
      <c r="F3" s="13"/>
      <c r="G3" s="13"/>
      <c r="H3" s="13"/>
      <c r="I3" s="14"/>
      <c r="J3" s="21"/>
      <c r="K3" s="4"/>
      <c r="L3" s="8" t="s">
        <v>3</v>
      </c>
      <c r="M3" s="18"/>
      <c r="N3" s="18"/>
      <c r="O3" s="1"/>
    </row>
    <row r="4" spans="1:15" ht="5.0999999999999996" customHeight="1">
      <c r="A4" s="3"/>
      <c r="B4" s="15"/>
      <c r="C4" s="16"/>
      <c r="D4" s="17"/>
      <c r="E4" s="15"/>
      <c r="F4" s="16"/>
      <c r="G4" s="16"/>
      <c r="H4" s="16"/>
      <c r="I4" s="17"/>
      <c r="J4" s="22"/>
      <c r="K4" s="4"/>
      <c r="L4" s="1"/>
      <c r="M4" s="1"/>
      <c r="N4" s="1"/>
      <c r="O4" s="1"/>
    </row>
    <row r="5" spans="1:15" ht="1.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1"/>
      <c r="L5" s="1"/>
      <c r="M5" s="1"/>
      <c r="N5" s="1"/>
      <c r="O5" s="1"/>
    </row>
    <row r="6" spans="1:15" ht="11.25" customHeight="1">
      <c r="A6" s="1"/>
      <c r="B6" s="1"/>
      <c r="C6" s="1" t="s">
        <v>2246</v>
      </c>
      <c r="D6" s="1"/>
      <c r="E6" s="1" t="s">
        <v>2247</v>
      </c>
      <c r="F6" s="1"/>
      <c r="G6" s="1"/>
      <c r="H6" s="1"/>
      <c r="I6" s="1"/>
      <c r="J6" s="1" t="s">
        <v>2160</v>
      </c>
      <c r="K6" s="1"/>
      <c r="L6" s="1"/>
      <c r="M6" s="5" t="s">
        <v>2153</v>
      </c>
      <c r="N6" s="1"/>
      <c r="O6" s="1"/>
    </row>
    <row r="7" spans="1:15" ht="409.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0.15" customHeight="1">
      <c r="A8" s="1"/>
      <c r="B8" s="1"/>
      <c r="C8" s="1"/>
      <c r="D8" s="1"/>
      <c r="E8" s="1"/>
      <c r="F8" s="8" t="s">
        <v>133</v>
      </c>
      <c r="G8" s="18"/>
      <c r="H8" s="18"/>
      <c r="I8" s="1"/>
      <c r="J8" s="1"/>
      <c r="K8" s="1"/>
      <c r="L8" s="1"/>
      <c r="M8" s="1"/>
      <c r="N8" s="1"/>
      <c r="O8" s="1"/>
    </row>
    <row r="9" spans="1:15" ht="4.3499999999999996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9" customHeight="1">
      <c r="A10" s="1"/>
      <c r="B10" s="1"/>
      <c r="C10" s="5" t="s">
        <v>134</v>
      </c>
      <c r="D10" s="1"/>
      <c r="E10" s="1"/>
      <c r="F10" s="1"/>
      <c r="G10" s="5" t="s">
        <v>135</v>
      </c>
      <c r="H10" s="1"/>
      <c r="I10" s="1"/>
      <c r="J10" s="1"/>
      <c r="K10" s="1"/>
      <c r="L10" s="8" t="s">
        <v>2154</v>
      </c>
      <c r="M10" s="18"/>
      <c r="N10" s="18"/>
      <c r="O10" s="1"/>
    </row>
    <row r="11" spans="1:15" ht="26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</sheetData>
  <mergeCells count="6">
    <mergeCell ref="L10:N10"/>
    <mergeCell ref="B2:D4"/>
    <mergeCell ref="E2:I4"/>
    <mergeCell ref="J2:J4"/>
    <mergeCell ref="L3:N3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Ashley Farrell</cp:lastModifiedBy>
  <dcterms:created xsi:type="dcterms:W3CDTF">2025-08-25T18:28:37Z</dcterms:created>
  <dcterms:modified xsi:type="dcterms:W3CDTF">2026-05-06T20:40:56Z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